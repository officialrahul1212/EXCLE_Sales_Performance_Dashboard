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D:\NMD\Excle\Project\"/>
    </mc:Choice>
  </mc:AlternateContent>
  <xr:revisionPtr revIDLastSave="0" documentId="13_ncr:1_{4672F292-F61F-46B2-AD20-A703D435C083}" xr6:coauthVersionLast="47" xr6:coauthVersionMax="47" xr10:uidLastSave="{00000000-0000-0000-0000-000000000000}"/>
  <bookViews>
    <workbookView xWindow="-110" yWindow="-110" windowWidth="19420" windowHeight="10300" tabRatio="653" xr2:uid="{00000000-000D-0000-FFFF-FFFF00000000}"/>
  </bookViews>
  <sheets>
    <sheet name="Report" sheetId="2" r:id="rId1"/>
    <sheet name="SalesData" sheetId="1" r:id="rId2"/>
    <sheet name="Calculations" sheetId="12" r:id="rId3"/>
    <sheet name="top 10 Companies sales" sheetId="10" r:id="rId4"/>
    <sheet name="Sales by C ategory" sheetId="9" r:id="rId5"/>
    <sheet name="Sales by state" sheetId="7" r:id="rId6"/>
    <sheet name="Monthly Sales Trend" sheetId="6" r:id="rId7"/>
    <sheet name="SAles by customerSegment" sheetId="8" r:id="rId8"/>
  </sheets>
  <definedNames>
    <definedName name="_xlchart.v5.0" hidden="1">'Sales by state'!$E$4</definedName>
    <definedName name="_xlchart.v5.1" hidden="1">'Sales by state'!$E$5:$E$18</definedName>
    <definedName name="_xlchart.v5.2" hidden="1">'Sales by state'!$F$3</definedName>
    <definedName name="_xlchart.v5.3" hidden="1">'Sales by state'!$F$5:$F$18</definedName>
    <definedName name="_xlchart.v5.4" hidden="1">'Sales by state'!$E$4</definedName>
    <definedName name="_xlchart.v5.5" hidden="1">'Sales by state'!$E$5:$E$18</definedName>
    <definedName name="_xlchart.v5.6" hidden="1">'Sales by state'!$F$3</definedName>
    <definedName name="_xlchart.v5.7" hidden="1">'Sales by state'!$F$5:$F$18</definedName>
    <definedName name="Slicer_CustomerSegment">#N/A</definedName>
    <definedName name="Slicer_ProductCategory">#N/A</definedName>
    <definedName name="Slicer_Region">#N/A</definedName>
    <definedName name="Slicer_State">#N/A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J10" i="12" l="1"/>
  <c r="G10" i="12"/>
  <c r="I10" i="12"/>
  <c r="H10" i="12"/>
  <c r="O1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P2006"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O2" i="1"/>
  <c r="O3" i="1"/>
  <c r="O4" i="1"/>
  <c r="O5" i="1"/>
  <c r="O6" i="1"/>
  <c r="O7" i="1"/>
  <c r="O8" i="1"/>
  <c r="O9" i="1"/>
  <c r="O10"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F10" i="12"/>
</calcChain>
</file>

<file path=xl/sharedStrings.xml><?xml version="1.0" encoding="utf-8"?>
<sst xmlns="http://schemas.openxmlformats.org/spreadsheetml/2006/main" count="18100" uniqueCount="2765">
  <si>
    <t>OrderID</t>
  </si>
  <si>
    <t>OrderDate</t>
  </si>
  <si>
    <t>Region</t>
  </si>
  <si>
    <t>State</t>
  </si>
  <si>
    <t>City</t>
  </si>
  <si>
    <t>ProductCategory</t>
  </si>
  <si>
    <t>ProductName</t>
  </si>
  <si>
    <t>CustomerSegment</t>
  </si>
  <si>
    <t>PaymentMode</t>
  </si>
  <si>
    <t>Quantity</t>
  </si>
  <si>
    <t>SalesAmount</t>
  </si>
  <si>
    <t>ORD00001</t>
  </si>
  <si>
    <t>2024-07-18</t>
  </si>
  <si>
    <t>East</t>
  </si>
  <si>
    <t>Odisha</t>
  </si>
  <si>
    <t>Bhubaneswar</t>
  </si>
  <si>
    <t>Appliances</t>
  </si>
  <si>
    <t>Air Fryer</t>
  </si>
  <si>
    <t>Consumer</t>
  </si>
  <si>
    <t>UPI</t>
  </si>
  <si>
    <t>ORD00002</t>
  </si>
  <si>
    <t>2024-02-19</t>
  </si>
  <si>
    <t>West</t>
  </si>
  <si>
    <t>Gujarat</t>
  </si>
  <si>
    <t>Ahmedabad</t>
  </si>
  <si>
    <t>Electronics</t>
  </si>
  <si>
    <t>Smartphone</t>
  </si>
  <si>
    <t>Small Business</t>
  </si>
  <si>
    <t>Cash</t>
  </si>
  <si>
    <t>ORD00003</t>
  </si>
  <si>
    <t>2023-03-31</t>
  </si>
  <si>
    <t>North</t>
  </si>
  <si>
    <t>Delhi</t>
  </si>
  <si>
    <t>New Delhi</t>
  </si>
  <si>
    <t>Water Purifier</t>
  </si>
  <si>
    <t>ORD00004</t>
  </si>
  <si>
    <t>2023-02-24</t>
  </si>
  <si>
    <t>Office Supplies</t>
  </si>
  <si>
    <t>Printer Paper</t>
  </si>
  <si>
    <t>Credit Card</t>
  </si>
  <si>
    <t>ORD00005</t>
  </si>
  <si>
    <t>2024-02-05</t>
  </si>
  <si>
    <t>Mixer</t>
  </si>
  <si>
    <t>ORD00006</t>
  </si>
  <si>
    <t>2023-07-31</t>
  </si>
  <si>
    <t>Punjab</t>
  </si>
  <si>
    <t>Ludhiana</t>
  </si>
  <si>
    <t>Debit Card</t>
  </si>
  <si>
    <t>ORD00007</t>
  </si>
  <si>
    <t>2024-02-10</t>
  </si>
  <si>
    <t>Haryana</t>
  </si>
  <si>
    <t>Gurgaon</t>
  </si>
  <si>
    <t>Tablet</t>
  </si>
  <si>
    <t>ORD00008</t>
  </si>
  <si>
    <t>2024-06-29</t>
  </si>
  <si>
    <t>South</t>
  </si>
  <si>
    <t>Kerala</t>
  </si>
  <si>
    <t>Kochi</t>
  </si>
  <si>
    <t>ORD00009</t>
  </si>
  <si>
    <t>2024-08-07</t>
  </si>
  <si>
    <t>Net Banking</t>
  </si>
  <si>
    <t>ORD00010</t>
  </si>
  <si>
    <t>2023-03-07</t>
  </si>
  <si>
    <t>Telangana</t>
  </si>
  <si>
    <t>Hyderabad</t>
  </si>
  <si>
    <t>ORD00011</t>
  </si>
  <si>
    <t>2023-10-08</t>
  </si>
  <si>
    <t>Furniture</t>
  </si>
  <si>
    <t>Bookshelf</t>
  </si>
  <si>
    <t>ORD00012</t>
  </si>
  <si>
    <t>2023-07-19</t>
  </si>
  <si>
    <t>Laptop</t>
  </si>
  <si>
    <t>Corporate</t>
  </si>
  <si>
    <t>ORD00013</t>
  </si>
  <si>
    <t>2024-03-12</t>
  </si>
  <si>
    <t>ORD00014</t>
  </si>
  <si>
    <t>2024-11-17</t>
  </si>
  <si>
    <t>Headphones</t>
  </si>
  <si>
    <t>ORD00015</t>
  </si>
  <si>
    <t>2023-08-13</t>
  </si>
  <si>
    <t>ORD00016</t>
  </si>
  <si>
    <t>2023-07-07</t>
  </si>
  <si>
    <t>Tamil Nadu</t>
  </si>
  <si>
    <t>Chennai</t>
  </si>
  <si>
    <t>ORD00017</t>
  </si>
  <si>
    <t>2023-11-07</t>
  </si>
  <si>
    <t>Goa</t>
  </si>
  <si>
    <t>Panaji</t>
  </si>
  <si>
    <t>ORD00018</t>
  </si>
  <si>
    <t>2023-03-28</t>
  </si>
  <si>
    <t>Maharashtra</t>
  </si>
  <si>
    <t>Pune</t>
  </si>
  <si>
    <t>ORD00019</t>
  </si>
  <si>
    <t>2023-11-28</t>
  </si>
  <si>
    <t>ORD00020</t>
  </si>
  <si>
    <t>2024-07-19</t>
  </si>
  <si>
    <t>ORD00021</t>
  </si>
  <si>
    <t>2024-08-28</t>
  </si>
  <si>
    <t>Karnataka</t>
  </si>
  <si>
    <t>Bangalore</t>
  </si>
  <si>
    <t>ORD00022</t>
  </si>
  <si>
    <t>2023-12-13</t>
  </si>
  <si>
    <t>ORD00023</t>
  </si>
  <si>
    <t>2024-10-19</t>
  </si>
  <si>
    <t>Uttar Pradesh</t>
  </si>
  <si>
    <t>Lucknow</t>
  </si>
  <si>
    <t>ORD00024</t>
  </si>
  <si>
    <t>2023-01-23</t>
  </si>
  <si>
    <t>ORD00025</t>
  </si>
  <si>
    <t>2024-07-15</t>
  </si>
  <si>
    <t>Kolhapur</t>
  </si>
  <si>
    <t>ORD00026</t>
  </si>
  <si>
    <t>2023-05-14</t>
  </si>
  <si>
    <t>Desk</t>
  </si>
  <si>
    <t>ORD00027</t>
  </si>
  <si>
    <t>2024-01-17</t>
  </si>
  <si>
    <t>ORD00028</t>
  </si>
  <si>
    <t>2023-09-01</t>
  </si>
  <si>
    <t>Bihar</t>
  </si>
  <si>
    <t>Patna</t>
  </si>
  <si>
    <t>ORD00029</t>
  </si>
  <si>
    <t>2023-10-16</t>
  </si>
  <si>
    <t>Microwave</t>
  </si>
  <si>
    <t>ORD00030</t>
  </si>
  <si>
    <t>2024-11-26</t>
  </si>
  <si>
    <t>West Bengal</t>
  </si>
  <si>
    <t>Kolkata</t>
  </si>
  <si>
    <t>ORD00031</t>
  </si>
  <si>
    <t>ORD00032</t>
  </si>
  <si>
    <t>2023-08-15</t>
  </si>
  <si>
    <t>ORD00033</t>
  </si>
  <si>
    <t>2023-02-28</t>
  </si>
  <si>
    <t>ORD00034</t>
  </si>
  <si>
    <t>2023-06-12</t>
  </si>
  <si>
    <t>Office Chair</t>
  </si>
  <si>
    <t>ORD00035</t>
  </si>
  <si>
    <t>2023-05-28</t>
  </si>
  <si>
    <t>ORD00036</t>
  </si>
  <si>
    <t>2024-11-22</t>
  </si>
  <si>
    <t>ORD00037</t>
  </si>
  <si>
    <t>2024-08-19</t>
  </si>
  <si>
    <t>ORD00038</t>
  </si>
  <si>
    <t>2023-04-13</t>
  </si>
  <si>
    <t>ORD00039</t>
  </si>
  <si>
    <t>ORD00040</t>
  </si>
  <si>
    <t>2024-06-03</t>
  </si>
  <si>
    <t>ORD00041</t>
  </si>
  <si>
    <t>2023-04-01</t>
  </si>
  <si>
    <t>Stapler</t>
  </si>
  <si>
    <t>ORD00042</t>
  </si>
  <si>
    <t>2024-11-30</t>
  </si>
  <si>
    <t>ORD00043</t>
  </si>
  <si>
    <t>2024-07-23</t>
  </si>
  <si>
    <t>ORD00044</t>
  </si>
  <si>
    <t>2024-07-30</t>
  </si>
  <si>
    <t>ORD00045</t>
  </si>
  <si>
    <t>2024-02-17</t>
  </si>
  <si>
    <t>ORD00046</t>
  </si>
  <si>
    <t>2023-03-26</t>
  </si>
  <si>
    <t>ORD00047</t>
  </si>
  <si>
    <t>2023-03-16</t>
  </si>
  <si>
    <t>ORD00048</t>
  </si>
  <si>
    <t>Assam</t>
  </si>
  <si>
    <t>Guwahati</t>
  </si>
  <si>
    <t>ORD00049</t>
  </si>
  <si>
    <t>2024-07-26</t>
  </si>
  <si>
    <t>ORD00050</t>
  </si>
  <si>
    <t>2023-11-10</t>
  </si>
  <si>
    <t>ORD00051</t>
  </si>
  <si>
    <t>2024-07-22</t>
  </si>
  <si>
    <t>ORD00052</t>
  </si>
  <si>
    <t>2023-03-02</t>
  </si>
  <si>
    <t>ORD00053</t>
  </si>
  <si>
    <t>2023-03-09</t>
  </si>
  <si>
    <t>ORD00054</t>
  </si>
  <si>
    <t>2023-11-18</t>
  </si>
  <si>
    <t>ORD00055</t>
  </si>
  <si>
    <t>2023-09-24</t>
  </si>
  <si>
    <t>ORD00056</t>
  </si>
  <si>
    <t>2024-04-16</t>
  </si>
  <si>
    <t>Cabinet</t>
  </si>
  <si>
    <t>ORD00057</t>
  </si>
  <si>
    <t>2023-04-06</t>
  </si>
  <si>
    <t>Pen Pack</t>
  </si>
  <si>
    <t>ORD00058</t>
  </si>
  <si>
    <t>2024-02-08</t>
  </si>
  <si>
    <t>Notebook</t>
  </si>
  <si>
    <t>ORD00059</t>
  </si>
  <si>
    <t>2024-10-01</t>
  </si>
  <si>
    <t>ORD00060</t>
  </si>
  <si>
    <t>2024-11-08</t>
  </si>
  <si>
    <t>ORD00061</t>
  </si>
  <si>
    <t>2024-09-26</t>
  </si>
  <si>
    <t>ORD00062</t>
  </si>
  <si>
    <t>ORD00063</t>
  </si>
  <si>
    <t>2023-12-15</t>
  </si>
  <si>
    <t>ORD00064</t>
  </si>
  <si>
    <t>2024-04-02</t>
  </si>
  <si>
    <t>ORD00065</t>
  </si>
  <si>
    <t>2023-07-03</t>
  </si>
  <si>
    <t>ORD00066</t>
  </si>
  <si>
    <t>2023-11-29</t>
  </si>
  <si>
    <t>ORD00067</t>
  </si>
  <si>
    <t>2023-10-13</t>
  </si>
  <si>
    <t>ORD00068</t>
  </si>
  <si>
    <t>2024-10-08</t>
  </si>
  <si>
    <t>ORD00069</t>
  </si>
  <si>
    <t>2023-03-24</t>
  </si>
  <si>
    <t>ORD00070</t>
  </si>
  <si>
    <t>2024-10-12</t>
  </si>
  <si>
    <t>ORD00071</t>
  </si>
  <si>
    <t>2024-04-19</t>
  </si>
  <si>
    <t>ORD00072</t>
  </si>
  <si>
    <t>2024-06-10</t>
  </si>
  <si>
    <t>ORD00073</t>
  </si>
  <si>
    <t>2024-06-28</t>
  </si>
  <si>
    <t>ORD00074</t>
  </si>
  <si>
    <t>2024-03-30</t>
  </si>
  <si>
    <t>ORD00075</t>
  </si>
  <si>
    <t>2023-01-12</t>
  </si>
  <si>
    <t>ORD00076</t>
  </si>
  <si>
    <t>2024-04-06</t>
  </si>
  <si>
    <t>ORD00077</t>
  </si>
  <si>
    <t>2024-11-06</t>
  </si>
  <si>
    <t>ORD00078</t>
  </si>
  <si>
    <t>2024-02-12</t>
  </si>
  <si>
    <t>ORD00079</t>
  </si>
  <si>
    <t>2024-05-05</t>
  </si>
  <si>
    <t>ORD00080</t>
  </si>
  <si>
    <t>2023-08-05</t>
  </si>
  <si>
    <t>ORD00081</t>
  </si>
  <si>
    <t>ORD00082</t>
  </si>
  <si>
    <t>2024-05-10</t>
  </si>
  <si>
    <t>ORD00083</t>
  </si>
  <si>
    <t>2024-05-24</t>
  </si>
  <si>
    <t>ORD00084</t>
  </si>
  <si>
    <t>2023-07-04</t>
  </si>
  <si>
    <t>ORD00085</t>
  </si>
  <si>
    <t>2023-09-25</t>
  </si>
  <si>
    <t>ORD00086</t>
  </si>
  <si>
    <t>ORD00087</t>
  </si>
  <si>
    <t>2023-08-31</t>
  </si>
  <si>
    <t>ORD00088</t>
  </si>
  <si>
    <t>2024-01-19</t>
  </si>
  <si>
    <t>ORD00089</t>
  </si>
  <si>
    <t>ORD00090</t>
  </si>
  <si>
    <t>2023-10-06</t>
  </si>
  <si>
    <t>ORD00091</t>
  </si>
  <si>
    <t>2024-06-17</t>
  </si>
  <si>
    <t>ORD00092</t>
  </si>
  <si>
    <t>ORD00093</t>
  </si>
  <si>
    <t>2024-09-23</t>
  </si>
  <si>
    <t>ORD00094</t>
  </si>
  <si>
    <t>2024-09-18</t>
  </si>
  <si>
    <t>ORD00095</t>
  </si>
  <si>
    <t>2023-11-15</t>
  </si>
  <si>
    <t>ORD00096</t>
  </si>
  <si>
    <t>2024-11-21</t>
  </si>
  <si>
    <t>ORD00097</t>
  </si>
  <si>
    <t>ORD00098</t>
  </si>
  <si>
    <t>2023-01-14</t>
  </si>
  <si>
    <t>ORD00099</t>
  </si>
  <si>
    <t>2024-10-25</t>
  </si>
  <si>
    <t>ORD00100</t>
  </si>
  <si>
    <t>ORD00101</t>
  </si>
  <si>
    <t>2024-04-10</t>
  </si>
  <si>
    <t>ORD00102</t>
  </si>
  <si>
    <t>2023-08-24</t>
  </si>
  <si>
    <t>ORD00103</t>
  </si>
  <si>
    <t>2023-04-19</t>
  </si>
  <si>
    <t>ORD00104</t>
  </si>
  <si>
    <t>2023-04-08</t>
  </si>
  <si>
    <t>ORD00105</t>
  </si>
  <si>
    <t>2023-10-19</t>
  </si>
  <si>
    <t>ORD00106</t>
  </si>
  <si>
    <t>2024-01-10</t>
  </si>
  <si>
    <t>ORD00107</t>
  </si>
  <si>
    <t>ORD00108</t>
  </si>
  <si>
    <t>ORD00109</t>
  </si>
  <si>
    <t>2023-07-02</t>
  </si>
  <si>
    <t>ORD00110</t>
  </si>
  <si>
    <t>2024-06-20</t>
  </si>
  <si>
    <t>ORD00111</t>
  </si>
  <si>
    <t>2023-06-24</t>
  </si>
  <si>
    <t>ORD00112</t>
  </si>
  <si>
    <t>2023-05-02</t>
  </si>
  <si>
    <t>ORD00113</t>
  </si>
  <si>
    <t>2023-05-04</t>
  </si>
  <si>
    <t>ORD00114</t>
  </si>
  <si>
    <t>2023-09-06</t>
  </si>
  <si>
    <t>ORD00115</t>
  </si>
  <si>
    <t>2023-07-30</t>
  </si>
  <si>
    <t>ORD00116</t>
  </si>
  <si>
    <t>2024-04-03</t>
  </si>
  <si>
    <t>ORD00117</t>
  </si>
  <si>
    <t>2024-08-22</t>
  </si>
  <si>
    <t>ORD00118</t>
  </si>
  <si>
    <t>2023-05-11</t>
  </si>
  <si>
    <t>ORD00119</t>
  </si>
  <si>
    <t>ORD00120</t>
  </si>
  <si>
    <t>2023-08-20</t>
  </si>
  <si>
    <t>ORD00121</t>
  </si>
  <si>
    <t>2023-11-19</t>
  </si>
  <si>
    <t>ORD00122</t>
  </si>
  <si>
    <t>2023-04-27</t>
  </si>
  <si>
    <t>ORD00123</t>
  </si>
  <si>
    <t>ORD00124</t>
  </si>
  <si>
    <t>2023-10-05</t>
  </si>
  <si>
    <t>ORD00125</t>
  </si>
  <si>
    <t>2023-10-09</t>
  </si>
  <si>
    <t>ORD00126</t>
  </si>
  <si>
    <t>2024-11-14</t>
  </si>
  <si>
    <t>ORD00127</t>
  </si>
  <si>
    <t>2023-12-23</t>
  </si>
  <si>
    <t>ORD00128</t>
  </si>
  <si>
    <t>ORD00129</t>
  </si>
  <si>
    <t>2024-08-11</t>
  </si>
  <si>
    <t>ORD00130</t>
  </si>
  <si>
    <t>2024-06-16</t>
  </si>
  <si>
    <t>ORD00131</t>
  </si>
  <si>
    <t>2024-07-10</t>
  </si>
  <si>
    <t>ORD00132</t>
  </si>
  <si>
    <t>2024-04-05</t>
  </si>
  <si>
    <t>ORD00133</t>
  </si>
  <si>
    <t>2024-01-16</t>
  </si>
  <si>
    <t>ORD00134</t>
  </si>
  <si>
    <t>ORD00135</t>
  </si>
  <si>
    <t>2024-10-09</t>
  </si>
  <si>
    <t>ORD00136</t>
  </si>
  <si>
    <t>2024-09-15</t>
  </si>
  <si>
    <t>ORD00137</t>
  </si>
  <si>
    <t>2024-05-26</t>
  </si>
  <si>
    <t>ORD00138</t>
  </si>
  <si>
    <t>2023-07-28</t>
  </si>
  <si>
    <t>ORD00139</t>
  </si>
  <si>
    <t>2024-06-11</t>
  </si>
  <si>
    <t>ORD00140</t>
  </si>
  <si>
    <t>ORD00141</t>
  </si>
  <si>
    <t>ORD00142</t>
  </si>
  <si>
    <t>2024-01-05</t>
  </si>
  <si>
    <t>ORD00143</t>
  </si>
  <si>
    <t>2024-01-24</t>
  </si>
  <si>
    <t>ORD00144</t>
  </si>
  <si>
    <t>2024-03-18</t>
  </si>
  <si>
    <t>ORD00145</t>
  </si>
  <si>
    <t>2023-12-25</t>
  </si>
  <si>
    <t>ORD00146</t>
  </si>
  <si>
    <t>ORD00147</t>
  </si>
  <si>
    <t>2023-02-10</t>
  </si>
  <si>
    <t>ORD00148</t>
  </si>
  <si>
    <t>2024-06-26</t>
  </si>
  <si>
    <t>ORD00149</t>
  </si>
  <si>
    <t>ORD00150</t>
  </si>
  <si>
    <t>2023-12-26</t>
  </si>
  <si>
    <t>ORD00151</t>
  </si>
  <si>
    <t>2023-06-16</t>
  </si>
  <si>
    <t>ORD00152</t>
  </si>
  <si>
    <t>2024-08-26</t>
  </si>
  <si>
    <t>ORD00153</t>
  </si>
  <si>
    <t>2023-02-01</t>
  </si>
  <si>
    <t>ORD00154</t>
  </si>
  <si>
    <t>2023-04-03</t>
  </si>
  <si>
    <t>ORD00155</t>
  </si>
  <si>
    <t>2023-09-21</t>
  </si>
  <si>
    <t>ORD00156</t>
  </si>
  <si>
    <t>ORD00157</t>
  </si>
  <si>
    <t>ORD00158</t>
  </si>
  <si>
    <t>2024-06-07</t>
  </si>
  <si>
    <t>ORD00159</t>
  </si>
  <si>
    <t>ORD00160</t>
  </si>
  <si>
    <t>2024-09-19</t>
  </si>
  <si>
    <t>ORD00161</t>
  </si>
  <si>
    <t>2024-10-30</t>
  </si>
  <si>
    <t>ORD00162</t>
  </si>
  <si>
    <t>2024-04-07</t>
  </si>
  <si>
    <t>ORD00163</t>
  </si>
  <si>
    <t>ORD00164</t>
  </si>
  <si>
    <t>2024-09-03</t>
  </si>
  <si>
    <t>ORD00165</t>
  </si>
  <si>
    <t>2023-09-23</t>
  </si>
  <si>
    <t>ORD00166</t>
  </si>
  <si>
    <t>2023-09-07</t>
  </si>
  <si>
    <t>ORD00167</t>
  </si>
  <si>
    <t>ORD00168</t>
  </si>
  <si>
    <t>2023-01-13</t>
  </si>
  <si>
    <t>ORD00169</t>
  </si>
  <si>
    <t>2024-02-27</t>
  </si>
  <si>
    <t>ORD00170</t>
  </si>
  <si>
    <t>2023-12-07</t>
  </si>
  <si>
    <t>ORD00171</t>
  </si>
  <si>
    <t>2023-01-22</t>
  </si>
  <si>
    <t>ORD00172</t>
  </si>
  <si>
    <t>2024-01-26</t>
  </si>
  <si>
    <t>ORD00173</t>
  </si>
  <si>
    <t>2024-03-21</t>
  </si>
  <si>
    <t>ORD00174</t>
  </si>
  <si>
    <t>2024-03-24</t>
  </si>
  <si>
    <t>ORD00175</t>
  </si>
  <si>
    <t>2024-08-13</t>
  </si>
  <si>
    <t>ORD00176</t>
  </si>
  <si>
    <t>ORD00177</t>
  </si>
  <si>
    <t>2024-05-19</t>
  </si>
  <si>
    <t>ORD00178</t>
  </si>
  <si>
    <t>2023-12-27</t>
  </si>
  <si>
    <t>ORD00179</t>
  </si>
  <si>
    <t>2024-01-12</t>
  </si>
  <si>
    <t>ORD00180</t>
  </si>
  <si>
    <t>2024-01-11</t>
  </si>
  <si>
    <t>ORD00181</t>
  </si>
  <si>
    <t>ORD00182</t>
  </si>
  <si>
    <t>2023-05-31</t>
  </si>
  <si>
    <t>ORD00183</t>
  </si>
  <si>
    <t>ORD00184</t>
  </si>
  <si>
    <t>2023-04-11</t>
  </si>
  <si>
    <t>ORD00185</t>
  </si>
  <si>
    <t>2023-10-17</t>
  </si>
  <si>
    <t>ORD00186</t>
  </si>
  <si>
    <t>2023-03-25</t>
  </si>
  <si>
    <t>ORD00187</t>
  </si>
  <si>
    <t>ORD00188</t>
  </si>
  <si>
    <t>2024-02-29</t>
  </si>
  <si>
    <t>ORD00189</t>
  </si>
  <si>
    <t>2024-07-16</t>
  </si>
  <si>
    <t>ORD00190</t>
  </si>
  <si>
    <t>2023-09-18</t>
  </si>
  <si>
    <t>ORD00191</t>
  </si>
  <si>
    <t>ORD00192</t>
  </si>
  <si>
    <t>2023-04-04</t>
  </si>
  <si>
    <t>ORD00193</t>
  </si>
  <si>
    <t>ORD00194</t>
  </si>
  <si>
    <t>2023-05-27</t>
  </si>
  <si>
    <t>ORD00195</t>
  </si>
  <si>
    <t>ORD00196</t>
  </si>
  <si>
    <t>2024-10-13</t>
  </si>
  <si>
    <t>ORD00197</t>
  </si>
  <si>
    <t>ORD00198</t>
  </si>
  <si>
    <t>ORD00199</t>
  </si>
  <si>
    <t>2024-08-25</t>
  </si>
  <si>
    <t>ORD00200</t>
  </si>
  <si>
    <t>ORD00201</t>
  </si>
  <si>
    <t>ORD00202</t>
  </si>
  <si>
    <t>2024-03-28</t>
  </si>
  <si>
    <t>ORD00203</t>
  </si>
  <si>
    <t>2023-09-19</t>
  </si>
  <si>
    <t>ORD00204</t>
  </si>
  <si>
    <t>2023-03-22</t>
  </si>
  <si>
    <t>ORD00205</t>
  </si>
  <si>
    <t>ORD00206</t>
  </si>
  <si>
    <t>2023-07-13</t>
  </si>
  <si>
    <t>ORD00207</t>
  </si>
  <si>
    <t>ORD00208</t>
  </si>
  <si>
    <t>2024-02-03</t>
  </si>
  <si>
    <t>ORD00209</t>
  </si>
  <si>
    <t>ORD00210</t>
  </si>
  <si>
    <t>2023-08-14</t>
  </si>
  <si>
    <t>ORD00211</t>
  </si>
  <si>
    <t>ORD00212</t>
  </si>
  <si>
    <t>2024-04-28</t>
  </si>
  <si>
    <t>ORD00213</t>
  </si>
  <si>
    <t>2024-06-15</t>
  </si>
  <si>
    <t>ORD00214</t>
  </si>
  <si>
    <t>2023-07-11</t>
  </si>
  <si>
    <t>ORD00215</t>
  </si>
  <si>
    <t>2024-05-25</t>
  </si>
  <si>
    <t>ORD00216</t>
  </si>
  <si>
    <t>2024-10-18</t>
  </si>
  <si>
    <t>ORD00217</t>
  </si>
  <si>
    <t>2024-03-14</t>
  </si>
  <si>
    <t>ORD00218</t>
  </si>
  <si>
    <t>2024-03-27</t>
  </si>
  <si>
    <t>ORD00219</t>
  </si>
  <si>
    <t>2023-10-10</t>
  </si>
  <si>
    <t>ORD00220</t>
  </si>
  <si>
    <t>2023-03-27</t>
  </si>
  <si>
    <t>ORD00221</t>
  </si>
  <si>
    <t>2023-06-28</t>
  </si>
  <si>
    <t>ORD00222</t>
  </si>
  <si>
    <t>2023-08-16</t>
  </si>
  <si>
    <t>ORD00223</t>
  </si>
  <si>
    <t>2024-08-29</t>
  </si>
  <si>
    <t>ORD00224</t>
  </si>
  <si>
    <t>ORD00225</t>
  </si>
  <si>
    <t>2024-09-01</t>
  </si>
  <si>
    <t>ORD00226</t>
  </si>
  <si>
    <t>2023-04-18</t>
  </si>
  <si>
    <t>ORD00227</t>
  </si>
  <si>
    <t>ORD00228</t>
  </si>
  <si>
    <t>2024-03-25</t>
  </si>
  <si>
    <t>ORD00229</t>
  </si>
  <si>
    <t>2024-02-07</t>
  </si>
  <si>
    <t>ORD00230</t>
  </si>
  <si>
    <t>2024-03-29</t>
  </si>
  <si>
    <t>ORD00231</t>
  </si>
  <si>
    <t>ORD00232</t>
  </si>
  <si>
    <t>ORD00233</t>
  </si>
  <si>
    <t>2023-01-10</t>
  </si>
  <si>
    <t>ORD00234</t>
  </si>
  <si>
    <t>ORD00235</t>
  </si>
  <si>
    <t>2024-06-19</t>
  </si>
  <si>
    <t>ORD00236</t>
  </si>
  <si>
    <t>2023-04-05</t>
  </si>
  <si>
    <t>ORD00237</t>
  </si>
  <si>
    <t>2023-02-22</t>
  </si>
  <si>
    <t>ORD00238</t>
  </si>
  <si>
    <t>2023-02-11</t>
  </si>
  <si>
    <t>ORD00239</t>
  </si>
  <si>
    <t>2024-01-01</t>
  </si>
  <si>
    <t>ORD00240</t>
  </si>
  <si>
    <t>2024-02-02</t>
  </si>
  <si>
    <t>ORD00241</t>
  </si>
  <si>
    <t>2024-06-25</t>
  </si>
  <si>
    <t>ORD00242</t>
  </si>
  <si>
    <t>2024-05-01</t>
  </si>
  <si>
    <t>ORD00243</t>
  </si>
  <si>
    <t>2023-11-09</t>
  </si>
  <si>
    <t>ORD00244</t>
  </si>
  <si>
    <t>2024-07-07</t>
  </si>
  <si>
    <t>ORD00245</t>
  </si>
  <si>
    <t>ORD00246</t>
  </si>
  <si>
    <t>ORD00247</t>
  </si>
  <si>
    <t>2024-04-21</t>
  </si>
  <si>
    <t>ORD00248</t>
  </si>
  <si>
    <t>2024-02-06</t>
  </si>
  <si>
    <t>ORD00249</t>
  </si>
  <si>
    <t>2024-10-10</t>
  </si>
  <si>
    <t>ORD00250</t>
  </si>
  <si>
    <t>ORD00251</t>
  </si>
  <si>
    <t>2023-08-07</t>
  </si>
  <si>
    <t>ORD00252</t>
  </si>
  <si>
    <t>2023-11-25</t>
  </si>
  <si>
    <t>ORD00253</t>
  </si>
  <si>
    <t>2024-05-06</t>
  </si>
  <si>
    <t>ORD00254</t>
  </si>
  <si>
    <t>2023-12-20</t>
  </si>
  <si>
    <t>ORD00255</t>
  </si>
  <si>
    <t>2023-09-28</t>
  </si>
  <si>
    <t>ORD00256</t>
  </si>
  <si>
    <t>2024-10-17</t>
  </si>
  <si>
    <t>ORD00257</t>
  </si>
  <si>
    <t>2023-01-29</t>
  </si>
  <si>
    <t>ORD00258</t>
  </si>
  <si>
    <t>ORD00259</t>
  </si>
  <si>
    <t>2024-03-08</t>
  </si>
  <si>
    <t>ORD00260</t>
  </si>
  <si>
    <t>ORD00261</t>
  </si>
  <si>
    <t>ORD00262</t>
  </si>
  <si>
    <t>2023-02-05</t>
  </si>
  <si>
    <t>ORD00263</t>
  </si>
  <si>
    <t>2023-11-23</t>
  </si>
  <si>
    <t>ORD00264</t>
  </si>
  <si>
    <t>2024-05-08</t>
  </si>
  <si>
    <t>ORD00265</t>
  </si>
  <si>
    <t>2023-05-25</t>
  </si>
  <si>
    <t>ORD00266</t>
  </si>
  <si>
    <t>2023-09-14</t>
  </si>
  <si>
    <t>ORD00267</t>
  </si>
  <si>
    <t>ORD00268</t>
  </si>
  <si>
    <t>2023-12-24</t>
  </si>
  <si>
    <t>ORD00269</t>
  </si>
  <si>
    <t>ORD00270</t>
  </si>
  <si>
    <t>2023-11-26</t>
  </si>
  <si>
    <t>ORD00271</t>
  </si>
  <si>
    <t>ORD00272</t>
  </si>
  <si>
    <t>2024-04-29</t>
  </si>
  <si>
    <t>ORD00273</t>
  </si>
  <si>
    <t>2023-07-17</t>
  </si>
  <si>
    <t>ORD00274</t>
  </si>
  <si>
    <t>ORD00275</t>
  </si>
  <si>
    <t>2024-11-19</t>
  </si>
  <si>
    <t>ORD00276</t>
  </si>
  <si>
    <t>2024-11-04</t>
  </si>
  <si>
    <t>ORD00277</t>
  </si>
  <si>
    <t>2024-10-27</t>
  </si>
  <si>
    <t>ORD00278</t>
  </si>
  <si>
    <t>2023-01-11</t>
  </si>
  <si>
    <t>ORD00279</t>
  </si>
  <si>
    <t>ORD00280</t>
  </si>
  <si>
    <t>2024-11-03</t>
  </si>
  <si>
    <t>ORD00281</t>
  </si>
  <si>
    <t>2024-10-26</t>
  </si>
  <si>
    <t>ORD00282</t>
  </si>
  <si>
    <t>2024-01-09</t>
  </si>
  <si>
    <t>ORD00283</t>
  </si>
  <si>
    <t>2023-03-10</t>
  </si>
  <si>
    <t>ORD00284</t>
  </si>
  <si>
    <t>ORD00285</t>
  </si>
  <si>
    <t>2023-09-29</t>
  </si>
  <si>
    <t>ORD00286</t>
  </si>
  <si>
    <t>2023-06-17</t>
  </si>
  <si>
    <t>ORD00287</t>
  </si>
  <si>
    <t>2023-05-18</t>
  </si>
  <si>
    <t>ORD00288</t>
  </si>
  <si>
    <t>ORD00289</t>
  </si>
  <si>
    <t>2023-12-05</t>
  </si>
  <si>
    <t>ORD00290</t>
  </si>
  <si>
    <t>ORD00291</t>
  </si>
  <si>
    <t>2023-06-18</t>
  </si>
  <si>
    <t>ORD00292</t>
  </si>
  <si>
    <t>2024-05-13</t>
  </si>
  <si>
    <t>ORD00293</t>
  </si>
  <si>
    <t>2023-11-27</t>
  </si>
  <si>
    <t>ORD00294</t>
  </si>
  <si>
    <t>ORD00295</t>
  </si>
  <si>
    <t>2024-10-02</t>
  </si>
  <si>
    <t>ORD00296</t>
  </si>
  <si>
    <t>2024-07-28</t>
  </si>
  <si>
    <t>ORD00297</t>
  </si>
  <si>
    <t>ORD00298</t>
  </si>
  <si>
    <t>2024-03-13</t>
  </si>
  <si>
    <t>ORD00299</t>
  </si>
  <si>
    <t>2024-09-04</t>
  </si>
  <si>
    <t>ORD00300</t>
  </si>
  <si>
    <t>2024-10-23</t>
  </si>
  <si>
    <t>ORD00301</t>
  </si>
  <si>
    <t>2024-02-22</t>
  </si>
  <si>
    <t>ORD00302</t>
  </si>
  <si>
    <t>2023-02-21</t>
  </si>
  <si>
    <t>ORD00303</t>
  </si>
  <si>
    <t>ORD00304</t>
  </si>
  <si>
    <t>2024-07-06</t>
  </si>
  <si>
    <t>ORD00305</t>
  </si>
  <si>
    <t>ORD00306</t>
  </si>
  <si>
    <t>2023-02-14</t>
  </si>
  <si>
    <t>ORD00307</t>
  </si>
  <si>
    <t>ORD00308</t>
  </si>
  <si>
    <t>ORD00309</t>
  </si>
  <si>
    <t>2023-10-07</t>
  </si>
  <si>
    <t>ORD00310</t>
  </si>
  <si>
    <t>ORD00311</t>
  </si>
  <si>
    <t>2023-02-16</t>
  </si>
  <si>
    <t>ORD00312</t>
  </si>
  <si>
    <t>ORD00313</t>
  </si>
  <si>
    <t>2024-01-28</t>
  </si>
  <si>
    <t>ORD00314</t>
  </si>
  <si>
    <t>2024-02-23</t>
  </si>
  <si>
    <t>ORD00315</t>
  </si>
  <si>
    <t>2023-05-08</t>
  </si>
  <si>
    <t>ORD00316</t>
  </si>
  <si>
    <t>2023-12-29</t>
  </si>
  <si>
    <t>ORD00317</t>
  </si>
  <si>
    <t>ORD00318</t>
  </si>
  <si>
    <t>2024-05-03</t>
  </si>
  <si>
    <t>ORD00319</t>
  </si>
  <si>
    <t>2023-12-28</t>
  </si>
  <si>
    <t>ORD00320</t>
  </si>
  <si>
    <t>2023-08-29</t>
  </si>
  <si>
    <t>ORD00321</t>
  </si>
  <si>
    <t>ORD00322</t>
  </si>
  <si>
    <t>2023-10-27</t>
  </si>
  <si>
    <t>ORD00323</t>
  </si>
  <si>
    <t>2023-01-31</t>
  </si>
  <si>
    <t>ORD00324</t>
  </si>
  <si>
    <t>2023-05-23</t>
  </si>
  <si>
    <t>ORD00325</t>
  </si>
  <si>
    <t>2024-09-12</t>
  </si>
  <si>
    <t>ORD00326</t>
  </si>
  <si>
    <t>2024-09-28</t>
  </si>
  <si>
    <t>ORD00327</t>
  </si>
  <si>
    <t>2023-01-15</t>
  </si>
  <si>
    <t>ORD00328</t>
  </si>
  <si>
    <t>2024-08-12</t>
  </si>
  <si>
    <t>ORD00329</t>
  </si>
  <si>
    <t>2024-09-08</t>
  </si>
  <si>
    <t>ORD00330</t>
  </si>
  <si>
    <t>2024-01-14</t>
  </si>
  <si>
    <t>ORD00331</t>
  </si>
  <si>
    <t>ORD00332</t>
  </si>
  <si>
    <t>2023-04-23</t>
  </si>
  <si>
    <t>ORD00333</t>
  </si>
  <si>
    <t>ORD00334</t>
  </si>
  <si>
    <t>ORD00335</t>
  </si>
  <si>
    <t>ORD00336</t>
  </si>
  <si>
    <t>ORD00337</t>
  </si>
  <si>
    <t>2023-05-07</t>
  </si>
  <si>
    <t>ORD00338</t>
  </si>
  <si>
    <t>2023-08-03</t>
  </si>
  <si>
    <t>ORD00339</t>
  </si>
  <si>
    <t>ORD00340</t>
  </si>
  <si>
    <t>2023-10-31</t>
  </si>
  <si>
    <t>ORD00341</t>
  </si>
  <si>
    <t>2024-03-01</t>
  </si>
  <si>
    <t>ORD00342</t>
  </si>
  <si>
    <t>2024-01-02</t>
  </si>
  <si>
    <t>ORD00343</t>
  </si>
  <si>
    <t>2024-08-04</t>
  </si>
  <si>
    <t>ORD00344</t>
  </si>
  <si>
    <t>2024-04-23</t>
  </si>
  <si>
    <t>ORD00345</t>
  </si>
  <si>
    <t>2024-10-29</t>
  </si>
  <si>
    <t>ORD00346</t>
  </si>
  <si>
    <t>ORD00347</t>
  </si>
  <si>
    <t>ORD00348</t>
  </si>
  <si>
    <t>2024-03-07</t>
  </si>
  <si>
    <t>ORD00349</t>
  </si>
  <si>
    <t>2024-06-01</t>
  </si>
  <si>
    <t>ORD00350</t>
  </si>
  <si>
    <t>ORD00351</t>
  </si>
  <si>
    <t>2023-06-08</t>
  </si>
  <si>
    <t>ORD00352</t>
  </si>
  <si>
    <t>2024-03-11</t>
  </si>
  <si>
    <t>ORD00353</t>
  </si>
  <si>
    <t>2023-05-17</t>
  </si>
  <si>
    <t>ORD00354</t>
  </si>
  <si>
    <t>ORD00355</t>
  </si>
  <si>
    <t>2024-12-01</t>
  </si>
  <si>
    <t>ORD00356</t>
  </si>
  <si>
    <t>ORD00357</t>
  </si>
  <si>
    <t>2023-08-26</t>
  </si>
  <si>
    <t>ORD00358</t>
  </si>
  <si>
    <t>2024-06-18</t>
  </si>
  <si>
    <t>ORD00359</t>
  </si>
  <si>
    <t>2024-11-02</t>
  </si>
  <si>
    <t>ORD00360</t>
  </si>
  <si>
    <t>ORD00361</t>
  </si>
  <si>
    <t>ORD00362</t>
  </si>
  <si>
    <t>2024-07-01</t>
  </si>
  <si>
    <t>ORD00363</t>
  </si>
  <si>
    <t>2024-04-08</t>
  </si>
  <si>
    <t>ORD00364</t>
  </si>
  <si>
    <t>2024-06-02</t>
  </si>
  <si>
    <t>ORD00365</t>
  </si>
  <si>
    <t>2023-05-12</t>
  </si>
  <si>
    <t>ORD00366</t>
  </si>
  <si>
    <t>2023-07-29</t>
  </si>
  <si>
    <t>ORD00367</t>
  </si>
  <si>
    <t>2023-09-11</t>
  </si>
  <si>
    <t>ORD00368</t>
  </si>
  <si>
    <t>2023-04-16</t>
  </si>
  <si>
    <t>ORD00369</t>
  </si>
  <si>
    <t>2024-02-13</t>
  </si>
  <si>
    <t>ORD00370</t>
  </si>
  <si>
    <t>2024-06-13</t>
  </si>
  <si>
    <t>ORD00371</t>
  </si>
  <si>
    <t>ORD00372</t>
  </si>
  <si>
    <t>2023-06-19</t>
  </si>
  <si>
    <t>ORD00373</t>
  </si>
  <si>
    <t>ORD00374</t>
  </si>
  <si>
    <t>ORD00375</t>
  </si>
  <si>
    <t>ORD00376</t>
  </si>
  <si>
    <t>2023-10-23</t>
  </si>
  <si>
    <t>ORD00377</t>
  </si>
  <si>
    <t>2024-01-22</t>
  </si>
  <si>
    <t>ORD00378</t>
  </si>
  <si>
    <t>ORD00379</t>
  </si>
  <si>
    <t>2023-06-02</t>
  </si>
  <si>
    <t>ORD00380</t>
  </si>
  <si>
    <t>2024-05-12</t>
  </si>
  <si>
    <t>ORD00381</t>
  </si>
  <si>
    <t>2023-06-01</t>
  </si>
  <si>
    <t>ORD00382</t>
  </si>
  <si>
    <t>2023-11-13</t>
  </si>
  <si>
    <t>ORD00383</t>
  </si>
  <si>
    <t>2023-01-19</t>
  </si>
  <si>
    <t>ORD00384</t>
  </si>
  <si>
    <t>2023-01-07</t>
  </si>
  <si>
    <t>ORD00385</t>
  </si>
  <si>
    <t>2024-05-04</t>
  </si>
  <si>
    <t>ORD00386</t>
  </si>
  <si>
    <t>2023-07-05</t>
  </si>
  <si>
    <t>ORD00387</t>
  </si>
  <si>
    <t>2023-05-26</t>
  </si>
  <si>
    <t>ORD00388</t>
  </si>
  <si>
    <t>2023-11-05</t>
  </si>
  <si>
    <t>ORD00389</t>
  </si>
  <si>
    <t>2024-07-04</t>
  </si>
  <si>
    <t>ORD00390</t>
  </si>
  <si>
    <t>2023-11-21</t>
  </si>
  <si>
    <t>ORD00391</t>
  </si>
  <si>
    <t>ORD00392</t>
  </si>
  <si>
    <t>ORD00393</t>
  </si>
  <si>
    <t>ORD00394</t>
  </si>
  <si>
    <t>ORD00395</t>
  </si>
  <si>
    <t>ORD00396</t>
  </si>
  <si>
    <t>2023-12-21</t>
  </si>
  <si>
    <t>ORD00397</t>
  </si>
  <si>
    <t>2023-08-30</t>
  </si>
  <si>
    <t>ORD00398</t>
  </si>
  <si>
    <t>2023-01-25</t>
  </si>
  <si>
    <t>ORD00399</t>
  </si>
  <si>
    <t>2023-08-04</t>
  </si>
  <si>
    <t>ORD00400</t>
  </si>
  <si>
    <t>2024-11-05</t>
  </si>
  <si>
    <t>ORD00401</t>
  </si>
  <si>
    <t>2023-12-18</t>
  </si>
  <si>
    <t>ORD00402</t>
  </si>
  <si>
    <t>2023-01-17</t>
  </si>
  <si>
    <t>ORD00403</t>
  </si>
  <si>
    <t>ORD00404</t>
  </si>
  <si>
    <t>2024-09-29</t>
  </si>
  <si>
    <t>ORD00405</t>
  </si>
  <si>
    <t>2024-06-08</t>
  </si>
  <si>
    <t>ORD00406</t>
  </si>
  <si>
    <t>ORD00407</t>
  </si>
  <si>
    <t>2023-05-24</t>
  </si>
  <si>
    <t>ORD00408</t>
  </si>
  <si>
    <t>2024-03-26</t>
  </si>
  <si>
    <t>ORD00409</t>
  </si>
  <si>
    <t>ORD00410</t>
  </si>
  <si>
    <t>2024-07-02</t>
  </si>
  <si>
    <t>ORD00411</t>
  </si>
  <si>
    <t>2023-12-01</t>
  </si>
  <si>
    <t>ORD00412</t>
  </si>
  <si>
    <t>2024-10-28</t>
  </si>
  <si>
    <t>ORD00413</t>
  </si>
  <si>
    <t>2023-12-17</t>
  </si>
  <si>
    <t>ORD00414</t>
  </si>
  <si>
    <t>2023-08-23</t>
  </si>
  <si>
    <t>ORD00415</t>
  </si>
  <si>
    <t>2024-03-17</t>
  </si>
  <si>
    <t>ORD00416</t>
  </si>
  <si>
    <t>ORD00417</t>
  </si>
  <si>
    <t>2024-01-30</t>
  </si>
  <si>
    <t>ORD00418</t>
  </si>
  <si>
    <t>2024-02-26</t>
  </si>
  <si>
    <t>ORD00419</t>
  </si>
  <si>
    <t>ORD00420</t>
  </si>
  <si>
    <t>2023-06-25</t>
  </si>
  <si>
    <t>ORD00421</t>
  </si>
  <si>
    <t>2024-08-23</t>
  </si>
  <si>
    <t>ORD00422</t>
  </si>
  <si>
    <t>ORD00423</t>
  </si>
  <si>
    <t>ORD00424</t>
  </si>
  <si>
    <t>2024-11-20</t>
  </si>
  <si>
    <t>ORD00425</t>
  </si>
  <si>
    <t>ORD00426</t>
  </si>
  <si>
    <t>ORD00427</t>
  </si>
  <si>
    <t>ORD00428</t>
  </si>
  <si>
    <t>2024-02-18</t>
  </si>
  <si>
    <t>ORD00429</t>
  </si>
  <si>
    <t>2023-01-05</t>
  </si>
  <si>
    <t>ORD00430</t>
  </si>
  <si>
    <t>ORD00431</t>
  </si>
  <si>
    <t>ORD00432</t>
  </si>
  <si>
    <t>ORD00433</t>
  </si>
  <si>
    <t>2023-06-21</t>
  </si>
  <si>
    <t>ORD00434</t>
  </si>
  <si>
    <t>ORD00435</t>
  </si>
  <si>
    <t>2023-10-25</t>
  </si>
  <si>
    <t>ORD00436</t>
  </si>
  <si>
    <t>ORD00437</t>
  </si>
  <si>
    <t>2024-01-04</t>
  </si>
  <si>
    <t>ORD00438</t>
  </si>
  <si>
    <t>2023-04-24</t>
  </si>
  <si>
    <t>ORD00439</t>
  </si>
  <si>
    <t>2024-07-31</t>
  </si>
  <si>
    <t>ORD00440</t>
  </si>
  <si>
    <t>2024-10-11</t>
  </si>
  <si>
    <t>ORD00441</t>
  </si>
  <si>
    <t>ORD00442</t>
  </si>
  <si>
    <t>2024-04-11</t>
  </si>
  <si>
    <t>ORD00443</t>
  </si>
  <si>
    <t>2023-06-09</t>
  </si>
  <si>
    <t>ORD00444</t>
  </si>
  <si>
    <t>2024-02-20</t>
  </si>
  <si>
    <t>ORD00445</t>
  </si>
  <si>
    <t>2024-08-20</t>
  </si>
  <si>
    <t>ORD00446</t>
  </si>
  <si>
    <t>ORD00447</t>
  </si>
  <si>
    <t>2023-07-20</t>
  </si>
  <si>
    <t>ORD00448</t>
  </si>
  <si>
    <t>ORD00449</t>
  </si>
  <si>
    <t>2023-08-22</t>
  </si>
  <si>
    <t>ORD00450</t>
  </si>
  <si>
    <t>2023-08-17</t>
  </si>
  <si>
    <t>ORD00451</t>
  </si>
  <si>
    <t>2023-09-22</t>
  </si>
  <si>
    <t>ORD00452</t>
  </si>
  <si>
    <t>ORD00453</t>
  </si>
  <si>
    <t>2024-04-01</t>
  </si>
  <si>
    <t>ORD00454</t>
  </si>
  <si>
    <t>2023-01-01</t>
  </si>
  <si>
    <t>ORD00455</t>
  </si>
  <si>
    <t>2024-07-12</t>
  </si>
  <si>
    <t>ORD00456</t>
  </si>
  <si>
    <t>2024-07-11</t>
  </si>
  <si>
    <t>ORD00457</t>
  </si>
  <si>
    <t>ORD00458</t>
  </si>
  <si>
    <t>2023-09-05</t>
  </si>
  <si>
    <t>ORD00459</t>
  </si>
  <si>
    <t>ORD00460</t>
  </si>
  <si>
    <t>2024-10-05</t>
  </si>
  <si>
    <t>ORD00461</t>
  </si>
  <si>
    <t>ORD00462</t>
  </si>
  <si>
    <t>2024-05-16</t>
  </si>
  <si>
    <t>ORD00463</t>
  </si>
  <si>
    <t>ORD00464</t>
  </si>
  <si>
    <t>2023-06-30</t>
  </si>
  <si>
    <t>ORD00465</t>
  </si>
  <si>
    <t>2023-04-30</t>
  </si>
  <si>
    <t>ORD00466</t>
  </si>
  <si>
    <t>ORD00467</t>
  </si>
  <si>
    <t>2024-04-24</t>
  </si>
  <si>
    <t>ORD00468</t>
  </si>
  <si>
    <t>2024-05-30</t>
  </si>
  <si>
    <t>ORD00469</t>
  </si>
  <si>
    <t>ORD00470</t>
  </si>
  <si>
    <t>ORD00471</t>
  </si>
  <si>
    <t>ORD00472</t>
  </si>
  <si>
    <t>2024-03-10</t>
  </si>
  <si>
    <t>ORD00473</t>
  </si>
  <si>
    <t>ORD00474</t>
  </si>
  <si>
    <t>ORD00475</t>
  </si>
  <si>
    <t>2023-03-17</t>
  </si>
  <si>
    <t>ORD00476</t>
  </si>
  <si>
    <t>ORD00477</t>
  </si>
  <si>
    <t>ORD00478</t>
  </si>
  <si>
    <t>ORD00479</t>
  </si>
  <si>
    <t>ORD00480</t>
  </si>
  <si>
    <t>ORD00481</t>
  </si>
  <si>
    <t>2024-03-15</t>
  </si>
  <si>
    <t>ORD00482</t>
  </si>
  <si>
    <t>2023-09-09</t>
  </si>
  <si>
    <t>ORD00483</t>
  </si>
  <si>
    <t>2023-09-27</t>
  </si>
  <si>
    <t>ORD00484</t>
  </si>
  <si>
    <t>2024-07-25</t>
  </si>
  <si>
    <t>ORD00485</t>
  </si>
  <si>
    <t>2023-07-14</t>
  </si>
  <si>
    <t>ORD00486</t>
  </si>
  <si>
    <t>2023-07-16</t>
  </si>
  <si>
    <t>ORD00487</t>
  </si>
  <si>
    <t>2024-08-09</t>
  </si>
  <si>
    <t>ORD00488</t>
  </si>
  <si>
    <t>2024-04-22</t>
  </si>
  <si>
    <t>ORD00489</t>
  </si>
  <si>
    <t>ORD00490</t>
  </si>
  <si>
    <t>2023-10-20</t>
  </si>
  <si>
    <t>ORD00491</t>
  </si>
  <si>
    <t>2024-09-20</t>
  </si>
  <si>
    <t>ORD00492</t>
  </si>
  <si>
    <t>2024-03-31</t>
  </si>
  <si>
    <t>ORD00493</t>
  </si>
  <si>
    <t>ORD00494</t>
  </si>
  <si>
    <t>ORD00495</t>
  </si>
  <si>
    <t>2024-10-21</t>
  </si>
  <si>
    <t>ORD00496</t>
  </si>
  <si>
    <t>ORD00497</t>
  </si>
  <si>
    <t>ORD00498</t>
  </si>
  <si>
    <t>2024-06-21</t>
  </si>
  <si>
    <t>ORD00499</t>
  </si>
  <si>
    <t>ORD00500</t>
  </si>
  <si>
    <t>ORD00501</t>
  </si>
  <si>
    <t>ORD00502</t>
  </si>
  <si>
    <t>ORD00503</t>
  </si>
  <si>
    <t>2023-02-13</t>
  </si>
  <si>
    <t>ORD00504</t>
  </si>
  <si>
    <t>2023-01-21</t>
  </si>
  <si>
    <t>ORD00505</t>
  </si>
  <si>
    <t>ORD00506</t>
  </si>
  <si>
    <t>2023-02-12</t>
  </si>
  <si>
    <t>ORD00507</t>
  </si>
  <si>
    <t>2023-06-22</t>
  </si>
  <si>
    <t>ORD00508</t>
  </si>
  <si>
    <t>2023-02-06</t>
  </si>
  <si>
    <t>ORD00509</t>
  </si>
  <si>
    <t>2023-10-14</t>
  </si>
  <si>
    <t>ORD00510</t>
  </si>
  <si>
    <t>ORD00511</t>
  </si>
  <si>
    <t>2023-09-26</t>
  </si>
  <si>
    <t>ORD00512</t>
  </si>
  <si>
    <t>2023-11-17</t>
  </si>
  <si>
    <t>ORD00513</t>
  </si>
  <si>
    <t>ORD00514</t>
  </si>
  <si>
    <t>2023-09-03</t>
  </si>
  <si>
    <t>ORD00515</t>
  </si>
  <si>
    <t>2023-06-06</t>
  </si>
  <si>
    <t>ORD00516</t>
  </si>
  <si>
    <t>ORD00517</t>
  </si>
  <si>
    <t>2024-02-28</t>
  </si>
  <si>
    <t>ORD00518</t>
  </si>
  <si>
    <t>ORD00519</t>
  </si>
  <si>
    <t>2023-05-29</t>
  </si>
  <si>
    <t>ORD00520</t>
  </si>
  <si>
    <t>2024-04-20</t>
  </si>
  <si>
    <t>ORD00521</t>
  </si>
  <si>
    <t>2023-09-20</t>
  </si>
  <si>
    <t>ORD00522</t>
  </si>
  <si>
    <t>2023-08-21</t>
  </si>
  <si>
    <t>ORD00523</t>
  </si>
  <si>
    <t>2024-01-29</t>
  </si>
  <si>
    <t>ORD00524</t>
  </si>
  <si>
    <t>2024-11-07</t>
  </si>
  <si>
    <t>ORD00525</t>
  </si>
  <si>
    <t>2024-11-25</t>
  </si>
  <si>
    <t>ORD00526</t>
  </si>
  <si>
    <t>2024-01-27</t>
  </si>
  <si>
    <t>ORD00527</t>
  </si>
  <si>
    <t>ORD00528</t>
  </si>
  <si>
    <t>2023-04-25</t>
  </si>
  <si>
    <t>ORD00529</t>
  </si>
  <si>
    <t>ORD00530</t>
  </si>
  <si>
    <t>ORD00531</t>
  </si>
  <si>
    <t>ORD00532</t>
  </si>
  <si>
    <t>ORD00533</t>
  </si>
  <si>
    <t>2023-12-10</t>
  </si>
  <si>
    <t>ORD00534</t>
  </si>
  <si>
    <t>ORD00535</t>
  </si>
  <si>
    <t>ORD00536</t>
  </si>
  <si>
    <t>ORD00537</t>
  </si>
  <si>
    <t>2024-08-21</t>
  </si>
  <si>
    <t>ORD00538</t>
  </si>
  <si>
    <t>ORD00539</t>
  </si>
  <si>
    <t>ORD00540</t>
  </si>
  <si>
    <t>2024-11-16</t>
  </si>
  <si>
    <t>ORD00541</t>
  </si>
  <si>
    <t>ORD00542</t>
  </si>
  <si>
    <t>2024-04-14</t>
  </si>
  <si>
    <t>ORD00543</t>
  </si>
  <si>
    <t>ORD00544</t>
  </si>
  <si>
    <t>ORD00545</t>
  </si>
  <si>
    <t>2024-04-04</t>
  </si>
  <si>
    <t>ORD00546</t>
  </si>
  <si>
    <t>2024-11-10</t>
  </si>
  <si>
    <t>ORD00547</t>
  </si>
  <si>
    <t>2024-08-02</t>
  </si>
  <si>
    <t>ORD00548</t>
  </si>
  <si>
    <t>ORD00549</t>
  </si>
  <si>
    <t>2024-05-27</t>
  </si>
  <si>
    <t>ORD00550</t>
  </si>
  <si>
    <t>ORD00551</t>
  </si>
  <si>
    <t>ORD00552</t>
  </si>
  <si>
    <t>2024-10-06</t>
  </si>
  <si>
    <t>ORD00553</t>
  </si>
  <si>
    <t>ORD00554</t>
  </si>
  <si>
    <t>ORD00555</t>
  </si>
  <si>
    <t>ORD00556</t>
  </si>
  <si>
    <t>ORD00557</t>
  </si>
  <si>
    <t>ORD00558</t>
  </si>
  <si>
    <t>2023-10-15</t>
  </si>
  <si>
    <t>ORD00559</t>
  </si>
  <si>
    <t>2024-09-06</t>
  </si>
  <si>
    <t>ORD00560</t>
  </si>
  <si>
    <t>2023-02-23</t>
  </si>
  <si>
    <t>ORD00561</t>
  </si>
  <si>
    <t>2023-12-06</t>
  </si>
  <si>
    <t>ORD00562</t>
  </si>
  <si>
    <t>ORD00563</t>
  </si>
  <si>
    <t>ORD00564</t>
  </si>
  <si>
    <t>2023-09-04</t>
  </si>
  <si>
    <t>ORD00565</t>
  </si>
  <si>
    <t>ORD00566</t>
  </si>
  <si>
    <t>2024-01-23</t>
  </si>
  <si>
    <t>ORD00567</t>
  </si>
  <si>
    <t>ORD00568</t>
  </si>
  <si>
    <t>2024-01-31</t>
  </si>
  <si>
    <t>ORD00569</t>
  </si>
  <si>
    <t>ORD00570</t>
  </si>
  <si>
    <t>2023-08-01</t>
  </si>
  <si>
    <t>ORD00571</t>
  </si>
  <si>
    <t>ORD00572</t>
  </si>
  <si>
    <t>ORD00573</t>
  </si>
  <si>
    <t>ORD00574</t>
  </si>
  <si>
    <t>ORD00575</t>
  </si>
  <si>
    <t>ORD00576</t>
  </si>
  <si>
    <t>ORD00577</t>
  </si>
  <si>
    <t>2023-11-16</t>
  </si>
  <si>
    <t>ORD00578</t>
  </si>
  <si>
    <t>2024-06-06</t>
  </si>
  <si>
    <t>ORD00579</t>
  </si>
  <si>
    <t>ORD00580</t>
  </si>
  <si>
    <t>2024-05-11</t>
  </si>
  <si>
    <t>ORD00581</t>
  </si>
  <si>
    <t>ORD00582</t>
  </si>
  <si>
    <t>ORD00583</t>
  </si>
  <si>
    <t>ORD00584</t>
  </si>
  <si>
    <t>ORD00585</t>
  </si>
  <si>
    <t>2024-11-11</t>
  </si>
  <si>
    <t>ORD00586</t>
  </si>
  <si>
    <t>ORD00587</t>
  </si>
  <si>
    <t>2024-02-04</t>
  </si>
  <si>
    <t>ORD00588</t>
  </si>
  <si>
    <t>2024-03-03</t>
  </si>
  <si>
    <t>ORD00589</t>
  </si>
  <si>
    <t>2024-06-14</t>
  </si>
  <si>
    <t>ORD00590</t>
  </si>
  <si>
    <t>ORD00591</t>
  </si>
  <si>
    <t>2023-07-01</t>
  </si>
  <si>
    <t>ORD00592</t>
  </si>
  <si>
    <t>2023-12-22</t>
  </si>
  <si>
    <t>ORD00593</t>
  </si>
  <si>
    <t>2023-11-04</t>
  </si>
  <si>
    <t>ORD00594</t>
  </si>
  <si>
    <t>ORD00595</t>
  </si>
  <si>
    <t>ORD00596</t>
  </si>
  <si>
    <t>2023-12-31</t>
  </si>
  <si>
    <t>ORD00597</t>
  </si>
  <si>
    <t>ORD00598</t>
  </si>
  <si>
    <t>ORD00599</t>
  </si>
  <si>
    <t>ORD00600</t>
  </si>
  <si>
    <t>ORD00601</t>
  </si>
  <si>
    <t>2024-10-22</t>
  </si>
  <si>
    <t>ORD00602</t>
  </si>
  <si>
    <t>2024-08-03</t>
  </si>
  <si>
    <t>ORD00603</t>
  </si>
  <si>
    <t>ORD00604</t>
  </si>
  <si>
    <t>ORD00605</t>
  </si>
  <si>
    <t>2023-04-17</t>
  </si>
  <si>
    <t>ORD00606</t>
  </si>
  <si>
    <t>ORD00607</t>
  </si>
  <si>
    <t>ORD00608</t>
  </si>
  <si>
    <t>ORD00609</t>
  </si>
  <si>
    <t>2023-11-03</t>
  </si>
  <si>
    <t>ORD00610</t>
  </si>
  <si>
    <t>ORD00611</t>
  </si>
  <si>
    <t>ORD00612</t>
  </si>
  <si>
    <t>ORD00613</t>
  </si>
  <si>
    <t>2024-06-30</t>
  </si>
  <si>
    <t>ORD00614</t>
  </si>
  <si>
    <t>ORD00615</t>
  </si>
  <si>
    <t>ORD00616</t>
  </si>
  <si>
    <t>ORD00617</t>
  </si>
  <si>
    <t>2023-05-01</t>
  </si>
  <si>
    <t>ORD00618</t>
  </si>
  <si>
    <t>ORD00619</t>
  </si>
  <si>
    <t>ORD00620</t>
  </si>
  <si>
    <t>2024-07-24</t>
  </si>
  <si>
    <t>ORD00621</t>
  </si>
  <si>
    <t>ORD00622</t>
  </si>
  <si>
    <t>ORD00623</t>
  </si>
  <si>
    <t>ORD00624</t>
  </si>
  <si>
    <t>2023-05-19</t>
  </si>
  <si>
    <t>ORD00625</t>
  </si>
  <si>
    <t>2023-03-06</t>
  </si>
  <si>
    <t>ORD00626</t>
  </si>
  <si>
    <t>ORD00627</t>
  </si>
  <si>
    <t>2023-03-03</t>
  </si>
  <si>
    <t>ORD00628</t>
  </si>
  <si>
    <t>ORD00629</t>
  </si>
  <si>
    <t>2023-02-19</t>
  </si>
  <si>
    <t>ORD00630</t>
  </si>
  <si>
    <t>2023-06-11</t>
  </si>
  <si>
    <t>ORD00631</t>
  </si>
  <si>
    <t>2023-08-06</t>
  </si>
  <si>
    <t>ORD00632</t>
  </si>
  <si>
    <t>ORD00633</t>
  </si>
  <si>
    <t>ORD00634</t>
  </si>
  <si>
    <t>2023-11-08</t>
  </si>
  <si>
    <t>ORD00635</t>
  </si>
  <si>
    <t>ORD00636</t>
  </si>
  <si>
    <t>2023-03-04</t>
  </si>
  <si>
    <t>ORD00637</t>
  </si>
  <si>
    <t>2024-05-07</t>
  </si>
  <si>
    <t>ORD00638</t>
  </si>
  <si>
    <t>2024-08-01</t>
  </si>
  <si>
    <t>ORD00639</t>
  </si>
  <si>
    <t>ORD00640</t>
  </si>
  <si>
    <t>2023-01-08</t>
  </si>
  <si>
    <t>ORD00641</t>
  </si>
  <si>
    <t>2024-04-15</t>
  </si>
  <si>
    <t>ORD00642</t>
  </si>
  <si>
    <t>ORD00643</t>
  </si>
  <si>
    <t>ORD00644</t>
  </si>
  <si>
    <t>ORD00645</t>
  </si>
  <si>
    <t>ORD00646</t>
  </si>
  <si>
    <t>ORD00647</t>
  </si>
  <si>
    <t>2023-03-30</t>
  </si>
  <si>
    <t>ORD00648</t>
  </si>
  <si>
    <t>2024-03-09</t>
  </si>
  <si>
    <t>ORD00649</t>
  </si>
  <si>
    <t>2024-07-05</t>
  </si>
  <si>
    <t>ORD00650</t>
  </si>
  <si>
    <t>ORD00651</t>
  </si>
  <si>
    <t>2023-01-04</t>
  </si>
  <si>
    <t>ORD00652</t>
  </si>
  <si>
    <t>ORD00653</t>
  </si>
  <si>
    <t>2023-08-25</t>
  </si>
  <si>
    <t>ORD00654</t>
  </si>
  <si>
    <t>2023-02-08</t>
  </si>
  <si>
    <t>ORD00655</t>
  </si>
  <si>
    <t>ORD00656</t>
  </si>
  <si>
    <t>ORD00657</t>
  </si>
  <si>
    <t>ORD00658</t>
  </si>
  <si>
    <t>ORD00659</t>
  </si>
  <si>
    <t>2024-04-26</t>
  </si>
  <si>
    <t>ORD00660</t>
  </si>
  <si>
    <t>ORD00661</t>
  </si>
  <si>
    <t>ORD00662</t>
  </si>
  <si>
    <t>ORD00663</t>
  </si>
  <si>
    <t>ORD00664</t>
  </si>
  <si>
    <t>ORD00665</t>
  </si>
  <si>
    <t>2023-10-21</t>
  </si>
  <si>
    <t>ORD00666</t>
  </si>
  <si>
    <t>ORD00667</t>
  </si>
  <si>
    <t>ORD00668</t>
  </si>
  <si>
    <t>2023-11-02</t>
  </si>
  <si>
    <t>ORD00669</t>
  </si>
  <si>
    <t>ORD00670</t>
  </si>
  <si>
    <t>2023-02-09</t>
  </si>
  <si>
    <t>ORD00671</t>
  </si>
  <si>
    <t>ORD00672</t>
  </si>
  <si>
    <t>ORD00673</t>
  </si>
  <si>
    <t>ORD00674</t>
  </si>
  <si>
    <t>2024-06-12</t>
  </si>
  <si>
    <t>ORD00675</t>
  </si>
  <si>
    <t>2024-05-15</t>
  </si>
  <si>
    <t>ORD00676</t>
  </si>
  <si>
    <t>2023-11-11</t>
  </si>
  <si>
    <t>ORD00677</t>
  </si>
  <si>
    <t>ORD00678</t>
  </si>
  <si>
    <t>ORD00679</t>
  </si>
  <si>
    <t>2024-07-21</t>
  </si>
  <si>
    <t>ORD00680</t>
  </si>
  <si>
    <t>2024-09-05</t>
  </si>
  <si>
    <t>ORD00681</t>
  </si>
  <si>
    <t>2024-08-24</t>
  </si>
  <si>
    <t>ORD00682</t>
  </si>
  <si>
    <t>2024-02-14</t>
  </si>
  <si>
    <t>ORD00683</t>
  </si>
  <si>
    <t>ORD00684</t>
  </si>
  <si>
    <t>ORD00685</t>
  </si>
  <si>
    <t>ORD00686</t>
  </si>
  <si>
    <t>ORD00687</t>
  </si>
  <si>
    <t>ORD00688</t>
  </si>
  <si>
    <t>2024-01-07</t>
  </si>
  <si>
    <t>ORD00689</t>
  </si>
  <si>
    <t>2023-01-30</t>
  </si>
  <si>
    <t>ORD00690</t>
  </si>
  <si>
    <t>2023-08-27</t>
  </si>
  <si>
    <t>ORD00691</t>
  </si>
  <si>
    <t>ORD00692</t>
  </si>
  <si>
    <t>ORD00693</t>
  </si>
  <si>
    <t>2024-06-09</t>
  </si>
  <si>
    <t>ORD00694</t>
  </si>
  <si>
    <t>ORD00695</t>
  </si>
  <si>
    <t>ORD00696</t>
  </si>
  <si>
    <t>ORD00697</t>
  </si>
  <si>
    <t>ORD00698</t>
  </si>
  <si>
    <t>ORD00699</t>
  </si>
  <si>
    <t>ORD00700</t>
  </si>
  <si>
    <t>2023-05-05</t>
  </si>
  <si>
    <t>ORD00701</t>
  </si>
  <si>
    <t>ORD00702</t>
  </si>
  <si>
    <t>ORD00703</t>
  </si>
  <si>
    <t>ORD00704</t>
  </si>
  <si>
    <t>2024-10-16</t>
  </si>
  <si>
    <t>ORD00705</t>
  </si>
  <si>
    <t>2024-05-28</t>
  </si>
  <si>
    <t>ORD00706</t>
  </si>
  <si>
    <t>ORD00707</t>
  </si>
  <si>
    <t>2023-05-16</t>
  </si>
  <si>
    <t>ORD00708</t>
  </si>
  <si>
    <t>ORD00709</t>
  </si>
  <si>
    <t>ORD00710</t>
  </si>
  <si>
    <t>ORD00711</t>
  </si>
  <si>
    <t>2024-01-20</t>
  </si>
  <si>
    <t>ORD00712</t>
  </si>
  <si>
    <t>ORD00713</t>
  </si>
  <si>
    <t>2023-04-12</t>
  </si>
  <si>
    <t>ORD00714</t>
  </si>
  <si>
    <t>ORD00715</t>
  </si>
  <si>
    <t>2023-09-15</t>
  </si>
  <si>
    <t>ORD00716</t>
  </si>
  <si>
    <t>2024-11-01</t>
  </si>
  <si>
    <t>ORD00717</t>
  </si>
  <si>
    <t>2023-02-20</t>
  </si>
  <si>
    <t>ORD00718</t>
  </si>
  <si>
    <t>ORD00719</t>
  </si>
  <si>
    <t>ORD00720</t>
  </si>
  <si>
    <t>ORD00721</t>
  </si>
  <si>
    <t>ORD00722</t>
  </si>
  <si>
    <t>2023-05-13</t>
  </si>
  <si>
    <t>ORD00723</t>
  </si>
  <si>
    <t>ORD00724</t>
  </si>
  <si>
    <t>ORD00725</t>
  </si>
  <si>
    <t>2024-04-09</t>
  </si>
  <si>
    <t>ORD00726</t>
  </si>
  <si>
    <t>2023-02-17</t>
  </si>
  <si>
    <t>ORD00727</t>
  </si>
  <si>
    <t>ORD00728</t>
  </si>
  <si>
    <t>ORD00729</t>
  </si>
  <si>
    <t>2023-02-25</t>
  </si>
  <si>
    <t>ORD00730</t>
  </si>
  <si>
    <t>ORD00731</t>
  </si>
  <si>
    <t>ORD00732</t>
  </si>
  <si>
    <t>ORD00733</t>
  </si>
  <si>
    <t>ORD00734</t>
  </si>
  <si>
    <t>ORD00735</t>
  </si>
  <si>
    <t>2024-08-06</t>
  </si>
  <si>
    <t>ORD00736</t>
  </si>
  <si>
    <t>ORD00737</t>
  </si>
  <si>
    <t>ORD00738</t>
  </si>
  <si>
    <t>2024-02-15</t>
  </si>
  <si>
    <t>ORD00739</t>
  </si>
  <si>
    <t>ORD00740</t>
  </si>
  <si>
    <t>ORD00741</t>
  </si>
  <si>
    <t>ORD00742</t>
  </si>
  <si>
    <t>ORD00743</t>
  </si>
  <si>
    <t>2023-04-21</t>
  </si>
  <si>
    <t>ORD00744</t>
  </si>
  <si>
    <t>ORD00745</t>
  </si>
  <si>
    <t>2024-08-16</t>
  </si>
  <si>
    <t>ORD00746</t>
  </si>
  <si>
    <t>2023-09-30</t>
  </si>
  <si>
    <t>ORD00747</t>
  </si>
  <si>
    <t>ORD00748</t>
  </si>
  <si>
    <t>ORD00749</t>
  </si>
  <si>
    <t>ORD00750</t>
  </si>
  <si>
    <t>2024-07-20</t>
  </si>
  <si>
    <t>ORD00751</t>
  </si>
  <si>
    <t>ORD00752</t>
  </si>
  <si>
    <t>2023-04-02</t>
  </si>
  <si>
    <t>ORD00753</t>
  </si>
  <si>
    <t>ORD00754</t>
  </si>
  <si>
    <t>ORD00755</t>
  </si>
  <si>
    <t>ORD00756</t>
  </si>
  <si>
    <t>ORD00757</t>
  </si>
  <si>
    <t>2024-05-31</t>
  </si>
  <si>
    <t>ORD00758</t>
  </si>
  <si>
    <t>ORD00759</t>
  </si>
  <si>
    <t>ORD00760</t>
  </si>
  <si>
    <t>ORD00761</t>
  </si>
  <si>
    <t>2024-08-27</t>
  </si>
  <si>
    <t>ORD00762</t>
  </si>
  <si>
    <t>ORD00763</t>
  </si>
  <si>
    <t>ORD00764</t>
  </si>
  <si>
    <t>2024-05-20</t>
  </si>
  <si>
    <t>ORD00765</t>
  </si>
  <si>
    <t>ORD00766</t>
  </si>
  <si>
    <t>2023-11-01</t>
  </si>
  <si>
    <t>ORD00767</t>
  </si>
  <si>
    <t>ORD00768</t>
  </si>
  <si>
    <t>ORD00769</t>
  </si>
  <si>
    <t>2023-10-24</t>
  </si>
  <si>
    <t>ORD00770</t>
  </si>
  <si>
    <t>2023-01-18</t>
  </si>
  <si>
    <t>ORD00771</t>
  </si>
  <si>
    <t>ORD00772</t>
  </si>
  <si>
    <t>ORD00773</t>
  </si>
  <si>
    <t>ORD00774</t>
  </si>
  <si>
    <t>2024-08-05</t>
  </si>
  <si>
    <t>ORD00775</t>
  </si>
  <si>
    <t>ORD00776</t>
  </si>
  <si>
    <t>ORD00777</t>
  </si>
  <si>
    <t>ORD00778</t>
  </si>
  <si>
    <t>2023-03-21</t>
  </si>
  <si>
    <t>ORD00779</t>
  </si>
  <si>
    <t>2023-04-26</t>
  </si>
  <si>
    <t>ORD00780</t>
  </si>
  <si>
    <t>2023-09-16</t>
  </si>
  <si>
    <t>ORD00781</t>
  </si>
  <si>
    <t>2024-11-18</t>
  </si>
  <si>
    <t>ORD00782</t>
  </si>
  <si>
    <t>2023-08-08</t>
  </si>
  <si>
    <t>ORD00783</t>
  </si>
  <si>
    <t>ORD00784</t>
  </si>
  <si>
    <t>ORD00785</t>
  </si>
  <si>
    <t>ORD00786</t>
  </si>
  <si>
    <t>ORD00787</t>
  </si>
  <si>
    <t>ORD00788</t>
  </si>
  <si>
    <t>ORD00789</t>
  </si>
  <si>
    <t>2023-06-27</t>
  </si>
  <si>
    <t>ORD00790</t>
  </si>
  <si>
    <t>2023-02-02</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</si>
  <si>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</si>
  <si>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</si>
  <si>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</si>
  <si>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</si>
  <si>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</si>
  <si>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</si>
  <si>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</si>
  <si>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</si>
  <si>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</si>
  <si>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</si>
  <si>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</si>
  <si>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</si>
  <si>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</si>
  <si>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</si>
  <si>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</si>
  <si>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</si>
  <si>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2023-08-10</t>
  </si>
  <si>
    <t>ORD00807</t>
  </si>
  <si>
    <t>2023-08-18</t>
  </si>
  <si>
    <t>ORD00808</t>
  </si>
  <si>
    <t>2023-12-19</t>
  </si>
  <si>
    <t>ORD00809</t>
  </si>
  <si>
    <t>ORD00810</t>
  </si>
  <si>
    <t>ORD00811</t>
  </si>
  <si>
    <t>2024-06-27</t>
  </si>
  <si>
    <t>ORD00812</t>
  </si>
  <si>
    <t>2024-10-04</t>
  </si>
  <si>
    <t>ORD00813</t>
  </si>
  <si>
    <t>2024-03-05</t>
  </si>
  <si>
    <t>ORD00814</t>
  </si>
  <si>
    <t>ORD00815</t>
  </si>
  <si>
    <t>ORD00816</t>
  </si>
  <si>
    <t>2024-06-05</t>
  </si>
  <si>
    <t>ORD00817</t>
  </si>
  <si>
    <t>2023-06-13</t>
  </si>
  <si>
    <t>ORD00818</t>
  </si>
  <si>
    <t>ORD00819</t>
  </si>
  <si>
    <t>ORD00820</t>
  </si>
  <si>
    <t>ORD00821</t>
  </si>
  <si>
    <t>ORD00822</t>
  </si>
  <si>
    <t>2024-03-19</t>
  </si>
  <si>
    <t>ORD00823</t>
  </si>
  <si>
    <t>ORD00824</t>
  </si>
  <si>
    <t>2024-05-21</t>
  </si>
  <si>
    <t>ORD00825</t>
  </si>
  <si>
    <t>ORD00826</t>
  </si>
  <si>
    <t>2024-06-22</t>
  </si>
  <si>
    <t>ORD00827</t>
  </si>
  <si>
    <t>ORD00828</t>
  </si>
  <si>
    <t>ORD00829</t>
  </si>
  <si>
    <t>ORD00830</t>
  </si>
  <si>
    <t>2023-01-26</t>
  </si>
  <si>
    <t>ORD00831</t>
  </si>
  <si>
    <t>ORD00832</t>
  </si>
  <si>
    <t>ORD00833</t>
  </si>
  <si>
    <t>ORD00834</t>
  </si>
  <si>
    <t>ORD00835</t>
  </si>
  <si>
    <t>ORD00836</t>
  </si>
  <si>
    <t>ORD00837</t>
  </si>
  <si>
    <t>2024-05-09</t>
  </si>
  <si>
    <t>ORD00838</t>
  </si>
  <si>
    <t>2024-09-10</t>
  </si>
  <si>
    <t>ORD00839</t>
  </si>
  <si>
    <t>ORD00840</t>
  </si>
  <si>
    <t>2023-07-24</t>
  </si>
  <si>
    <t>ORD00841</t>
  </si>
  <si>
    <t>2023-12-04</t>
  </si>
  <si>
    <t>ORD00842</t>
  </si>
  <si>
    <t>ORD00843</t>
  </si>
  <si>
    <t>ORD00844</t>
  </si>
  <si>
    <t>ORD00845</t>
  </si>
  <si>
    <t>ORD00846</t>
  </si>
  <si>
    <t>2024-01-25</t>
  </si>
  <si>
    <t>ORD00847</t>
  </si>
  <si>
    <t>ORD00848</t>
  </si>
  <si>
    <t>ORD00849</t>
  </si>
  <si>
    <t>2024-07-08</t>
  </si>
  <si>
    <t>ORD00850</t>
  </si>
  <si>
    <t>2023-07-26</t>
  </si>
  <si>
    <t>ORD00851</t>
  </si>
  <si>
    <t>2024-11-24</t>
  </si>
  <si>
    <t>ORD00852</t>
  </si>
  <si>
    <t>ORD00853</t>
  </si>
  <si>
    <t>ORD00854</t>
  </si>
  <si>
    <t>2023-03-18</t>
  </si>
  <si>
    <t>ORD00855</t>
  </si>
  <si>
    <t>ORD00856</t>
  </si>
  <si>
    <t>2023-05-06</t>
  </si>
  <si>
    <t>ORD00857</t>
  </si>
  <si>
    <t>ORD00858</t>
  </si>
  <si>
    <t>ORD00859</t>
  </si>
  <si>
    <t>ORD00860</t>
  </si>
  <si>
    <t>ORD00861</t>
  </si>
  <si>
    <t>ORD00862</t>
  </si>
  <si>
    <t>2023-02-18</t>
  </si>
  <si>
    <t>ORD00863</t>
  </si>
  <si>
    <t>2024-10-03</t>
  </si>
  <si>
    <t>ORD00864</t>
  </si>
  <si>
    <t>ORD00865</t>
  </si>
  <si>
    <t>ORD00866</t>
  </si>
  <si>
    <t>ORD00867</t>
  </si>
  <si>
    <t>ORD00868</t>
  </si>
  <si>
    <t>ORD00869</t>
  </si>
  <si>
    <t>ORD00870</t>
  </si>
  <si>
    <t>ORD00871</t>
  </si>
  <si>
    <t>ORD00872</t>
  </si>
  <si>
    <t>2023-07-21</t>
  </si>
  <si>
    <t>ORD00873</t>
  </si>
  <si>
    <t>2024-09-11</t>
  </si>
  <si>
    <t>ORD00874</t>
  </si>
  <si>
    <t>ORD00875</t>
  </si>
  <si>
    <t>ORD00876</t>
  </si>
  <si>
    <t>2023-08-11</t>
  </si>
  <si>
    <t>ORD00877</t>
  </si>
  <si>
    <t>ORD00878</t>
  </si>
  <si>
    <t>2024-09-07</t>
  </si>
  <si>
    <t>ORD00879</t>
  </si>
  <si>
    <t>2024-07-14</t>
  </si>
  <si>
    <t>ORD00880</t>
  </si>
  <si>
    <t>ORD00881</t>
  </si>
  <si>
    <t>2023-05-15</t>
  </si>
  <si>
    <t>ORD00882</t>
  </si>
  <si>
    <t>ORD00883</t>
  </si>
  <si>
    <t>ORD00884</t>
  </si>
  <si>
    <t>ORD00885</t>
  </si>
  <si>
    <t>ORD00886</t>
  </si>
  <si>
    <t>ORD00887</t>
  </si>
  <si>
    <t>ORD00888</t>
  </si>
  <si>
    <t>ORD00889</t>
  </si>
  <si>
    <t>ORD00890</t>
  </si>
  <si>
    <t>ORD00891</t>
  </si>
  <si>
    <t>ORD00892</t>
  </si>
  <si>
    <t>ORD00893</t>
  </si>
  <si>
    <t>ORD00894</t>
  </si>
  <si>
    <t>ORD00895</t>
  </si>
  <si>
    <t>ORD00896</t>
  </si>
  <si>
    <t>2024-01-21</t>
  </si>
  <si>
    <t>ORD00897</t>
  </si>
  <si>
    <t>2024-08-14</t>
  </si>
  <si>
    <t>ORD00898</t>
  </si>
  <si>
    <t>ORD00899</t>
  </si>
  <si>
    <t>ORD00900</t>
  </si>
  <si>
    <t>ORD00901</t>
  </si>
  <si>
    <t>ORD00902</t>
  </si>
  <si>
    <t>ORD00903</t>
  </si>
  <si>
    <t>2024-07-27</t>
  </si>
  <si>
    <t>ORD00904</t>
  </si>
  <si>
    <t>ORD00905</t>
  </si>
  <si>
    <t>ORD00906</t>
  </si>
  <si>
    <t>ORD00907</t>
  </si>
  <si>
    <t>ORD00908</t>
  </si>
  <si>
    <t>ORD00909</t>
  </si>
  <si>
    <t>2024-02-01</t>
  </si>
  <si>
    <t>ORD00910</t>
  </si>
  <si>
    <t>2023-10-28</t>
  </si>
  <si>
    <t>ORD00911</t>
  </si>
  <si>
    <t>ORD00912</t>
  </si>
  <si>
    <t>ORD00913</t>
  </si>
  <si>
    <t>ORD00914</t>
  </si>
  <si>
    <t>ORD00915</t>
  </si>
  <si>
    <t>ORD00916</t>
  </si>
  <si>
    <t>2023-07-23</t>
  </si>
  <si>
    <t>ORD00917</t>
  </si>
  <si>
    <t>ORD00918</t>
  </si>
  <si>
    <t>ORD00919</t>
  </si>
  <si>
    <t>2024-09-21</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</si>
  <si>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</si>
  <si>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</si>
  <si>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</si>
  <si>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</si>
  <si>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</si>
  <si>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</si>
  <si>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</si>
  <si>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</si>
  <si>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</si>
  <si>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</si>
  <si>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</si>
  <si>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</si>
  <si>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</si>
  <si>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</si>
  <si>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</si>
  <si>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</si>
  <si>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2023-08-12</t>
  </si>
  <si>
    <t>ORD00936</t>
  </si>
  <si>
    <t>2024-01-18</t>
  </si>
  <si>
    <t>ORD00937</t>
  </si>
  <si>
    <t>2023-04-07</t>
  </si>
  <si>
    <t>ORD00938</t>
  </si>
  <si>
    <t>ORD00939</t>
  </si>
  <si>
    <t>2024-06-24</t>
  </si>
  <si>
    <t>ORD00940</t>
  </si>
  <si>
    <t>ORD00941</t>
  </si>
  <si>
    <t>ORD00942</t>
  </si>
  <si>
    <t>ORD00943</t>
  </si>
  <si>
    <t>2024-11-15</t>
  </si>
  <si>
    <t>ORD00944</t>
  </si>
  <si>
    <t>2023-07-08</t>
  </si>
  <si>
    <t>ORD00945</t>
  </si>
  <si>
    <t>2023-12-02</t>
  </si>
  <si>
    <t>ORD00946</t>
  </si>
  <si>
    <t>ORD00947</t>
  </si>
  <si>
    <t>ORD00948</t>
  </si>
  <si>
    <t>ORD00949</t>
  </si>
  <si>
    <t>2023-06-10</t>
  </si>
  <si>
    <t>ORD00950</t>
  </si>
  <si>
    <t>ORD00951</t>
  </si>
  <si>
    <t>ORD00952</t>
  </si>
  <si>
    <t>2024-02-09</t>
  </si>
  <si>
    <t>ORD00953</t>
  </si>
  <si>
    <t>ORD00954</t>
  </si>
  <si>
    <t>2024-06-04</t>
  </si>
  <si>
    <t>ORD00955</t>
  </si>
  <si>
    <t>2024-09-27</t>
  </si>
  <si>
    <t>ORD00956</t>
  </si>
  <si>
    <t>2024-11-27</t>
  </si>
  <si>
    <t>ORD00957</t>
  </si>
  <si>
    <t>2024-02-24</t>
  </si>
  <si>
    <t>ORD00958</t>
  </si>
  <si>
    <t>ORD00959</t>
  </si>
  <si>
    <t>ORD00960</t>
  </si>
  <si>
    <t>2024-01-06</t>
  </si>
  <si>
    <t>ORD00961</t>
  </si>
  <si>
    <t>ORD00962</t>
  </si>
  <si>
    <t>2023-06-14</t>
  </si>
  <si>
    <t>ORD00963</t>
  </si>
  <si>
    <t>ORD00964</t>
  </si>
  <si>
    <t>2023-09-02</t>
  </si>
  <si>
    <t>ORD00965</t>
  </si>
  <si>
    <t>ORD00966</t>
  </si>
  <si>
    <t>ORD00967</t>
  </si>
  <si>
    <t>ORD00968</t>
  </si>
  <si>
    <t>2023-06-23</t>
  </si>
  <si>
    <t>ORD00969</t>
  </si>
  <si>
    <t>ORD00970</t>
  </si>
  <si>
    <t>2023-11-24</t>
  </si>
  <si>
    <t>ORD00971</t>
  </si>
  <si>
    <t>ORD00972</t>
  </si>
  <si>
    <t>ORD00973</t>
  </si>
  <si>
    <t>ORD00974</t>
  </si>
  <si>
    <t>ORD00975</t>
  </si>
  <si>
    <t>2023-12-11</t>
  </si>
  <si>
    <t>ORD00976</t>
  </si>
  <si>
    <t>ORD00977</t>
  </si>
  <si>
    <t>2024-03-04</t>
  </si>
  <si>
    <t>ORD00978</t>
  </si>
  <si>
    <t>ORD00979</t>
  </si>
  <si>
    <t>ORD00980</t>
  </si>
  <si>
    <t>ORD00981</t>
  </si>
  <si>
    <t>ORD00982</t>
  </si>
  <si>
    <t>ORD00983</t>
  </si>
  <si>
    <t>ORD00984</t>
  </si>
  <si>
    <t>ORD00985</t>
  </si>
  <si>
    <t>2023-08-28</t>
  </si>
  <si>
    <t>ORD00986</t>
  </si>
  <si>
    <t>ORD00987</t>
  </si>
  <si>
    <t>ORD00988</t>
  </si>
  <si>
    <t>ORD00989</t>
  </si>
  <si>
    <t>ORD00990</t>
  </si>
  <si>
    <t>ORD00991</t>
  </si>
  <si>
    <t>ORD00992</t>
  </si>
  <si>
    <t>ORD00993</t>
  </si>
  <si>
    <t>ORD00994</t>
  </si>
  <si>
    <t>ORD00995</t>
  </si>
  <si>
    <t>ORD00996</t>
  </si>
  <si>
    <t>ORD00997</t>
  </si>
  <si>
    <t>2024-04-25</t>
  </si>
  <si>
    <t>ORD00998</t>
  </si>
  <si>
    <t>ORD00999</t>
  </si>
  <si>
    <t>ORD01000</t>
  </si>
  <si>
    <t>2024-10-14</t>
  </si>
  <si>
    <t>ORD01001</t>
  </si>
  <si>
    <t>ORD01002</t>
  </si>
  <si>
    <t>2024-01-15</t>
  </si>
  <si>
    <t>ORD01003</t>
  </si>
  <si>
    <t>ORD01004</t>
  </si>
  <si>
    <t>ORD01005</t>
  </si>
  <si>
    <t>ORD01006</t>
  </si>
  <si>
    <t>ORD01007</t>
  </si>
  <si>
    <t>ORD01008</t>
  </si>
  <si>
    <t>2023-03-15</t>
  </si>
  <si>
    <t>ORD01009</t>
  </si>
  <si>
    <t>ORD01010</t>
  </si>
  <si>
    <t>ORD01011</t>
  </si>
  <si>
    <t>ORD01012</t>
  </si>
  <si>
    <t>ORD01013</t>
  </si>
  <si>
    <t>ORD01014</t>
  </si>
  <si>
    <t>ORD01015</t>
  </si>
  <si>
    <t>ORD01016</t>
  </si>
  <si>
    <t>2024-09-13</t>
  </si>
  <si>
    <t>ORD01017</t>
  </si>
  <si>
    <t>ORD01018</t>
  </si>
  <si>
    <t>ORD01019</t>
  </si>
  <si>
    <t>ORD01020</t>
  </si>
  <si>
    <t>ORD01021</t>
  </si>
  <si>
    <t>ORD01022</t>
  </si>
  <si>
    <t>ORD01023</t>
  </si>
  <si>
    <t>ORD01024</t>
  </si>
  <si>
    <t>ORD01025</t>
  </si>
  <si>
    <t>ORD01026</t>
  </si>
  <si>
    <t>ORD01027</t>
  </si>
  <si>
    <t>ORD01028</t>
  </si>
  <si>
    <t>2024-07-03</t>
  </si>
  <si>
    <t>ORD01029</t>
  </si>
  <si>
    <t>ORD01030</t>
  </si>
  <si>
    <t>ORD01031</t>
  </si>
  <si>
    <t>2023-10-03</t>
  </si>
  <si>
    <t>ORD01032</t>
  </si>
  <si>
    <t>ORD01033</t>
  </si>
  <si>
    <t>2023-05-21</t>
  </si>
  <si>
    <t>ORD01034</t>
  </si>
  <si>
    <t>2023-06-20</t>
  </si>
  <si>
    <t>ORD01035</t>
  </si>
  <si>
    <t>ORD01036</t>
  </si>
  <si>
    <t>ORD01037</t>
  </si>
  <si>
    <t>ORD01038</t>
  </si>
  <si>
    <t>ORD01039</t>
  </si>
  <si>
    <t>ORD01040</t>
  </si>
  <si>
    <t>2024-09-17</t>
  </si>
  <si>
    <t>ORD01041</t>
  </si>
  <si>
    <t>2024-02-21</t>
  </si>
  <si>
    <t>ORD01042</t>
  </si>
  <si>
    <t>2023-04-14</t>
  </si>
  <si>
    <t>ORD01043</t>
  </si>
  <si>
    <t>ORD01044</t>
  </si>
  <si>
    <t>ORD01045</t>
  </si>
  <si>
    <t>ORD01046</t>
  </si>
  <si>
    <t>ORD01047</t>
  </si>
  <si>
    <t>ORD01048</t>
  </si>
  <si>
    <t>ORD01049</t>
  </si>
  <si>
    <t>ORD01050</t>
  </si>
  <si>
    <t>ORD01051</t>
  </si>
  <si>
    <t>ORD01052</t>
  </si>
  <si>
    <t>2024-08-31</t>
  </si>
  <si>
    <t>ORD01053</t>
  </si>
  <si>
    <t>ORD01054</t>
  </si>
  <si>
    <t>ORD01055</t>
  </si>
  <si>
    <t>ORD01056</t>
  </si>
  <si>
    <t>ORD01057</t>
  </si>
  <si>
    <t>ORD01058</t>
  </si>
  <si>
    <t>ORD01059</t>
  </si>
  <si>
    <t>ORD01060</t>
  </si>
  <si>
    <t>ORD01061</t>
  </si>
  <si>
    <t>ORD01062</t>
  </si>
  <si>
    <t>ORD01063</t>
  </si>
  <si>
    <t>ORD01064</t>
  </si>
  <si>
    <t>ORD01065</t>
  </si>
  <si>
    <t>ORD01066</t>
  </si>
  <si>
    <t>2023-09-12</t>
  </si>
  <si>
    <t>ORD01067</t>
  </si>
  <si>
    <t>ORD01068</t>
  </si>
  <si>
    <t>ORD01069</t>
  </si>
  <si>
    <t>ORD01070</t>
  </si>
  <si>
    <t>2023-03-13</t>
  </si>
  <si>
    <t>ORD01071</t>
  </si>
  <si>
    <t>ORD01072</t>
  </si>
  <si>
    <t>ORD01073</t>
  </si>
  <si>
    <t>ORD01074</t>
  </si>
  <si>
    <t>2023-12-03</t>
  </si>
  <si>
    <t>ORD01075</t>
  </si>
  <si>
    <t>ORD01076</t>
  </si>
  <si>
    <t>ORD01077</t>
  </si>
  <si>
    <t>ORD01078</t>
  </si>
  <si>
    <t>2023-06-26</t>
  </si>
  <si>
    <t>ORD01079</t>
  </si>
  <si>
    <t>2024-10-24</t>
  </si>
  <si>
    <t>ORD01080</t>
  </si>
  <si>
    <t>ORD01081</t>
  </si>
  <si>
    <t>ORD01082</t>
  </si>
  <si>
    <t>ORD01083</t>
  </si>
  <si>
    <t>ORD01084</t>
  </si>
  <si>
    <t>ORD01085</t>
  </si>
  <si>
    <t>ORD01086</t>
  </si>
  <si>
    <t>ORD01087</t>
  </si>
  <si>
    <t>ORD01088</t>
  </si>
  <si>
    <t>2023-10-02</t>
  </si>
  <si>
    <t>ORD01089</t>
  </si>
  <si>
    <t>2024-05-22</t>
  </si>
  <si>
    <t>ORD01090</t>
  </si>
  <si>
    <t>ORD01091</t>
  </si>
  <si>
    <t>ORD01092</t>
  </si>
  <si>
    <t>2024-11-23</t>
  </si>
  <si>
    <t>ORD01093</t>
  </si>
  <si>
    <t>ORD01094</t>
  </si>
  <si>
    <t>2023-07-22</t>
  </si>
  <si>
    <t>ORD01095</t>
  </si>
  <si>
    <t>2023-01-02</t>
  </si>
  <si>
    <t>ORD01096</t>
  </si>
  <si>
    <t>ORD01097</t>
  </si>
  <si>
    <t>ORD01098</t>
  </si>
  <si>
    <t>2023-10-26</t>
  </si>
  <si>
    <t>ORD01099</t>
  </si>
  <si>
    <t>ORD01100</t>
  </si>
  <si>
    <t>2024-11-12</t>
  </si>
  <si>
    <t>ORD01101</t>
  </si>
  <si>
    <t>2023-10-12</t>
  </si>
  <si>
    <t>ORD01102</t>
  </si>
  <si>
    <t>ORD01103</t>
  </si>
  <si>
    <t>ORD01104</t>
  </si>
  <si>
    <t>2024-11-28</t>
  </si>
  <si>
    <t>ORD01105</t>
  </si>
  <si>
    <t>ORD01106</t>
  </si>
  <si>
    <t>ORD01107</t>
  </si>
  <si>
    <t>ORD01108</t>
  </si>
  <si>
    <t>2023-06-05</t>
  </si>
  <si>
    <t>ORD01109</t>
  </si>
  <si>
    <t>ORD01110</t>
  </si>
  <si>
    <t>ORD01111</t>
  </si>
  <si>
    <t>ORD01112</t>
  </si>
  <si>
    <t>2023-10-29</t>
  </si>
  <si>
    <t>ORD01113</t>
  </si>
  <si>
    <t>ORD01114</t>
  </si>
  <si>
    <t>ORD01115</t>
  </si>
  <si>
    <t>ORD01116</t>
  </si>
  <si>
    <t>ORD01117</t>
  </si>
  <si>
    <t>ORD01118</t>
  </si>
  <si>
    <t>2023-07-10</t>
  </si>
  <si>
    <t>ORD01119</t>
  </si>
  <si>
    <t>2024-03-02</t>
  </si>
  <si>
    <t>ORD01120</t>
  </si>
  <si>
    <t>ORD01121</t>
  </si>
  <si>
    <t>ORD01122</t>
  </si>
  <si>
    <t>2024-05-14</t>
  </si>
  <si>
    <t>ORD01123</t>
  </si>
  <si>
    <t>ORD01124</t>
  </si>
  <si>
    <t>ORD01125</t>
  </si>
  <si>
    <t>2023-02-03</t>
  </si>
  <si>
    <t>ORD01126</t>
  </si>
  <si>
    <t>ORD01127</t>
  </si>
  <si>
    <t>ORD01128</t>
  </si>
  <si>
    <t>ORD01129</t>
  </si>
  <si>
    <t>ORD01130</t>
  </si>
  <si>
    <t>ORD01131</t>
  </si>
  <si>
    <t>ORD01132</t>
  </si>
  <si>
    <t>ORD01133</t>
  </si>
  <si>
    <t>ORD01134</t>
  </si>
  <si>
    <t>2023-02-07</t>
  </si>
  <si>
    <t>ORD01135</t>
  </si>
  <si>
    <t>2024-08-30</t>
  </si>
  <si>
    <t>ORD01136</t>
  </si>
  <si>
    <t>2023-12-08</t>
  </si>
  <si>
    <t>ORD01137</t>
  </si>
  <si>
    <t>ORD01138</t>
  </si>
  <si>
    <t>ORD01139</t>
  </si>
  <si>
    <t>ORD01140</t>
  </si>
  <si>
    <t>ORD01141</t>
  </si>
  <si>
    <t>ORD01142</t>
  </si>
  <si>
    <t>ORD01143</t>
  </si>
  <si>
    <t>ORD01144</t>
  </si>
  <si>
    <t>ORD01145</t>
  </si>
  <si>
    <t>2023-04-29</t>
  </si>
  <si>
    <t>ORD01146</t>
  </si>
  <si>
    <t>ORD01147</t>
  </si>
  <si>
    <t>ORD01148</t>
  </si>
  <si>
    <t>ORD01149</t>
  </si>
  <si>
    <t>ORD01150</t>
  </si>
  <si>
    <t>2023-05-30</t>
  </si>
  <si>
    <t>ORD01151</t>
  </si>
  <si>
    <t>ORD01152</t>
  </si>
  <si>
    <t>ORD01153</t>
  </si>
  <si>
    <t>ORD01154</t>
  </si>
  <si>
    <t>ORD01155</t>
  </si>
  <si>
    <t>ORD01156</t>
  </si>
  <si>
    <t>ORD01157</t>
  </si>
  <si>
    <t>ORD01158</t>
  </si>
  <si>
    <t>2023-01-03</t>
  </si>
  <si>
    <t>ORD01159</t>
  </si>
  <si>
    <t>ORD01160</t>
  </si>
  <si>
    <t>ORD01161</t>
  </si>
  <si>
    <t>ORD01162</t>
  </si>
  <si>
    <t>ORD01163</t>
  </si>
  <si>
    <t>ORD01164</t>
  </si>
  <si>
    <t>ORD01165</t>
  </si>
  <si>
    <t>ORD01166</t>
  </si>
  <si>
    <t>ORD01167</t>
  </si>
  <si>
    <t>ORD01168</t>
  </si>
  <si>
    <t>ORD01169</t>
  </si>
  <si>
    <t>ORD01170</t>
  </si>
  <si>
    <t>ORD01171</t>
  </si>
  <si>
    <t>ORD01172</t>
  </si>
  <si>
    <t>ORD01173</t>
  </si>
  <si>
    <t>2023-04-20</t>
  </si>
  <si>
    <t>ORD01174</t>
  </si>
  <si>
    <t>2024-02-11</t>
  </si>
  <si>
    <t>ORD01175</t>
  </si>
  <si>
    <t>ORD01176</t>
  </si>
  <si>
    <t>ORD01177</t>
  </si>
  <si>
    <t>2024-05-29</t>
  </si>
  <si>
    <t>ORD01178</t>
  </si>
  <si>
    <t>ORD01179</t>
  </si>
  <si>
    <t>ORD01180</t>
  </si>
  <si>
    <t>ORD01181</t>
  </si>
  <si>
    <t>ORD01182</t>
  </si>
  <si>
    <t>ORD01183</t>
  </si>
  <si>
    <t>ORD01184</t>
  </si>
  <si>
    <t>ORD01185</t>
  </si>
  <si>
    <t>ORD01186</t>
  </si>
  <si>
    <t>2023-07-18</t>
  </si>
  <si>
    <t>ORD01187</t>
  </si>
  <si>
    <t>ORD01188</t>
  </si>
  <si>
    <t>ORD01189</t>
  </si>
  <si>
    <t>ORD01190</t>
  </si>
  <si>
    <t>2024-05-18</t>
  </si>
  <si>
    <t>ORD01191</t>
  </si>
  <si>
    <t>ORD01192</t>
  </si>
  <si>
    <t>ORD01193</t>
  </si>
  <si>
    <t>ORD01194</t>
  </si>
  <si>
    <t>ORD01195</t>
  </si>
  <si>
    <t>ORD01196</t>
  </si>
  <si>
    <t>ORD01197</t>
  </si>
  <si>
    <t>ORD01198</t>
  </si>
  <si>
    <t>ORD01199</t>
  </si>
  <si>
    <t>ORD01200</t>
  </si>
  <si>
    <t>ORD01201</t>
  </si>
  <si>
    <t>ORD01202</t>
  </si>
  <si>
    <t>ORD01203</t>
  </si>
  <si>
    <t>ORD01204</t>
  </si>
  <si>
    <t>2023-08-19</t>
  </si>
  <si>
    <t>ORD01205</t>
  </si>
  <si>
    <t>ORD01206</t>
  </si>
  <si>
    <t>2023-04-09</t>
  </si>
  <si>
    <t>ORD01207</t>
  </si>
  <si>
    <t>ORD01208</t>
  </si>
  <si>
    <t>ORD01209</t>
  </si>
  <si>
    <t>ORD01210</t>
  </si>
  <si>
    <t>ORD01211</t>
  </si>
  <si>
    <t>ORD01212</t>
  </si>
  <si>
    <t>ORD01213</t>
  </si>
  <si>
    <t>2023-10-04</t>
  </si>
  <si>
    <t>ORD01214</t>
  </si>
  <si>
    <t>ORD01215</t>
  </si>
  <si>
    <t>ORD01216</t>
  </si>
  <si>
    <t>ORD01217</t>
  </si>
  <si>
    <t>ORD01218</t>
  </si>
  <si>
    <t>ORD01219</t>
  </si>
  <si>
    <t>ORD01220</t>
  </si>
  <si>
    <t>ORD01221</t>
  </si>
  <si>
    <t>ORD01222</t>
  </si>
  <si>
    <t>ORD01223</t>
  </si>
  <si>
    <t>2023-11-20</t>
  </si>
  <si>
    <t>ORD01224</t>
  </si>
  <si>
    <t>ORD01225</t>
  </si>
  <si>
    <t>ORD01226</t>
  </si>
  <si>
    <t>ORD01227</t>
  </si>
  <si>
    <t>ORD01228</t>
  </si>
  <si>
    <t>ORD01229</t>
  </si>
  <si>
    <t>ORD01230</t>
  </si>
  <si>
    <t>ORD01231</t>
  </si>
  <si>
    <t>2023-07-15</t>
  </si>
  <si>
    <t>ORD01232</t>
  </si>
  <si>
    <t>ORD01233</t>
  </si>
  <si>
    <t>ORD01234</t>
  </si>
  <si>
    <t>ORD01235</t>
  </si>
  <si>
    <t>ORD01236</t>
  </si>
  <si>
    <t>ORD01237</t>
  </si>
  <si>
    <t>ORD01238</t>
  </si>
  <si>
    <t>ORD01239</t>
  </si>
  <si>
    <t>ORD01240</t>
  </si>
  <si>
    <t>ORD01241</t>
  </si>
  <si>
    <t>ORD01242</t>
  </si>
  <si>
    <t>ORD01243</t>
  </si>
  <si>
    <t>ORD01244</t>
  </si>
  <si>
    <t>ORD01245</t>
  </si>
  <si>
    <t>2024-03-20</t>
  </si>
  <si>
    <t>ORD01246</t>
  </si>
  <si>
    <t>ORD01247</t>
  </si>
  <si>
    <t>ORD01248</t>
  </si>
  <si>
    <t>ORD01249</t>
  </si>
  <si>
    <t>ORD01250</t>
  </si>
  <si>
    <t>ORD01251</t>
  </si>
  <si>
    <t>ORD01252</t>
  </si>
  <si>
    <t>2023-03-11</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</si>
  <si>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</si>
  <si>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</si>
  <si>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</si>
  <si>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</si>
  <si>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</si>
  <si>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</si>
  <si>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</si>
  <si>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</si>
  <si>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</si>
  <si>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</si>
  <si>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</si>
  <si>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</si>
  <si>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</si>
  <si>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</si>
  <si>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</si>
  <si>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</si>
  <si>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</si>
  <si>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</si>
  <si>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</si>
  <si>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</si>
  <si>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</si>
  <si>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</si>
  <si>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</si>
  <si>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</si>
  <si>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</si>
  <si>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</si>
  <si>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</si>
  <si>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</si>
  <si>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</si>
  <si>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</si>
  <si>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2024-10-07</t>
  </si>
  <si>
    <t>ORD01283</t>
  </si>
  <si>
    <t>2023-05-22</t>
  </si>
  <si>
    <t>ORD01284</t>
  </si>
  <si>
    <t>ORD01285</t>
  </si>
  <si>
    <t>2024-10-31</t>
  </si>
  <si>
    <t>ORD01286</t>
  </si>
  <si>
    <t>ORD01287</t>
  </si>
  <si>
    <t>ORD01288</t>
  </si>
  <si>
    <t>ORD01289</t>
  </si>
  <si>
    <t>ORD01290</t>
  </si>
  <si>
    <t>ORD01291</t>
  </si>
  <si>
    <t>ORD01292</t>
  </si>
  <si>
    <t>ORD01293</t>
  </si>
  <si>
    <t>ORD01294</t>
  </si>
  <si>
    <t>ORD01295</t>
  </si>
  <si>
    <t>ORD01296</t>
  </si>
  <si>
    <t>ORD01297</t>
  </si>
  <si>
    <t>2023-10-01</t>
  </si>
  <si>
    <t>ORD01298</t>
  </si>
  <si>
    <t>ORD01299</t>
  </si>
  <si>
    <t>ORD01300</t>
  </si>
  <si>
    <t>ORD01301</t>
  </si>
  <si>
    <t>ORD01302</t>
  </si>
  <si>
    <t>ORD01303</t>
  </si>
  <si>
    <t>ORD01304</t>
  </si>
  <si>
    <t>ORD01305</t>
  </si>
  <si>
    <t>ORD01306</t>
  </si>
  <si>
    <t>ORD01307</t>
  </si>
  <si>
    <t>ORD01308</t>
  </si>
  <si>
    <t>ORD01309</t>
  </si>
  <si>
    <t>ORD01310</t>
  </si>
  <si>
    <t>ORD01311</t>
  </si>
  <si>
    <t>ORD01312</t>
  </si>
  <si>
    <t>2024-09-09</t>
  </si>
  <si>
    <t>ORD01313</t>
  </si>
  <si>
    <t>ORD01314</t>
  </si>
  <si>
    <t>ORD01315</t>
  </si>
  <si>
    <t>ORD01316</t>
  </si>
  <si>
    <t>ORD01317</t>
  </si>
  <si>
    <t>ORD01318</t>
  </si>
  <si>
    <t>ORD01319</t>
  </si>
  <si>
    <t>2024-07-09</t>
  </si>
  <si>
    <t>ORD01320</t>
  </si>
  <si>
    <t>ORD01321</t>
  </si>
  <si>
    <t>ORD01322</t>
  </si>
  <si>
    <t>ORD01323</t>
  </si>
  <si>
    <t>ORD01324</t>
  </si>
  <si>
    <t>ORD01325</t>
  </si>
  <si>
    <t>ORD01326</t>
  </si>
  <si>
    <t>ORD01327</t>
  </si>
  <si>
    <t>ORD01328</t>
  </si>
  <si>
    <t>ORD01329</t>
  </si>
  <si>
    <t>ORD01330</t>
  </si>
  <si>
    <t>ORD01331</t>
  </si>
  <si>
    <t>ORD01332</t>
  </si>
  <si>
    <t>ORD01333</t>
  </si>
  <si>
    <t>2024-04-27</t>
  </si>
  <si>
    <t>ORD01334</t>
  </si>
  <si>
    <t>ORD01335</t>
  </si>
  <si>
    <t>ORD01336</t>
  </si>
  <si>
    <t>ORD01337</t>
  </si>
  <si>
    <t>ORD01338</t>
  </si>
  <si>
    <t>ORD01339</t>
  </si>
  <si>
    <t>ORD01340</t>
  </si>
  <si>
    <t>ORD01341</t>
  </si>
  <si>
    <t>ORD01342</t>
  </si>
  <si>
    <t>ORD01343</t>
  </si>
  <si>
    <t>ORD01344</t>
  </si>
  <si>
    <t>2023-12-14</t>
  </si>
  <si>
    <t>ORD01345</t>
  </si>
  <si>
    <t>ORD01346</t>
  </si>
  <si>
    <t>ORD01347</t>
  </si>
  <si>
    <t>ORD01348</t>
  </si>
  <si>
    <t>ORD01349</t>
  </si>
  <si>
    <t>ORD01350</t>
  </si>
  <si>
    <t>ORD01351</t>
  </si>
  <si>
    <t>2023-03-08</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</si>
  <si>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</si>
  <si>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</si>
  <si>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</si>
  <si>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</si>
  <si>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</si>
  <si>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</si>
  <si>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</si>
  <si>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</si>
  <si>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</si>
  <si>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</si>
  <si>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</si>
  <si>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</si>
  <si>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</si>
  <si>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</si>
  <si>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</si>
  <si>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</si>
  <si>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</si>
  <si>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</si>
  <si>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</si>
  <si>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</si>
  <si>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2023-09-10</t>
  </si>
  <si>
    <t>ORD01372</t>
  </si>
  <si>
    <t>ORD01373</t>
  </si>
  <si>
    <t>ORD01374</t>
  </si>
  <si>
    <t>ORD01375</t>
  </si>
  <si>
    <t>ORD01376</t>
  </si>
  <si>
    <t>ORD01377</t>
  </si>
  <si>
    <t>ORD01378</t>
  </si>
  <si>
    <t>ORD01379</t>
  </si>
  <si>
    <t>ORD01380</t>
  </si>
  <si>
    <t>ORD01381</t>
  </si>
  <si>
    <t>ORD01382</t>
  </si>
  <si>
    <t>ORD01383</t>
  </si>
  <si>
    <t>ORD01384</t>
  </si>
  <si>
    <t>ORD01385</t>
  </si>
  <si>
    <t>ORD01386</t>
  </si>
  <si>
    <t>2023-06-15</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</si>
  <si>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</si>
  <si>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</si>
  <si>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</si>
  <si>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</si>
  <si>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</si>
  <si>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</si>
  <si>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</si>
  <si>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</si>
  <si>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</si>
  <si>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</si>
  <si>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</si>
  <si>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</si>
  <si>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</si>
  <si>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</si>
  <si>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</si>
  <si>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</si>
  <si>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2023-05-20</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</si>
  <si>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</si>
  <si>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</si>
  <si>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</si>
  <si>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</si>
  <si>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</si>
  <si>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</si>
  <si>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</si>
  <si>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</si>
  <si>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</si>
  <si>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</si>
  <si>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</si>
  <si>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</si>
  <si>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</si>
  <si>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</si>
  <si>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</si>
  <si>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</si>
  <si>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</si>
  <si>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</si>
  <si>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</si>
  <si>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</si>
  <si>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</si>
  <si>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2024-09-25</t>
  </si>
  <si>
    <t>ORD01424</t>
  </si>
  <si>
    <t>ORD01425</t>
  </si>
  <si>
    <t>2023-07-06</t>
  </si>
  <si>
    <t>ORD01426</t>
  </si>
  <si>
    <t>ORD01427</t>
  </si>
  <si>
    <t>ORD01428</t>
  </si>
  <si>
    <t>ORD01429</t>
  </si>
  <si>
    <t>2023-06-04</t>
  </si>
  <si>
    <t>ORD01430</t>
  </si>
  <si>
    <t>ORD01431</t>
  </si>
  <si>
    <t>ORD01432</t>
  </si>
  <si>
    <t>2024-10-15</t>
  </si>
  <si>
    <t>ORD01433</t>
  </si>
  <si>
    <t>ORD01434</t>
  </si>
  <si>
    <t>ORD01435</t>
  </si>
  <si>
    <t>2023-06-07</t>
  </si>
  <si>
    <t>ORD01436</t>
  </si>
  <si>
    <t>ORD01437</t>
  </si>
  <si>
    <t>ORD01438</t>
  </si>
  <si>
    <t>ORD01439</t>
  </si>
  <si>
    <t>ORD01440</t>
  </si>
  <si>
    <t>ORD01441</t>
  </si>
  <si>
    <t>ORD01442</t>
  </si>
  <si>
    <t>ORD01443</t>
  </si>
  <si>
    <t>ORD01444</t>
  </si>
  <si>
    <t>ORD01445</t>
  </si>
  <si>
    <t>ORD01446</t>
  </si>
  <si>
    <t>2023-10-30</t>
  </si>
  <si>
    <t>ORD01447</t>
  </si>
  <si>
    <t>ORD01448</t>
  </si>
  <si>
    <t>ORD01449</t>
  </si>
  <si>
    <t>2023-05-03</t>
  </si>
  <si>
    <t>ORD01450</t>
  </si>
  <si>
    <t>ORD01451</t>
  </si>
  <si>
    <t>ORD01452</t>
  </si>
  <si>
    <t>2024-02-16</t>
  </si>
  <si>
    <t>ORD01453</t>
  </si>
  <si>
    <t>ORD01454</t>
  </si>
  <si>
    <t>ORD01455</t>
  </si>
  <si>
    <t>2023-07-25</t>
  </si>
  <si>
    <t>ORD01456</t>
  </si>
  <si>
    <t>ORD01457</t>
  </si>
  <si>
    <t>2023-08-09</t>
  </si>
  <si>
    <t>ORD01458</t>
  </si>
  <si>
    <t>ORD01459</t>
  </si>
  <si>
    <t>2024-08-08</t>
  </si>
  <si>
    <t>ORD01460</t>
  </si>
  <si>
    <t>ORD01461</t>
  </si>
  <si>
    <t>ORD01462</t>
  </si>
  <si>
    <t>ORD01463</t>
  </si>
  <si>
    <t>ORD01464</t>
  </si>
  <si>
    <t>ORD01465</t>
  </si>
  <si>
    <t>ORD01466</t>
  </si>
  <si>
    <t>ORD01467</t>
  </si>
  <si>
    <t>ORD01468</t>
  </si>
  <si>
    <t>ORD01469</t>
  </si>
  <si>
    <t>ORD01470</t>
  </si>
  <si>
    <t>ORD01471</t>
  </si>
  <si>
    <t>ORD01472</t>
  </si>
  <si>
    <t>ORD01473</t>
  </si>
  <si>
    <t>2023-11-22</t>
  </si>
  <si>
    <t>ORD01474</t>
  </si>
  <si>
    <t>ORD01475</t>
  </si>
  <si>
    <t>ORD01476</t>
  </si>
  <si>
    <t>ORD01477</t>
  </si>
  <si>
    <t>ORD01478</t>
  </si>
  <si>
    <t>ORD01479</t>
  </si>
  <si>
    <t>ORD01480</t>
  </si>
  <si>
    <t>ORD01481</t>
  </si>
  <si>
    <t>2023-12-16</t>
  </si>
  <si>
    <t>ORD01482</t>
  </si>
  <si>
    <t>ORD01483</t>
  </si>
  <si>
    <t>ORD01484</t>
  </si>
  <si>
    <t>ORD01485</t>
  </si>
  <si>
    <t>ORD01486</t>
  </si>
  <si>
    <t>ORD01487</t>
  </si>
  <si>
    <t>ORD01488</t>
  </si>
  <si>
    <t>ORD01489</t>
  </si>
  <si>
    <t>2024-03-16</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</si>
  <si>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</si>
  <si>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</si>
  <si>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</si>
  <si>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</si>
  <si>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</si>
  <si>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</si>
  <si>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</si>
  <si>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</si>
  <si>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</si>
  <si>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</si>
  <si>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</si>
  <si>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</si>
  <si>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</si>
  <si>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</si>
  <si>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</si>
  <si>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</si>
  <si>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</si>
  <si>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</si>
  <si>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</si>
  <si>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</si>
  <si>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</si>
  <si>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</si>
  <si>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</si>
  <si>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</si>
  <si>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</si>
  <si>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</si>
  <si>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</si>
  <si>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</si>
  <si>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</si>
  <si>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2024-07-29</t>
  </si>
  <si>
    <t>ORD01519</t>
  </si>
  <si>
    <t>ORD01520</t>
  </si>
  <si>
    <t>2023-04-28</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</si>
  <si>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</si>
  <si>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</si>
  <si>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</si>
  <si>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</si>
  <si>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</si>
  <si>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</si>
  <si>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</si>
  <si>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</si>
  <si>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</si>
  <si>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</si>
  <si>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</si>
  <si>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</si>
  <si>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</si>
  <si>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</si>
  <si>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</si>
  <si>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</si>
  <si>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</si>
  <si>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</si>
  <si>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2024-01-13</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</si>
  <si>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</si>
  <si>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</si>
  <si>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</si>
  <si>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</si>
  <si>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</si>
  <si>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</si>
  <si>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</si>
  <si>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</si>
  <si>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</si>
  <si>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</si>
  <si>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</si>
  <si>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</si>
  <si>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</si>
  <si>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</si>
  <si>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</si>
  <si>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</si>
  <si>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</si>
  <si>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</si>
  <si>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</si>
  <si>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2024-09-14</t>
  </si>
  <si>
    <t>ORD01558</t>
  </si>
  <si>
    <t>ORD01559</t>
  </si>
  <si>
    <t>ORD01560</t>
  </si>
  <si>
    <t>ORD01561</t>
  </si>
  <si>
    <t>ORD01562</t>
  </si>
  <si>
    <t>ORD01563</t>
  </si>
  <si>
    <t>ORD01564</t>
  </si>
  <si>
    <t>ORD01565</t>
  </si>
  <si>
    <t>ORD01566</t>
  </si>
  <si>
    <t>ORD01567</t>
  </si>
  <si>
    <t>ORD01568</t>
  </si>
  <si>
    <t>2024-01-08</t>
  </si>
  <si>
    <t>ORD01569</t>
  </si>
  <si>
    <t>ORD01570</t>
  </si>
  <si>
    <t>ORD01571</t>
  </si>
  <si>
    <t>ORD01572</t>
  </si>
  <si>
    <t>ORD01573</t>
  </si>
  <si>
    <t>ORD01574</t>
  </si>
  <si>
    <t>ORD01575</t>
  </si>
  <si>
    <t>ORD01576</t>
  </si>
  <si>
    <t>ORD01577</t>
  </si>
  <si>
    <t>ORD01578</t>
  </si>
  <si>
    <t>2023-03-14</t>
  </si>
  <si>
    <t>ORD01579</t>
  </si>
  <si>
    <t>2024-05-23</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</si>
  <si>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</si>
  <si>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</si>
  <si>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</si>
  <si>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</si>
  <si>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</si>
  <si>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</si>
  <si>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</si>
  <si>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</si>
  <si>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</si>
  <si>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</si>
  <si>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</si>
  <si>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</si>
  <si>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</si>
  <si>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</si>
  <si>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</si>
  <si>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</si>
  <si>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</si>
  <si>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</si>
  <si>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</si>
  <si>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</si>
  <si>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</si>
  <si>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</si>
  <si>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2023-04-22</t>
  </si>
  <si>
    <t>ORD01602</t>
  </si>
  <si>
    <t>2024-08-18</t>
  </si>
  <si>
    <t>ORD01603</t>
  </si>
  <si>
    <t>ORD01604</t>
  </si>
  <si>
    <t>2024-04-12</t>
  </si>
  <si>
    <t>ORD01605</t>
  </si>
  <si>
    <t>ORD01606</t>
  </si>
  <si>
    <t>ORD01607</t>
  </si>
  <si>
    <t>ORD01608</t>
  </si>
  <si>
    <t>2024-04-18</t>
  </si>
  <si>
    <t>ORD01609</t>
  </si>
  <si>
    <t>ORD01610</t>
  </si>
  <si>
    <t>ORD01611</t>
  </si>
  <si>
    <t>ORD01612</t>
  </si>
  <si>
    <t>ORD01613</t>
  </si>
  <si>
    <t>ORD01614</t>
  </si>
  <si>
    <t>ORD01615</t>
  </si>
  <si>
    <t>ORD01616</t>
  </si>
  <si>
    <t>ORD01617</t>
  </si>
  <si>
    <t>ORD01618</t>
  </si>
  <si>
    <t>ORD01619</t>
  </si>
  <si>
    <t>ORD01620</t>
  </si>
  <si>
    <t>ORD01621</t>
  </si>
  <si>
    <t>ORD01622</t>
  </si>
  <si>
    <t>2023-09-08</t>
  </si>
  <si>
    <t>ORD01623</t>
  </si>
  <si>
    <t>ORD01624</t>
  </si>
  <si>
    <t>ORD01625</t>
  </si>
  <si>
    <t>ORD01626</t>
  </si>
  <si>
    <t>ORD01627</t>
  </si>
  <si>
    <t>ORD01628</t>
  </si>
  <si>
    <t>ORD01629</t>
  </si>
  <si>
    <t>ORD01630</t>
  </si>
  <si>
    <t>ORD01631</t>
  </si>
  <si>
    <t>ORD01632</t>
  </si>
  <si>
    <t>ORD01633</t>
  </si>
  <si>
    <t>ORD01634</t>
  </si>
  <si>
    <t>ORD01635</t>
  </si>
  <si>
    <t>ORD01636</t>
  </si>
  <si>
    <t>2024-11-13</t>
  </si>
  <si>
    <t>ORD01637</t>
  </si>
  <si>
    <t>ORD01638</t>
  </si>
  <si>
    <t>ORD01639</t>
  </si>
  <si>
    <t>ORD01640</t>
  </si>
  <si>
    <t>ORD01641</t>
  </si>
  <si>
    <t>ORD01642</t>
  </si>
  <si>
    <t>2024-06-23</t>
  </si>
  <si>
    <t>ORD01643</t>
  </si>
  <si>
    <t>ORD01644</t>
  </si>
  <si>
    <t>2024-03-06</t>
  </si>
  <si>
    <t>ORD01645</t>
  </si>
  <si>
    <t>2024-08-15</t>
  </si>
  <si>
    <t>ORD01646</t>
  </si>
  <si>
    <t>ORD01647</t>
  </si>
  <si>
    <t>ORD01648</t>
  </si>
  <si>
    <t>ORD01649</t>
  </si>
  <si>
    <t>2023-09-17</t>
  </si>
  <si>
    <t>ORD01650</t>
  </si>
  <si>
    <t>ORD01651</t>
  </si>
  <si>
    <t>ORD01652</t>
  </si>
  <si>
    <t>ORD01653</t>
  </si>
  <si>
    <t>ORD01654</t>
  </si>
  <si>
    <t>ORD01655</t>
  </si>
  <si>
    <t>ORD01656</t>
  </si>
  <si>
    <t>ORD01657</t>
  </si>
  <si>
    <t>2023-01-06</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</si>
  <si>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</si>
  <si>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</si>
  <si>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</si>
  <si>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</si>
  <si>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</si>
  <si>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</si>
  <si>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</si>
  <si>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</si>
  <si>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</si>
  <si>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</si>
  <si>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</si>
  <si>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</si>
  <si>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</si>
  <si>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</si>
  <si>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</si>
  <si>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</si>
  <si>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</si>
  <si>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</si>
  <si>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</si>
  <si>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</si>
  <si>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2024-11-09</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</si>
  <si>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</si>
  <si>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</si>
  <si>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</si>
  <si>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</si>
  <si>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</si>
  <si>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</si>
  <si>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</si>
  <si>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</si>
  <si>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</si>
  <si>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</si>
  <si>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</si>
  <si>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</si>
  <si>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</si>
  <si>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</si>
  <si>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</si>
  <si>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</si>
  <si>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</si>
  <si>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</si>
  <si>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</si>
  <si>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</si>
  <si>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</si>
  <si>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</si>
  <si>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</si>
  <si>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2024-04-30</t>
  </si>
  <si>
    <t>ORD01701</t>
  </si>
  <si>
    <t>ORD01702</t>
  </si>
  <si>
    <t>ORD01703</t>
  </si>
  <si>
    <t>ORD01704</t>
  </si>
  <si>
    <t>ORD01705</t>
  </si>
  <si>
    <t>ORD01706</t>
  </si>
  <si>
    <t>ORD01707</t>
  </si>
  <si>
    <t>ORD01708</t>
  </si>
  <si>
    <t>ORD01709</t>
  </si>
  <si>
    <t>ORD01710</t>
  </si>
  <si>
    <t>2024-04-13</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</si>
  <si>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</si>
  <si>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</si>
  <si>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</si>
  <si>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</si>
  <si>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</si>
  <si>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</si>
  <si>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</si>
  <si>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</si>
  <si>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</si>
  <si>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</si>
  <si>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</si>
  <si>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</si>
  <si>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</si>
  <si>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</si>
  <si>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</si>
  <si>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</si>
  <si>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</si>
  <si>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</si>
  <si>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2023-03-12</t>
  </si>
  <si>
    <t>ORD01729</t>
  </si>
  <si>
    <t>ORD01730</t>
  </si>
  <si>
    <t>ORD01731</t>
  </si>
  <si>
    <t>ORD01732</t>
  </si>
  <si>
    <t>ORD01733</t>
  </si>
  <si>
    <t>ORD01734</t>
  </si>
  <si>
    <t>ORD01735</t>
  </si>
  <si>
    <t>ORD01736</t>
  </si>
  <si>
    <t>ORD01737</t>
  </si>
  <si>
    <t>ORD01738</t>
  </si>
  <si>
    <t>2024-09-22</t>
  </si>
  <si>
    <t>ORD01739</t>
  </si>
  <si>
    <t>2024-01-03</t>
  </si>
  <si>
    <t>ORD01740</t>
  </si>
  <si>
    <t>ORD01741</t>
  </si>
  <si>
    <t>2023-10-22</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</si>
  <si>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</si>
  <si>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</si>
  <si>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</si>
  <si>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</si>
  <si>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</si>
  <si>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</si>
  <si>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</si>
  <si>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</si>
  <si>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</si>
  <si>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</si>
  <si>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</si>
  <si>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</si>
  <si>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</si>
  <si>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</si>
  <si>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</si>
  <si>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</si>
  <si>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</si>
  <si>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</si>
  <si>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</si>
  <si>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</si>
  <si>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</si>
  <si>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</si>
  <si>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</si>
  <si>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</si>
  <si>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</si>
  <si>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</si>
  <si>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</si>
  <si>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</si>
  <si>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</si>
  <si>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</si>
  <si>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</si>
  <si>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</si>
  <si>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</si>
  <si>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2023-11-30</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</si>
  <si>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</si>
  <si>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</si>
  <si>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</si>
  <si>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</si>
  <si>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</si>
  <si>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</si>
  <si>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</si>
  <si>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</si>
  <si>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</si>
  <si>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</si>
  <si>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</si>
  <si>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</si>
  <si>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</si>
  <si>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</si>
  <si>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</si>
  <si>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</si>
  <si>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</si>
  <si>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</si>
  <si>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</si>
  <si>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</si>
  <si>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</si>
  <si>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</si>
  <si>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</si>
  <si>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</si>
  <si>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2023-03-23</t>
  </si>
  <si>
    <t>ORD01799</t>
  </si>
  <si>
    <t>ORD01800</t>
  </si>
  <si>
    <t>ORD01801</t>
  </si>
  <si>
    <t>ORD01802</t>
  </si>
  <si>
    <t>ORD01803</t>
  </si>
  <si>
    <t>ORD01804</t>
  </si>
  <si>
    <t>ORD01805</t>
  </si>
  <si>
    <t>2024-08-10</t>
  </si>
  <si>
    <t>ORD01806</t>
  </si>
  <si>
    <t>ORD01807</t>
  </si>
  <si>
    <t>ORD01808</t>
  </si>
  <si>
    <t>ORD01809</t>
  </si>
  <si>
    <t>ORD01810</t>
  </si>
  <si>
    <t>2023-11-12</t>
  </si>
  <si>
    <t>ORD01811</t>
  </si>
  <si>
    <t>ORD01812</t>
  </si>
  <si>
    <t>ORD01813</t>
  </si>
  <si>
    <t>ORD01814</t>
  </si>
  <si>
    <t>ORD01815</t>
  </si>
  <si>
    <t>ORD01816</t>
  </si>
  <si>
    <t>ORD01817</t>
  </si>
  <si>
    <t>ORD01818</t>
  </si>
  <si>
    <t>ORD01819</t>
  </si>
  <si>
    <t>ORD01820</t>
  </si>
  <si>
    <t>ORD01821</t>
  </si>
  <si>
    <t>ORD01822</t>
  </si>
  <si>
    <t>ORD01823</t>
  </si>
  <si>
    <t>ORD01824</t>
  </si>
  <si>
    <t>2024-10-20</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</si>
  <si>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</si>
  <si>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</si>
  <si>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</si>
  <si>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</si>
  <si>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</si>
  <si>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</si>
  <si>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</si>
  <si>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</si>
  <si>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</si>
  <si>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</si>
  <si>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</si>
  <si>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</si>
  <si>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</si>
  <si>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</si>
  <si>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</si>
  <si>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</si>
  <si>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</si>
  <si>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</si>
  <si>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</si>
  <si>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</si>
  <si>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</si>
  <si>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</si>
  <si>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</si>
  <si>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</si>
  <si>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</si>
  <si>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</si>
  <si>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</si>
  <si>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</si>
  <si>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</si>
  <si>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</si>
  <si>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</si>
  <si>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</si>
  <si>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</si>
  <si>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</si>
  <si>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</si>
  <si>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</si>
  <si>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2023-02-15</t>
  </si>
  <si>
    <t>ORD01861</t>
  </si>
  <si>
    <t>ORD01862</t>
  </si>
  <si>
    <t>ORD01863</t>
  </si>
  <si>
    <t>ORD01864</t>
  </si>
  <si>
    <t>ORD01865</t>
  </si>
  <si>
    <t>ORD01866</t>
  </si>
  <si>
    <t>ORD01867</t>
  </si>
  <si>
    <t>ORD01868</t>
  </si>
  <si>
    <t>ORD01869</t>
  </si>
  <si>
    <t>ORD01870</t>
  </si>
  <si>
    <t>2023-03-01</t>
  </si>
  <si>
    <t>ORD01871</t>
  </si>
  <si>
    <t>ORD01872</t>
  </si>
  <si>
    <t>ORD01873</t>
  </si>
  <si>
    <t>ORD01874</t>
  </si>
  <si>
    <t>ORD01875</t>
  </si>
  <si>
    <t>2023-11-06</t>
  </si>
  <si>
    <t>ORD01876</t>
  </si>
  <si>
    <t>ORD01877</t>
  </si>
  <si>
    <t>ORD01878</t>
  </si>
  <si>
    <t>ORD01879</t>
  </si>
  <si>
    <t>ORD01880</t>
  </si>
  <si>
    <t>ORD01881</t>
  </si>
  <si>
    <t>2023-07-12</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</si>
  <si>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</si>
  <si>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</si>
  <si>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</si>
  <si>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</si>
  <si>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</si>
  <si>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</si>
  <si>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</si>
  <si>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</si>
  <si>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</si>
  <si>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</si>
  <si>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</si>
  <si>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</si>
  <si>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</si>
  <si>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</si>
  <si>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</si>
  <si>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</si>
  <si>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2023-05-10</t>
  </si>
  <si>
    <t>ORD01898</t>
  </si>
  <si>
    <t>2023-01-27</t>
  </si>
  <si>
    <t>ORD01899</t>
  </si>
  <si>
    <t>ORD01900</t>
  </si>
  <si>
    <t>ORD01901</t>
  </si>
  <si>
    <t>ORD01902</t>
  </si>
  <si>
    <t>ORD01903</t>
  </si>
  <si>
    <t>ORD01904</t>
  </si>
  <si>
    <t>2023-12-12</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</si>
  <si>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</si>
  <si>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</si>
  <si>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</si>
  <si>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</si>
  <si>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</si>
  <si>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</si>
  <si>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</si>
  <si>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</si>
  <si>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</si>
  <si>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</si>
  <si>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</si>
  <si>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</si>
  <si>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</si>
  <si>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</si>
  <si>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</si>
  <si>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</si>
  <si>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</si>
  <si>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</si>
  <si>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</si>
  <si>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</si>
  <si>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</si>
  <si>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</si>
  <si>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</si>
  <si>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</si>
  <si>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</si>
  <si>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</si>
  <si>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2023-10-18</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</si>
  <si>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</si>
  <si>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</si>
  <si>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</si>
  <si>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</si>
  <si>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</si>
  <si>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</si>
  <si>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</si>
  <si>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</si>
  <si>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</si>
  <si>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</si>
  <si>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</si>
  <si>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</si>
  <si>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</si>
  <si>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</si>
  <si>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</si>
  <si>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</si>
  <si>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</si>
  <si>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</si>
  <si>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</si>
  <si>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</si>
  <si>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</si>
  <si>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</si>
  <si>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</si>
  <si>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</si>
  <si>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</si>
  <si>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</si>
  <si>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</si>
  <si>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</si>
  <si>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</si>
  <si>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</si>
  <si>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</si>
  <si>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</si>
  <si>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</si>
  <si>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</si>
  <si>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</si>
  <si>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</si>
  <si>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</si>
  <si>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</si>
  <si>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</si>
  <si>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2024-05-02</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</si>
  <si>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</si>
  <si>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</si>
  <si>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</si>
  <si>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</si>
  <si>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</si>
  <si>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</si>
  <si>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</si>
  <si>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</si>
  <si>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</si>
  <si>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</si>
  <si>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</si>
  <si>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</si>
  <si>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</si>
  <si>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</si>
  <si>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</si>
  <si>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</si>
  <si>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</si>
  <si>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</si>
  <si>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</si>
  <si>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</si>
  <si>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</si>
  <si>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</si>
  <si>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</si>
  <si>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</si>
  <si>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</si>
  <si>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</si>
  <si>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</si>
  <si>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</si>
  <si>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</si>
  <si>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</si>
  <si>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</si>
  <si>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Month</t>
  </si>
  <si>
    <t>Year</t>
  </si>
  <si>
    <t>Row Labels</t>
  </si>
  <si>
    <t>May</t>
  </si>
  <si>
    <t>Grand Total</t>
  </si>
  <si>
    <t>Sum of SalesAmount</t>
  </si>
  <si>
    <t>Jul</t>
  </si>
  <si>
    <t>Feb</t>
  </si>
  <si>
    <t>Mar</t>
  </si>
  <si>
    <t>Jun</t>
  </si>
  <si>
    <t>Aug</t>
  </si>
  <si>
    <t>Oct</t>
  </si>
  <si>
    <t>Nov</t>
  </si>
  <si>
    <t>Dec</t>
  </si>
  <si>
    <t>Jan</t>
  </si>
  <si>
    <t>Sep</t>
  </si>
  <si>
    <t>Apr</t>
  </si>
  <si>
    <t>Cost</t>
  </si>
  <si>
    <t>Count of OrderID</t>
  </si>
  <si>
    <t>Profit</t>
  </si>
  <si>
    <t>Sum of Profit</t>
  </si>
  <si>
    <t xml:space="preserve"> Avg order value</t>
  </si>
  <si>
    <t>Total Sales</t>
  </si>
  <si>
    <t>(All)</t>
  </si>
  <si>
    <t>Total Profit</t>
  </si>
  <si>
    <t>Total Orders</t>
  </si>
  <si>
    <t>Sum of Cost</t>
  </si>
  <si>
    <t>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</si>
</sst>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3" x14ac:knownFonts="1">
    <font>
      <sz val="11"/>
      <color theme="1"/>
      <name val="Calibri"/>
      <family val="2"/>
      <scheme val="minor"/>
    </font>
    <font>
      <sz val="11"/>
      <color theme="1"/>
      <name val="Times New Roman"/>
      <family val="1"/>
    </font>
    <font>
      <b/>
      <sz val="11"/>
      <color theme="1"/>
      <name val="Times New Roman"/>
      <family val="1"/>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4">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24">
    <xf numFmtId="0" fontId="0" fillId="0" borderId="0" xfId="0"/>
    <xf numFmtId="0" fontId="0" fillId="0" borderId="0" xfId="0" pivotButton="1"/>
    <xf numFmtId="0" fontId="0" fillId="0" borderId="0" xfId="0" applyAlignment="1">
      <alignment horizontal="left"/>
    </xf>
    <xf numFmtId="1" fontId="0" fillId="0" borderId="0" xfId="0" applyNumberFormat="1"/>
    <xf numFmtId="49" fontId="0" fillId="0" borderId="0" xfId="0" applyNumberFormat="1"/>
    <xf numFmtId="14" fontId="0" fillId="0" borderId="0" xfId="0" applyNumberFormat="1"/>
    <xf numFmtId="164" fontId="0" fillId="0" borderId="0" xfId="0" applyNumberFormat="1"/>
    <xf numFmtId="165" fontId="0" fillId="0" borderId="0" xfId="0" applyNumberFormat="1"/>
    <xf numFmtId="0" fontId="1" fillId="0" borderId="0" xfId="0" applyFont="1"/>
    <xf numFmtId="165" fontId="1" fillId="0" borderId="0" xfId="0" applyNumberFormat="1" applyFont="1"/>
    <xf numFmtId="0" fontId="2" fillId="3" borderId="2" xfId="0" applyFont="1" applyFill="1" applyBorder="1"/>
    <xf numFmtId="0" fontId="2" fillId="3" borderId="3" xfId="0" applyFont="1" applyFill="1" applyBorder="1"/>
    <xf numFmtId="165" fontId="2" fillId="0" borderId="2" xfId="0" applyNumberFormat="1" applyFont="1" applyBorder="1"/>
    <xf numFmtId="164" fontId="2" fillId="0" borderId="2" xfId="0" applyNumberFormat="1" applyFont="1" applyBorder="1"/>
    <xf numFmtId="0" fontId="2" fillId="0" borderId="2" xfId="0" applyFont="1" applyBorder="1"/>
    <xf numFmtId="165" fontId="2" fillId="0" borderId="0" xfId="0" applyNumberFormat="1" applyFont="1"/>
    <xf numFmtId="0" fontId="1" fillId="0" borderId="0" xfId="0" pivotButton="1" applyFont="1"/>
    <xf numFmtId="0" fontId="1" fillId="0" borderId="0" xfId="0" applyFont="1" applyAlignment="1">
      <alignment horizontal="left"/>
    </xf>
    <xf numFmtId="164" fontId="1" fillId="0" borderId="0" xfId="0" applyNumberFormat="1" applyFont="1"/>
    <xf numFmtId="0" fontId="2" fillId="2" borderId="1" xfId="0" applyFont="1" applyFill="1" applyBorder="1"/>
    <xf numFmtId="0" fontId="2" fillId="0" borderId="1" xfId="0" applyFont="1" applyBorder="1" applyAlignment="1">
      <alignment horizontal="left"/>
    </xf>
    <xf numFmtId="164" fontId="2" fillId="0" borderId="1" xfId="0" applyNumberFormat="1" applyFont="1" applyBorder="1"/>
    <xf numFmtId="0" fontId="1" fillId="0" borderId="0" xfId="0" applyFont="1" applyAlignment="1">
      <alignment horizontal="left" indent="1"/>
    </xf>
    <xf numFmtId="0" fontId="1" fillId="0" borderId="0" xfId="0" applyNumberFormat="1" applyFont="1"/>
  </cellXfs>
  <cellStyles count="1">
    <cellStyle name="Normal" xfId="0" builtinId="0"/>
  </cellStyles>
  <dxfs count="160">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5" formatCode="&quot;₹&quot;\ #,##0.00"/>
    </dxf>
    <dxf>
      <numFmt numFmtId="0" formatCode="Genera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5" formatCode="&quot;₹&quot;\ #,##0.00"/>
    </dxf>
    <dxf>
      <numFmt numFmtId="0" formatCode="Genera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5" formatCode="&quot;₹&quot;\ #,##0.00"/>
    </dxf>
    <dxf>
      <numFmt numFmtId="0" formatCode="Genera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5" formatCode="&quot;₹&quot;\ #,##0.00"/>
    </dxf>
    <dxf>
      <numFmt numFmtId="0" formatCode="Genera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0" formatCode="General"/>
    </dxf>
    <dxf>
      <numFmt numFmtId="165" formatCode="&quot;₹&quot;\ #,##0.00"/>
    </dxf>
    <dxf>
      <numFmt numFmtId="19" formatCode="dd/mm/yyyy"/>
    </dxf>
    <dxf>
      <numFmt numFmtId="19" formatCode="dd/mm/yyyy"/>
    </dxf>
    <dxf>
      <numFmt numFmtId="164" formatCode="&quot;₹&quot;\ #,##0"/>
    </dxf>
    <dxf>
      <numFmt numFmtId="164" formatCode="&quot;₹&quot;\ #,##0"/>
    </dxf>
    <dxf>
      <numFmt numFmtId="164" formatCode="&quot;₹&quot;\ #,##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[sales_dashboard.xlsx]Monthly Sales Trend!PivotTable4</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Monthly Sales Trend</a:t>
            </a:r>
          </a:p>
        </c:rich>
      </c:tx>
      <c:layout>
        <c:manualLayout>
          <c:xMode val="edge"/>
          <c:yMode val="edge"/>
          <c:x val="0.31446522309711283"/>
          <c:y val="7.87037037037037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03937007874016"/>
          <c:y val="0.27356481481481482"/>
          <c:w val="0.74107130358705164"/>
          <c:h val="0.61903579760863214"/>
        </c:manualLayout>
      </c:layout>
      <c:lineChart>
        <c:grouping val="standard"/>
        <c:varyColors val="0"/>
        <c:ser>
          <c:idx val="0"/>
          <c:order val="0"/>
          <c:tx>
            <c:strRef>
              <c:f>'Monthly Sales Trend'!$B$3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1"/>
                </a:solidFill>
              </a:ln>
              <a:effectLst/>
            </c:spPr>
            <c:trendlineType val="linear"/>
            <c:dispRSqr val="0"/>
            <c:dispEq val="0"/>
          </c:trendline>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 #,##0</c:formatCode>
                <c:ptCount val="12"/>
                <c:pt idx="0">
                  <c:v>24485103</c:v>
                </c:pt>
                <c:pt idx="1">
                  <c:v>22024893</c:v>
                </c:pt>
                <c:pt idx="2">
                  <c:v>21173392</c:v>
                </c:pt>
                <c:pt idx="3">
                  <c:v>25354458</c:v>
                </c:pt>
                <c:pt idx="4">
                  <c:v>26424685</c:v>
                </c:pt>
                <c:pt idx="5">
                  <c:v>25039461</c:v>
                </c:pt>
                <c:pt idx="6">
                  <c:v>24326614</c:v>
                </c:pt>
                <c:pt idx="7">
                  <c:v>24393608</c:v>
                </c:pt>
                <c:pt idx="8">
                  <c:v>25028290</c:v>
                </c:pt>
                <c:pt idx="9">
                  <c:v>24493350</c:v>
                </c:pt>
                <c:pt idx="10">
                  <c:v>25201344</c:v>
                </c:pt>
                <c:pt idx="11">
                  <c:v>12672819</c:v>
                </c:pt>
              </c:numCache>
            </c:numRef>
          </c:val>
          <c:smooth val="0"/>
          <c:extLst>
            <c:ext xmlns:c16="http://schemas.microsoft.com/office/drawing/2014/chart" uri="{C3380CC4-5D6E-409C-BE32-E72D297353CC}">
              <c16:uniqueId val="{00000001-F06E-489C-9BED-9FE650067ECC}"/>
            </c:ext>
          </c:extLst>
        </c:ser>
        <c:dLbls>
          <c:showLegendKey val="0"/>
          <c:showVal val="0"/>
          <c:showCatName val="0"/>
          <c:showSerName val="0"/>
          <c:showPercent val="0"/>
          <c:showBubbleSize val="0"/>
        </c:dLbls>
        <c:marker val="1"/>
        <c:smooth val="0"/>
        <c:axId val="343684671"/>
        <c:axId val="343676991"/>
      </c:lineChart>
      <c:catAx>
        <c:axId val="3436846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43676991"/>
        <c:crosses val="autoZero"/>
        <c:auto val="1"/>
        <c:lblAlgn val="ctr"/>
        <c:lblOffset val="100"/>
        <c:noMultiLvlLbl val="0"/>
      </c:catAx>
      <c:valAx>
        <c:axId val="343676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43684671"/>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dispUnitsLbl>
        </c:dispUnits>
      </c:valAx>
      <c:spPr>
        <a:noFill/>
        <a:ln>
          <a:solidFill>
            <a:schemeClr val="bg1">
              <a:alpha val="99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[sales_dashboard.xlsx]top 10 Companies sales!PivotTable8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a:t>Top 10 Products By Sales</a:t>
            </a:r>
          </a:p>
        </c:rich>
      </c:tx>
      <c:layout>
        <c:manualLayout>
          <c:xMode val="edge"/>
          <c:yMode val="edge"/>
          <c:x val="0.36652685523248141"/>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pivotFmt>
      <c:pivotFmt>
        <c:idx val="2"/>
        <c:spPr>
          <a:solidFill>
            <a:schemeClr val="accent2">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4">
              <a:lumMod val="75000"/>
            </a:schemeClr>
          </a:solidFill>
          <a:ln>
            <a:noFill/>
          </a:ln>
          <a:effectLst/>
        </c:spPr>
      </c:pivotFmt>
      <c:pivotFmt>
        <c:idx val="5"/>
        <c:spPr>
          <a:solidFill>
            <a:srgbClr val="00B0F0"/>
          </a:solidFill>
          <a:ln>
            <a:noFill/>
          </a:ln>
          <a:effectLst/>
        </c:spPr>
      </c:pivotFmt>
      <c:pivotFmt>
        <c:idx val="6"/>
        <c:spPr>
          <a:solidFill>
            <a:schemeClr val="tx2">
              <a:lumMod val="75000"/>
            </a:schemeClr>
          </a:solidFill>
          <a:ln>
            <a:noFill/>
          </a:ln>
          <a:effectLst/>
        </c:spPr>
      </c:pivotFmt>
      <c:pivotFmt>
        <c:idx val="7"/>
        <c:spPr>
          <a:solidFill>
            <a:srgbClr val="FF0000"/>
          </a:solidFill>
          <a:ln>
            <a:noFill/>
          </a:ln>
          <a:effectLst/>
        </c:spPr>
      </c:pivotFmt>
      <c:pivotFmt>
        <c:idx val="8"/>
        <c:spPr>
          <a:solidFill>
            <a:srgbClr val="7030A0"/>
          </a:solidFill>
          <a:ln>
            <a:noFill/>
          </a:ln>
          <a:effectLst/>
        </c:spPr>
      </c:pivotFmt>
      <c:pivotFmt>
        <c:idx val="9"/>
        <c:spPr>
          <a:solidFill>
            <a:schemeClr val="bg2">
              <a:lumMod val="25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25000"/>
            </a:schemeClr>
          </a:solidFill>
          <a:ln>
            <a:noFill/>
          </a:ln>
          <a:effectLst/>
        </c:spPr>
      </c:pivotFmt>
      <c:pivotFmt>
        <c:idx val="12"/>
        <c:spPr>
          <a:solidFill>
            <a:srgbClr val="FF0000"/>
          </a:solidFill>
          <a:ln>
            <a:noFill/>
          </a:ln>
          <a:effectLst/>
        </c:spPr>
      </c:pivotFmt>
      <c:pivotFmt>
        <c:idx val="13"/>
        <c:spPr>
          <a:solidFill>
            <a:schemeClr val="tx2">
              <a:lumMod val="75000"/>
            </a:schemeClr>
          </a:solidFill>
          <a:ln>
            <a:noFill/>
          </a:ln>
          <a:effectLst/>
        </c:spPr>
      </c:pivotFmt>
      <c:pivotFmt>
        <c:idx val="14"/>
        <c:spPr>
          <a:solidFill>
            <a:srgbClr val="00B0F0"/>
          </a:solidFill>
          <a:ln>
            <a:noFill/>
          </a:ln>
          <a:effectLst/>
        </c:spPr>
      </c:pivotFmt>
      <c:pivotFmt>
        <c:idx val="15"/>
        <c:spPr>
          <a:solidFill>
            <a:schemeClr val="accent4">
              <a:lumMod val="75000"/>
            </a:schemeClr>
          </a:solidFill>
          <a:ln>
            <a:noFill/>
          </a:ln>
          <a:effectLst/>
        </c:spPr>
      </c:pivotFmt>
      <c:pivotFmt>
        <c:idx val="16"/>
        <c:spPr>
          <a:solidFill>
            <a:schemeClr val="accent6">
              <a:lumMod val="75000"/>
            </a:schemeClr>
          </a:solidFill>
          <a:ln>
            <a:noFill/>
          </a:ln>
          <a:effectLst/>
        </c:spPr>
      </c:pivotFmt>
      <c:pivotFmt>
        <c:idx val="17"/>
        <c:spPr>
          <a:solidFill>
            <a:schemeClr val="accent3">
              <a:lumMod val="75000"/>
            </a:schemeClr>
          </a:solidFill>
          <a:ln>
            <a:noFill/>
          </a:ln>
          <a:effectLst/>
        </c:spPr>
      </c:pivotFmt>
      <c:pivotFmt>
        <c:idx val="18"/>
        <c:spPr>
          <a:solidFill>
            <a:schemeClr val="accent3">
              <a:lumMod val="75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2">
              <a:lumMod val="25000"/>
            </a:schemeClr>
          </a:solidFill>
          <a:ln>
            <a:noFill/>
          </a:ln>
          <a:effectLst/>
        </c:spPr>
      </c:pivotFmt>
      <c:pivotFmt>
        <c:idx val="21"/>
        <c:spPr>
          <a:solidFill>
            <a:schemeClr val="accent1"/>
          </a:solidFill>
          <a:ln>
            <a:noFill/>
          </a:ln>
          <a:effectLst/>
        </c:spPr>
      </c:pivotFmt>
      <c:pivotFmt>
        <c:idx val="22"/>
        <c:spPr>
          <a:solidFill>
            <a:srgbClr val="FF0000"/>
          </a:solidFill>
          <a:ln>
            <a:noFill/>
          </a:ln>
          <a:effectLst/>
        </c:spPr>
      </c:pivotFmt>
      <c:pivotFmt>
        <c:idx val="23"/>
        <c:spPr>
          <a:solidFill>
            <a:schemeClr val="accent1"/>
          </a:solidFill>
          <a:ln>
            <a:noFill/>
          </a:ln>
          <a:effectLst/>
        </c:spPr>
      </c:pivotFmt>
      <c:pivotFmt>
        <c:idx val="24"/>
        <c:spPr>
          <a:solidFill>
            <a:srgbClr val="00B0F0"/>
          </a:solidFill>
          <a:ln>
            <a:noFill/>
          </a:ln>
          <a:effectLst/>
        </c:spPr>
      </c:pivotFmt>
      <c:pivotFmt>
        <c:idx val="25"/>
        <c:spPr>
          <a:solidFill>
            <a:schemeClr val="accent6">
              <a:lumMod val="75000"/>
            </a:schemeClr>
          </a:solidFill>
          <a:ln>
            <a:noFill/>
          </a:ln>
          <a:effectLst/>
        </c:spPr>
      </c:pivotFmt>
      <c:pivotFmt>
        <c:idx val="26"/>
        <c:spPr>
          <a:solidFill>
            <a:schemeClr val="accent1"/>
          </a:solidFill>
          <a:ln>
            <a:noFill/>
          </a:ln>
          <a:effectLst/>
        </c:spPr>
      </c:pivotFmt>
      <c:pivotFmt>
        <c:idx val="27"/>
        <c:spPr>
          <a:solidFill>
            <a:schemeClr val="accent3">
              <a:lumMod val="75000"/>
            </a:schemeClr>
          </a:solidFill>
          <a:ln>
            <a:noFill/>
          </a:ln>
          <a:effectLst/>
        </c:spPr>
      </c:pivotFmt>
      <c:pivotFmt>
        <c:idx val="28"/>
        <c:spPr>
          <a:solidFill>
            <a:schemeClr val="accent3">
              <a:lumMod val="75000"/>
            </a:schemeClr>
          </a:solidFill>
          <a:ln>
            <a:noFill/>
          </a:ln>
          <a:effectLst/>
        </c:spPr>
      </c:pivotFmt>
    </c:pivotFmts>
    <c:plotArea>
      <c:layout>
        <c:manualLayout>
          <c:layoutTarget val="inner"/>
          <c:xMode val="edge"/>
          <c:yMode val="edge"/>
          <c:x val="0.18673008401882726"/>
          <c:y val="0.16319521788780647"/>
          <c:w val="0.73920549743826636"/>
          <c:h val="0.72940543828307991"/>
        </c:manualLayout>
      </c:layout>
      <c:barChart>
        <c:barDir val="bar"/>
        <c:grouping val="clustered"/>
        <c:varyColors val="0"/>
        <c:ser>
          <c:idx val="0"/>
          <c:order val="0"/>
          <c:tx>
            <c:strRef>
              <c:f>'top 10 Companies sales'!$B$3</c:f>
              <c:strCache>
                <c:ptCount val="1"/>
                <c:pt idx="0">
                  <c:v>Total</c:v>
                </c:pt>
              </c:strCache>
            </c:strRef>
          </c:tx>
          <c:spPr>
            <a:solidFill>
              <a:schemeClr val="accent1"/>
            </a:solidFill>
            <a:ln>
              <a:noFill/>
            </a:ln>
            <a:effectLst/>
          </c:spPr>
          <c:invertIfNegative val="0"/>
          <c:dPt>
            <c:idx val="0"/>
            <c:invertIfNegative val="0"/>
            <c:bubble3D val="0"/>
            <c:spPr>
              <a:solidFill>
                <a:schemeClr val="bg2">
                  <a:lumMod val="25000"/>
                </a:schemeClr>
              </a:solidFill>
              <a:ln>
                <a:noFill/>
              </a:ln>
              <a:effectLst/>
            </c:spPr>
            <c:extLst>
              <c:ext xmlns:c16="http://schemas.microsoft.com/office/drawing/2014/chart" uri="{C3380CC4-5D6E-409C-BE32-E72D297353CC}">
                <c16:uniqueId val="{00000001-E9C3-41EA-AAA4-039570A3D2B4}"/>
              </c:ext>
            </c:extLst>
          </c:dPt>
          <c:dPt>
            <c:idx val="1"/>
            <c:invertIfNegative val="0"/>
            <c:bubble3D val="0"/>
            <c:extLst>
              <c:ext xmlns:c16="http://schemas.microsoft.com/office/drawing/2014/chart" uri="{C3380CC4-5D6E-409C-BE32-E72D297353CC}">
                <c16:uniqueId val="{00000003-E9C3-41EA-AAA4-039570A3D2B4}"/>
              </c:ext>
            </c:extLst>
          </c:dPt>
          <c:dPt>
            <c:idx val="3"/>
            <c:invertIfNegative val="0"/>
            <c:bubble3D val="0"/>
            <c:spPr>
              <a:solidFill>
                <a:srgbClr val="FF0000"/>
              </a:solidFill>
              <a:ln>
                <a:noFill/>
              </a:ln>
              <a:effectLst/>
            </c:spPr>
            <c:extLst>
              <c:ext xmlns:c16="http://schemas.microsoft.com/office/drawing/2014/chart" uri="{C3380CC4-5D6E-409C-BE32-E72D297353CC}">
                <c16:uniqueId val="{00000005-E9C3-41EA-AAA4-039570A3D2B4}"/>
              </c:ext>
            </c:extLst>
          </c:dPt>
          <c:dPt>
            <c:idx val="4"/>
            <c:invertIfNegative val="0"/>
            <c:bubble3D val="0"/>
            <c:extLst>
              <c:ext xmlns:c16="http://schemas.microsoft.com/office/drawing/2014/chart" uri="{C3380CC4-5D6E-409C-BE32-E72D297353CC}">
                <c16:uniqueId val="{00000007-E9C3-41EA-AAA4-039570A3D2B4}"/>
              </c:ext>
            </c:extLst>
          </c:dPt>
          <c:dPt>
            <c:idx val="5"/>
            <c:invertIfNegative val="0"/>
            <c:bubble3D val="0"/>
            <c:spPr>
              <a:solidFill>
                <a:srgbClr val="00B0F0"/>
              </a:solidFill>
              <a:ln>
                <a:noFill/>
              </a:ln>
              <a:effectLst/>
            </c:spPr>
            <c:extLst>
              <c:ext xmlns:c16="http://schemas.microsoft.com/office/drawing/2014/chart" uri="{C3380CC4-5D6E-409C-BE32-E72D297353CC}">
                <c16:uniqueId val="{00000009-E9C3-41EA-AAA4-039570A3D2B4}"/>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B-E9C3-41EA-AAA4-039570A3D2B4}"/>
              </c:ext>
            </c:extLst>
          </c:dPt>
          <c:dPt>
            <c:idx val="7"/>
            <c:invertIfNegative val="0"/>
            <c:bubble3D val="0"/>
            <c:extLst>
              <c:ext xmlns:c16="http://schemas.microsoft.com/office/drawing/2014/chart" uri="{C3380CC4-5D6E-409C-BE32-E72D297353CC}">
                <c16:uniqueId val="{0000000D-E9C3-41EA-AAA4-039570A3D2B4}"/>
              </c:ext>
            </c:extLst>
          </c:dPt>
          <c:dPt>
            <c:idx val="9"/>
            <c:invertIfNegative val="0"/>
            <c:bubble3D val="0"/>
            <c:spPr>
              <a:solidFill>
                <a:schemeClr val="accent3">
                  <a:lumMod val="75000"/>
                </a:schemeClr>
              </a:solidFill>
              <a:ln>
                <a:noFill/>
              </a:ln>
              <a:effectLst/>
            </c:spPr>
            <c:extLst>
              <c:ext xmlns:c16="http://schemas.microsoft.com/office/drawing/2014/chart" uri="{C3380CC4-5D6E-409C-BE32-E72D297353CC}">
                <c16:uniqueId val="{0000000F-E9C3-41EA-AAA4-039570A3D2B4}"/>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Companies sales'!$A$4:$A$14</c:f>
              <c:strCache>
                <c:ptCount val="10"/>
                <c:pt idx="0">
                  <c:v>Air Fryer</c:v>
                </c:pt>
                <c:pt idx="1">
                  <c:v>Headphones</c:v>
                </c:pt>
                <c:pt idx="2">
                  <c:v>Laptop</c:v>
                </c:pt>
                <c:pt idx="3">
                  <c:v>Microwave</c:v>
                </c:pt>
                <c:pt idx="4">
                  <c:v>Notebook</c:v>
                </c:pt>
                <c:pt idx="5">
                  <c:v>Pen Pack</c:v>
                </c:pt>
                <c:pt idx="6">
                  <c:v>Printer Paper</c:v>
                </c:pt>
                <c:pt idx="7">
                  <c:v>Stapler</c:v>
                </c:pt>
                <c:pt idx="8">
                  <c:v>Tablet</c:v>
                </c:pt>
                <c:pt idx="9">
                  <c:v>Water Purifier</c:v>
                </c:pt>
              </c:strCache>
            </c:strRef>
          </c:cat>
          <c:val>
            <c:numRef>
              <c:f>'top 10 Companies sales'!$B$4:$B$14</c:f>
              <c:numCache>
                <c:formatCode>"₹"\ #,##0</c:formatCode>
                <c:ptCount val="10"/>
                <c:pt idx="0">
                  <c:v>21255225</c:v>
                </c:pt>
                <c:pt idx="1">
                  <c:v>16796206</c:v>
                </c:pt>
                <c:pt idx="2">
                  <c:v>20020980</c:v>
                </c:pt>
                <c:pt idx="3">
                  <c:v>16991036</c:v>
                </c:pt>
                <c:pt idx="4">
                  <c:v>20502394</c:v>
                </c:pt>
                <c:pt idx="5">
                  <c:v>17468633</c:v>
                </c:pt>
                <c:pt idx="6">
                  <c:v>20094108</c:v>
                </c:pt>
                <c:pt idx="7">
                  <c:v>20099414</c:v>
                </c:pt>
                <c:pt idx="8">
                  <c:v>17315032</c:v>
                </c:pt>
                <c:pt idx="9">
                  <c:v>18116179</c:v>
                </c:pt>
              </c:numCache>
            </c:numRef>
          </c:val>
          <c:extLst>
            <c:ext xmlns:c16="http://schemas.microsoft.com/office/drawing/2014/chart" uri="{C3380CC4-5D6E-409C-BE32-E72D297353CC}">
              <c16:uniqueId val="{00000010-E9C3-41EA-AAA4-039570A3D2B4}"/>
            </c:ext>
          </c:extLst>
        </c:ser>
        <c:dLbls>
          <c:showLegendKey val="0"/>
          <c:showVal val="0"/>
          <c:showCatName val="0"/>
          <c:showSerName val="0"/>
          <c:showPercent val="0"/>
          <c:showBubbleSize val="0"/>
        </c:dLbls>
        <c:gapWidth val="183"/>
        <c:axId val="1105706879"/>
        <c:axId val="1105704479"/>
      </c:barChart>
      <c:catAx>
        <c:axId val="110570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105704479"/>
        <c:crosses val="autoZero"/>
        <c:auto val="1"/>
        <c:lblAlgn val="ctr"/>
        <c:lblOffset val="100"/>
        <c:noMultiLvlLbl val="0"/>
      </c:catAx>
      <c:valAx>
        <c:axId val="1105704479"/>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10570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C ategory!PivotTable7</c:name>
    <c:fmtId val="1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a:t>Sales By category</a:t>
            </a:r>
          </a:p>
        </c:rich>
      </c:tx>
      <c:layout>
        <c:manualLayout>
          <c:xMode val="edge"/>
          <c:yMode val="edge"/>
          <c:x val="0.34774512629552345"/>
          <c:y val="4.580152671755725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10800000" scaled="1"/>
            <a:tileRect/>
          </a:gradFill>
          <a:ln>
            <a:noFill/>
          </a:ln>
          <a:effectLst/>
        </c:spPr>
      </c:pivotFmt>
      <c:pivotFmt>
        <c:idx val="2"/>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10800000" scaled="1"/>
            <a:tileRect/>
          </a:gradFill>
          <a:ln>
            <a:noFill/>
          </a:ln>
          <a:effectLst/>
        </c:spPr>
      </c:pivotFmt>
      <c:pivotFmt>
        <c:idx val="3"/>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0800000" scaled="1"/>
            <a:tileRect/>
          </a:gradFill>
          <a:ln>
            <a:noFill/>
          </a:ln>
          <a:effectLst/>
        </c:spPr>
      </c:pivotFmt>
      <c:pivotFmt>
        <c:idx val="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pivotFmt>
      <c:pivotFmt>
        <c:idx val="7"/>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10800000" scaled="1"/>
            <a:tileRect/>
          </a:gradFill>
          <a:ln>
            <a:noFill/>
          </a:ln>
          <a:effectLst/>
        </c:spPr>
      </c:pivotFmt>
      <c:pivotFmt>
        <c:idx val="8"/>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10800000" scaled="1"/>
            <a:tileRect/>
          </a:gradFill>
          <a:ln>
            <a:noFill/>
          </a:ln>
          <a:effectLst/>
        </c:spPr>
      </c:pivotFmt>
      <c:pivotFmt>
        <c:idx val="9"/>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0800000" scaled="1"/>
            <a:tileRect/>
          </a:gra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pivotFmt>
      <c:pivotFmt>
        <c:idx val="12"/>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10800000" scaled="1"/>
            <a:tileRect/>
          </a:gradFill>
          <a:ln>
            <a:noFill/>
          </a:ln>
          <a:effectLst/>
        </c:spPr>
      </c:pivotFmt>
      <c:pivotFmt>
        <c:idx val="13"/>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10800000" scaled="1"/>
            <a:tileRect/>
          </a:gradFill>
          <a:ln>
            <a:noFill/>
          </a:ln>
          <a:effectLst/>
        </c:spPr>
      </c:pivotFmt>
      <c:pivotFmt>
        <c:idx val="14"/>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0800000" scaled="1"/>
            <a:tileRect/>
          </a:gradFill>
          <a:ln>
            <a:noFill/>
          </a:ln>
          <a:effectLst/>
        </c:spPr>
      </c:pivotFmt>
    </c:pivotFmts>
    <c:plotArea>
      <c:layout>
        <c:manualLayout>
          <c:layoutTarget val="inner"/>
          <c:xMode val="edge"/>
          <c:yMode val="edge"/>
          <c:x val="0.21569292491440034"/>
          <c:y val="0.24473282442748093"/>
          <c:w val="0.772594044338894"/>
          <c:h val="0.63720983350363636"/>
        </c:manualLayout>
      </c:layout>
      <c:barChart>
        <c:barDir val="col"/>
        <c:grouping val="clustered"/>
        <c:varyColors val="0"/>
        <c:ser>
          <c:idx val="0"/>
          <c:order val="0"/>
          <c:tx>
            <c:strRef>
              <c:f>'Sales by C ategory'!$B$3</c:f>
              <c:strCache>
                <c:ptCount val="1"/>
                <c:pt idx="0">
                  <c:v>Total</c:v>
                </c:pt>
              </c:strCache>
            </c:strRef>
          </c:tx>
          <c:spPr>
            <a:solidFill>
              <a:schemeClr val="accent1"/>
            </a:solidFill>
            <a:ln>
              <a:noFill/>
            </a:ln>
            <a:effectLst/>
          </c:spPr>
          <c:invertIfNegative val="0"/>
          <c:dPt>
            <c:idx val="0"/>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extLst>
              <c:ext xmlns:c16="http://schemas.microsoft.com/office/drawing/2014/chart" uri="{C3380CC4-5D6E-409C-BE32-E72D297353CC}">
                <c16:uniqueId val="{00000001-B8CB-432F-8522-804930636DB6}"/>
              </c:ext>
            </c:extLst>
          </c:dPt>
          <c:dPt>
            <c:idx val="1"/>
            <c:invertIfNegative val="0"/>
            <c:bubble3D val="0"/>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10800000" scaled="1"/>
                <a:tileRect/>
              </a:gradFill>
              <a:ln>
                <a:noFill/>
              </a:ln>
              <a:effectLst/>
            </c:spPr>
            <c:extLst>
              <c:ext xmlns:c16="http://schemas.microsoft.com/office/drawing/2014/chart" uri="{C3380CC4-5D6E-409C-BE32-E72D297353CC}">
                <c16:uniqueId val="{00000003-B8CB-432F-8522-804930636DB6}"/>
              </c:ext>
            </c:extLst>
          </c:dPt>
          <c:dPt>
            <c:idx val="2"/>
            <c:invertIfNegative val="0"/>
            <c:bubble3D val="0"/>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10800000" scaled="1"/>
                <a:tileRect/>
              </a:gradFill>
              <a:ln>
                <a:noFill/>
              </a:ln>
              <a:effectLst/>
            </c:spPr>
            <c:extLst>
              <c:ext xmlns:c16="http://schemas.microsoft.com/office/drawing/2014/chart" uri="{C3380CC4-5D6E-409C-BE32-E72D297353CC}">
                <c16:uniqueId val="{00000005-B8CB-432F-8522-804930636DB6}"/>
              </c:ext>
            </c:extLst>
          </c:dPt>
          <c:dPt>
            <c:idx val="3"/>
            <c:invertIfNegative val="0"/>
            <c:bubble3D val="0"/>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0800000" scaled="1"/>
                <a:tileRect/>
              </a:gradFill>
              <a:ln>
                <a:noFill/>
              </a:ln>
              <a:effectLst/>
            </c:spPr>
            <c:extLst>
              <c:ext xmlns:c16="http://schemas.microsoft.com/office/drawing/2014/chart" uri="{C3380CC4-5D6E-409C-BE32-E72D297353CC}">
                <c16:uniqueId val="{00000007-B8CB-432F-8522-804930636DB6}"/>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 ategory'!$A$4:$A$8</c:f>
              <c:strCache>
                <c:ptCount val="4"/>
                <c:pt idx="0">
                  <c:v>Appliances</c:v>
                </c:pt>
                <c:pt idx="1">
                  <c:v>Electronics</c:v>
                </c:pt>
                <c:pt idx="2">
                  <c:v>Furniture</c:v>
                </c:pt>
                <c:pt idx="3">
                  <c:v>Office Supplies</c:v>
                </c:pt>
              </c:strCache>
            </c:strRef>
          </c:cat>
          <c:val>
            <c:numRef>
              <c:f>'Sales by C ategory'!$B$4:$B$8</c:f>
              <c:numCache>
                <c:formatCode>"₹"\ #,##0</c:formatCode>
                <c:ptCount val="4"/>
                <c:pt idx="0">
                  <c:v>72586291</c:v>
                </c:pt>
                <c:pt idx="1">
                  <c:v>70251448</c:v>
                </c:pt>
                <c:pt idx="2">
                  <c:v>59615729</c:v>
                </c:pt>
                <c:pt idx="3">
                  <c:v>78164549</c:v>
                </c:pt>
              </c:numCache>
            </c:numRef>
          </c:val>
          <c:extLst>
            <c:ext xmlns:c16="http://schemas.microsoft.com/office/drawing/2014/chart" uri="{C3380CC4-5D6E-409C-BE32-E72D297353CC}">
              <c16:uniqueId val="{00000008-B8CB-432F-8522-804930636DB6}"/>
            </c:ext>
          </c:extLst>
        </c:ser>
        <c:dLbls>
          <c:dLblPos val="outEnd"/>
          <c:showLegendKey val="0"/>
          <c:showVal val="1"/>
          <c:showCatName val="0"/>
          <c:showSerName val="0"/>
          <c:showPercent val="0"/>
          <c:showBubbleSize val="0"/>
        </c:dLbls>
        <c:gapWidth val="219"/>
        <c:overlap val="-27"/>
        <c:axId val="1105707359"/>
        <c:axId val="1105703519"/>
      </c:barChart>
      <c:catAx>
        <c:axId val="110570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105703519"/>
        <c:crosses val="autoZero"/>
        <c:auto val="1"/>
        <c:lblAlgn val="ctr"/>
        <c:lblOffset val="100"/>
        <c:noMultiLvlLbl val="0"/>
      </c:catAx>
      <c:valAx>
        <c:axId val="1105703519"/>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10570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customerSegment!PivotTable6</c:name>
    <c:fmtId val="19"/>
  </c:pivotSource>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Sales By Customer Segment</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4548571428571436"/>
              <c:y val="4.6405539214789873E-3"/>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596190476190476"/>
                  <c:h val="0.10658932714617167"/>
                </c:manualLayout>
              </c15:layout>
            </c:ext>
          </c:extLst>
        </c:dLbl>
      </c:pivotFmt>
      <c:pivotFmt>
        <c:idx val="18"/>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461538461538455"/>
                  <c:h val="0.1668447302555858"/>
                </c:manualLayout>
              </c15:layout>
            </c:ext>
          </c:extLst>
        </c:dLbl>
      </c:pivotFmt>
      <c:pivotFmt>
        <c:idx val="1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977130977130975"/>
                  <c:h val="0.1668447302555858"/>
                </c:manualLayout>
              </c15:layout>
            </c:ext>
          </c:extLst>
        </c:dLbl>
      </c:pivotFmt>
    </c:pivotFmts>
    <c:plotArea>
      <c:layout>
        <c:manualLayout>
          <c:layoutTarget val="inner"/>
          <c:xMode val="edge"/>
          <c:yMode val="edge"/>
          <c:x val="0.18949467159978498"/>
          <c:y val="0.18763873940217904"/>
          <c:w val="0.67723239414350311"/>
          <c:h val="0.70959135316418775"/>
        </c:manualLayout>
      </c:layout>
      <c:barChart>
        <c:barDir val="bar"/>
        <c:grouping val="clustered"/>
        <c:varyColors val="0"/>
        <c:ser>
          <c:idx val="0"/>
          <c:order val="0"/>
          <c:tx>
            <c:strRef>
              <c:f>'SAles by customerSegment'!$B$3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135-480A-AE59-5FE08C57255A}"/>
              </c:ext>
            </c:extLst>
          </c:dPt>
          <c:dPt>
            <c:idx val="1"/>
            <c:invertIfNegative val="0"/>
            <c:bubble3D val="0"/>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135-480A-AE59-5FE08C57255A}"/>
              </c:ext>
            </c:extLst>
          </c:dPt>
          <c:dPt>
            <c:idx val="2"/>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135-480A-AE59-5FE08C57255A}"/>
              </c:ext>
            </c:extLst>
          </c:dPt>
          <c:dLbls>
            <c:dLbl>
              <c:idx val="0"/>
              <c:layout>
                <c:manualLayout>
                  <c:x val="-0.24548571428571436"/>
                  <c:y val="4.6405539214789873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5596190476190476"/>
                      <c:h val="0.10658932714617167"/>
                    </c:manualLayout>
                  </c15:layout>
                </c:ext>
                <c:ext xmlns:c16="http://schemas.microsoft.com/office/drawing/2014/chart" uri="{C3380CC4-5D6E-409C-BE32-E72D297353CC}">
                  <c16:uniqueId val="{00000001-0135-480A-AE59-5FE08C57255A}"/>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34461538461538455"/>
                      <c:h val="0.1668447302555858"/>
                    </c:manualLayout>
                  </c15:layout>
                </c:ext>
                <c:ext xmlns:c16="http://schemas.microsoft.com/office/drawing/2014/chart" uri="{C3380CC4-5D6E-409C-BE32-E72D297353CC}">
                  <c16:uniqueId val="{00000003-0135-480A-AE59-5FE08C57255A}"/>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6977130977130975"/>
                      <c:h val="0.1668447302555858"/>
                    </c:manualLayout>
                  </c15:layout>
                </c:ext>
                <c:ext xmlns:c16="http://schemas.microsoft.com/office/drawing/2014/chart" uri="{C3380CC4-5D6E-409C-BE32-E72D297353CC}">
                  <c16:uniqueId val="{00000005-0135-480A-AE59-5FE08C57255A}"/>
                </c:ext>
              </c:extLst>
            </c:dLbl>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customerSegment'!$A$4:$A$7</c:f>
              <c:strCache>
                <c:ptCount val="3"/>
                <c:pt idx="0">
                  <c:v>Consumer</c:v>
                </c:pt>
                <c:pt idx="1">
                  <c:v>Corporate</c:v>
                </c:pt>
                <c:pt idx="2">
                  <c:v>Small Business</c:v>
                </c:pt>
              </c:strCache>
            </c:strRef>
          </c:cat>
          <c:val>
            <c:numRef>
              <c:f>'SAles by customerSegment'!$B$4:$B$7</c:f>
              <c:numCache>
                <c:formatCode>"₹"\ #,##0</c:formatCode>
                <c:ptCount val="3"/>
                <c:pt idx="0">
                  <c:v>96778292</c:v>
                </c:pt>
                <c:pt idx="1">
                  <c:v>96778241</c:v>
                </c:pt>
                <c:pt idx="2">
                  <c:v>87061484</c:v>
                </c:pt>
              </c:numCache>
            </c:numRef>
          </c:val>
          <c:extLst>
            <c:ext xmlns:c16="http://schemas.microsoft.com/office/drawing/2014/chart" uri="{C3380CC4-5D6E-409C-BE32-E72D297353CC}">
              <c16:uniqueId val="{00000004-0135-480A-AE59-5FE08C57255A}"/>
            </c:ext>
          </c:extLst>
        </c:ser>
        <c:dLbls>
          <c:dLblPos val="inEnd"/>
          <c:showLegendKey val="0"/>
          <c:showVal val="1"/>
          <c:showCatName val="0"/>
          <c:showSerName val="0"/>
          <c:showPercent val="0"/>
          <c:showBubbleSize val="0"/>
        </c:dLbls>
        <c:gapWidth val="115"/>
        <c:overlap val="-20"/>
        <c:axId val="348059199"/>
        <c:axId val="348058239"/>
      </c:barChart>
      <c:catAx>
        <c:axId val="3480591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48058239"/>
        <c:crosses val="autoZero"/>
        <c:auto val="1"/>
        <c:lblAlgn val="ctr"/>
        <c:lblOffset val="100"/>
        <c:noMultiLvlLbl val="0"/>
      </c:catAx>
      <c:valAx>
        <c:axId val="348058239"/>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48059199"/>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b="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[sales_dashboard.xlsx]top 10 Companies sales!PivotTable8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a:t>Top 10 Products By Sales</a:t>
            </a:r>
          </a:p>
        </c:rich>
      </c:tx>
      <c:layout>
        <c:manualLayout>
          <c:xMode val="edge"/>
          <c:yMode val="edge"/>
          <c:x val="0.36652685523248141"/>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2">
              <a:lumMod val="75000"/>
            </a:schemeClr>
          </a:solidFill>
          <a:ln>
            <a:noFill/>
          </a:ln>
          <a:effectLst/>
        </c:spPr>
      </c:pivotFmt>
      <c:pivotFmt>
        <c:idx val="3"/>
        <c:spPr>
          <a:solidFill>
            <a:schemeClr val="accent1"/>
          </a:solidFill>
          <a:ln>
            <a:noFill/>
          </a:ln>
          <a:effectLst/>
        </c:spPr>
      </c:pivotFmt>
      <c:pivotFmt>
        <c:idx val="4"/>
        <c:spPr>
          <a:solidFill>
            <a:schemeClr val="accent3">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4">
              <a:lumMod val="75000"/>
            </a:schemeClr>
          </a:solidFill>
          <a:ln>
            <a:noFill/>
          </a:ln>
          <a:effectLst/>
        </c:spPr>
      </c:pivotFmt>
      <c:pivotFmt>
        <c:idx val="7"/>
        <c:spPr>
          <a:solidFill>
            <a:schemeClr val="tx2">
              <a:lumMod val="75000"/>
            </a:schemeClr>
          </a:solidFill>
          <a:ln>
            <a:noFill/>
          </a:ln>
          <a:effectLst/>
        </c:spPr>
      </c:pivotFmt>
      <c:pivotFmt>
        <c:idx val="8"/>
      </c:pivotFmt>
      <c:pivotFmt>
        <c:idx val="9"/>
        <c:spPr>
          <a:solidFill>
            <a:schemeClr val="bg2">
              <a:lumMod val="25000"/>
            </a:schemeClr>
          </a:solidFill>
          <a:ln>
            <a:noFill/>
          </a:ln>
          <a:effectLst/>
        </c:spPr>
      </c:pivotFmt>
      <c:pivotFmt>
        <c:idx val="10"/>
        <c:spPr>
          <a:solidFill>
            <a:schemeClr val="bg2">
              <a:lumMod val="25000"/>
            </a:schemeClr>
          </a:solidFill>
          <a:ln>
            <a:noFill/>
          </a:ln>
          <a:effectLst/>
        </c:spPr>
      </c:pivotFmt>
      <c:pivotFmt>
        <c:idx val="11"/>
        <c:spPr>
          <a:solidFill>
            <a:srgbClr val="00B0F0"/>
          </a:solidFill>
          <a:ln>
            <a:noFill/>
          </a:ln>
          <a:effectLst/>
        </c:spPr>
      </c:pivotFmt>
    </c:pivotFmts>
    <c:plotArea>
      <c:layout>
        <c:manualLayout>
          <c:layoutTarget val="inner"/>
          <c:xMode val="edge"/>
          <c:yMode val="edge"/>
          <c:x val="0.18673008401882726"/>
          <c:y val="0.20412037037037037"/>
          <c:w val="0.68111445915629265"/>
          <c:h val="0.68848024205307656"/>
        </c:manualLayout>
      </c:layout>
      <c:barChart>
        <c:barDir val="bar"/>
        <c:grouping val="clustered"/>
        <c:varyColors val="0"/>
        <c:ser>
          <c:idx val="0"/>
          <c:order val="0"/>
          <c:tx>
            <c:strRef>
              <c:f>'top 10 Companies sales'!$B$3</c:f>
              <c:strCache>
                <c:ptCount val="1"/>
                <c:pt idx="0">
                  <c:v>Total</c:v>
                </c:pt>
              </c:strCache>
            </c:strRef>
          </c:tx>
          <c:spPr>
            <a:solidFill>
              <a:schemeClr val="accent1"/>
            </a:solidFill>
            <a:ln>
              <a:noFill/>
            </a:ln>
            <a:effectLst/>
          </c:spPr>
          <c:invertIfNegative val="0"/>
          <c:dPt>
            <c:idx val="0"/>
            <c:invertIfNegative val="0"/>
            <c:bubble3D val="0"/>
            <c:spPr>
              <a:solidFill>
                <a:schemeClr val="bg2">
                  <a:lumMod val="25000"/>
                </a:schemeClr>
              </a:solidFill>
              <a:ln>
                <a:noFill/>
              </a:ln>
              <a:effectLst/>
            </c:spPr>
            <c:extLst>
              <c:ext xmlns:c16="http://schemas.microsoft.com/office/drawing/2014/chart" uri="{C3380CC4-5D6E-409C-BE32-E72D297353CC}">
                <c16:uniqueId val="{00000008-F56A-4112-9D17-0A0301BB6AFC}"/>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7-F56A-4112-9D17-0A0301BB6AFC}"/>
              </c:ext>
            </c:extLst>
          </c:dPt>
          <c:dPt>
            <c:idx val="2"/>
            <c:invertIfNegative val="0"/>
            <c:bubble3D val="0"/>
            <c:spPr>
              <a:solidFill>
                <a:srgbClr val="00B0F0"/>
              </a:solidFill>
              <a:ln>
                <a:noFill/>
              </a:ln>
              <a:effectLst/>
            </c:spPr>
            <c:extLst>
              <c:ext xmlns:c16="http://schemas.microsoft.com/office/drawing/2014/chart" uri="{C3380CC4-5D6E-409C-BE32-E72D297353CC}">
                <c16:uniqueId val="{00000004-E873-458E-883C-CF1DF1F4E91B}"/>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5-F56A-4112-9D17-0A0301BB6AFC}"/>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4-F56A-4112-9D17-0A0301BB6AFC}"/>
              </c:ext>
            </c:extLst>
          </c:dPt>
          <c:dPt>
            <c:idx val="5"/>
            <c:invertIfNegative val="0"/>
            <c:bubble3D val="0"/>
            <c:spPr>
              <a:solidFill>
                <a:schemeClr val="accent3">
                  <a:lumMod val="75000"/>
                </a:schemeClr>
              </a:solidFill>
              <a:ln>
                <a:noFill/>
              </a:ln>
              <a:effectLst/>
            </c:spPr>
            <c:extLst>
              <c:ext xmlns:c16="http://schemas.microsoft.com/office/drawing/2014/chart" uri="{C3380CC4-5D6E-409C-BE32-E72D297353CC}">
                <c16:uniqueId val="{00000003-F56A-4112-9D17-0A0301BB6AFC}"/>
              </c:ext>
            </c:extLst>
          </c:dPt>
          <c:dPt>
            <c:idx val="6"/>
            <c:invertIfNegative val="0"/>
            <c:bubble3D val="0"/>
            <c:extLst>
              <c:ext xmlns:c16="http://schemas.microsoft.com/office/drawing/2014/chart" uri="{C3380CC4-5D6E-409C-BE32-E72D297353CC}">
                <c16:uniqueId val="{00000002-F56A-4112-9D17-0A0301BB6AFC}"/>
              </c:ext>
            </c:extLst>
          </c:dPt>
          <c:dPt>
            <c:idx val="7"/>
            <c:invertIfNegative val="0"/>
            <c:bubble3D val="0"/>
            <c:extLst>
              <c:ext xmlns:c16="http://schemas.microsoft.com/office/drawing/2014/chart" uri="{C3380CC4-5D6E-409C-BE32-E72D297353CC}">
                <c16:uniqueId val="{00000001-F56A-4112-9D17-0A0301BB6AFC}"/>
              </c:ext>
            </c:extLst>
          </c:dPt>
          <c:dPt>
            <c:idx val="9"/>
            <c:invertIfNegative val="0"/>
            <c:bubble3D val="0"/>
            <c:extLst>
              <c:ext xmlns:c16="http://schemas.microsoft.com/office/drawing/2014/chart" uri="{C3380CC4-5D6E-409C-BE32-E72D297353CC}">
                <c16:uniqueId val="{0000000F-A67C-46A0-9B98-C5884A85D0D2}"/>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Companies sales'!$A$4:$A$14</c:f>
              <c:strCache>
                <c:ptCount val="10"/>
                <c:pt idx="0">
                  <c:v>Air Fryer</c:v>
                </c:pt>
                <c:pt idx="1">
                  <c:v>Headphones</c:v>
                </c:pt>
                <c:pt idx="2">
                  <c:v>Laptop</c:v>
                </c:pt>
                <c:pt idx="3">
                  <c:v>Microwave</c:v>
                </c:pt>
                <c:pt idx="4">
                  <c:v>Notebook</c:v>
                </c:pt>
                <c:pt idx="5">
                  <c:v>Pen Pack</c:v>
                </c:pt>
                <c:pt idx="6">
                  <c:v>Printer Paper</c:v>
                </c:pt>
                <c:pt idx="7">
                  <c:v>Stapler</c:v>
                </c:pt>
                <c:pt idx="8">
                  <c:v>Tablet</c:v>
                </c:pt>
                <c:pt idx="9">
                  <c:v>Water Purifier</c:v>
                </c:pt>
              </c:strCache>
            </c:strRef>
          </c:cat>
          <c:val>
            <c:numRef>
              <c:f>'top 10 Companies sales'!$B$4:$B$14</c:f>
              <c:numCache>
                <c:formatCode>"₹"\ #,##0</c:formatCode>
                <c:ptCount val="10"/>
                <c:pt idx="0">
                  <c:v>21255225</c:v>
                </c:pt>
                <c:pt idx="1">
                  <c:v>16796206</c:v>
                </c:pt>
                <c:pt idx="2">
                  <c:v>20020980</c:v>
                </c:pt>
                <c:pt idx="3">
                  <c:v>16991036</c:v>
                </c:pt>
                <c:pt idx="4">
                  <c:v>20502394</c:v>
                </c:pt>
                <c:pt idx="5">
                  <c:v>17468633</c:v>
                </c:pt>
                <c:pt idx="6">
                  <c:v>20094108</c:v>
                </c:pt>
                <c:pt idx="7">
                  <c:v>20099414</c:v>
                </c:pt>
                <c:pt idx="8">
                  <c:v>17315032</c:v>
                </c:pt>
                <c:pt idx="9">
                  <c:v>18116179</c:v>
                </c:pt>
              </c:numCache>
            </c:numRef>
          </c:val>
          <c:extLst>
            <c:ext xmlns:c16="http://schemas.microsoft.com/office/drawing/2014/chart" uri="{C3380CC4-5D6E-409C-BE32-E72D297353CC}">
              <c16:uniqueId val="{00000000-E045-45C8-8AB5-50E1D0AF28BF}"/>
            </c:ext>
          </c:extLst>
        </c:ser>
        <c:dLbls>
          <c:showLegendKey val="0"/>
          <c:showVal val="0"/>
          <c:showCatName val="0"/>
          <c:showSerName val="0"/>
          <c:showPercent val="0"/>
          <c:showBubbleSize val="0"/>
        </c:dLbls>
        <c:gapWidth val="183"/>
        <c:axId val="1105706879"/>
        <c:axId val="1105704479"/>
      </c:barChart>
      <c:catAx>
        <c:axId val="110570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105704479"/>
        <c:crosses val="autoZero"/>
        <c:auto val="1"/>
        <c:lblAlgn val="ctr"/>
        <c:lblOffset val="100"/>
        <c:noMultiLvlLbl val="0"/>
      </c:catAx>
      <c:valAx>
        <c:axId val="1105704479"/>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10570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C ategory!PivotTable7</c:name>
    <c:fmtId val="0"/>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IN" b="1"/>
              <a:t>Sales By category</a:t>
            </a:r>
          </a:p>
        </c:rich>
      </c:tx>
      <c:layout>
        <c:manualLayout>
          <c:xMode val="edge"/>
          <c:yMode val="edge"/>
          <c:x val="0.34774512629552345"/>
          <c:y val="4.5801526717557252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10800000" scaled="1"/>
            <a:tileRect/>
          </a:gradFill>
          <a:ln>
            <a:noFill/>
          </a:ln>
          <a:effectLst/>
        </c:spPr>
      </c:pivotFmt>
      <c:pivotFmt>
        <c:idx val="2"/>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10800000" scaled="1"/>
            <a:tileRect/>
          </a:gradFill>
          <a:ln>
            <a:noFill/>
          </a:ln>
          <a:effectLst/>
        </c:spPr>
      </c:pivotFmt>
      <c:pivotFmt>
        <c:idx val="3"/>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0800000" scaled="1"/>
            <a:tileRect/>
          </a:gradFill>
          <a:ln>
            <a:noFill/>
          </a:ln>
          <a:effectLst/>
        </c:spPr>
      </c:pivotFmt>
      <c:pivotFmt>
        <c:idx val="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pivotFmt>
    </c:pivotFmts>
    <c:plotArea>
      <c:layout>
        <c:manualLayout>
          <c:layoutTarget val="inner"/>
          <c:xMode val="edge"/>
          <c:yMode val="edge"/>
          <c:x val="0.21569292491440034"/>
          <c:y val="0.24473282442748093"/>
          <c:w val="0.772594044338894"/>
          <c:h val="0.63720983350363636"/>
        </c:manualLayout>
      </c:layout>
      <c:barChart>
        <c:barDir val="col"/>
        <c:grouping val="clustered"/>
        <c:varyColors val="0"/>
        <c:ser>
          <c:idx val="0"/>
          <c:order val="0"/>
          <c:tx>
            <c:strRef>
              <c:f>'Sales by C ategory'!$B$3</c:f>
              <c:strCache>
                <c:ptCount val="1"/>
                <c:pt idx="0">
                  <c:v>Total</c:v>
                </c:pt>
              </c:strCache>
            </c:strRef>
          </c:tx>
          <c:spPr>
            <a:solidFill>
              <a:schemeClr val="accent1"/>
            </a:solidFill>
            <a:ln>
              <a:noFill/>
            </a:ln>
            <a:effectLst/>
          </c:spPr>
          <c:invertIfNegative val="0"/>
          <c:dPt>
            <c:idx val="0"/>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extLst>
              <c:ext xmlns:c16="http://schemas.microsoft.com/office/drawing/2014/chart" uri="{C3380CC4-5D6E-409C-BE32-E72D297353CC}">
                <c16:uniqueId val="{00000003-E14F-4BEE-B9DF-F789C82EF5F5}"/>
              </c:ext>
            </c:extLst>
          </c:dPt>
          <c:dPt>
            <c:idx val="1"/>
            <c:invertIfNegative val="0"/>
            <c:bubble3D val="0"/>
            <c:spPr>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10800000" scaled="1"/>
                <a:tileRect/>
              </a:gradFill>
              <a:ln>
                <a:noFill/>
              </a:ln>
              <a:effectLst/>
            </c:spPr>
            <c:extLst>
              <c:ext xmlns:c16="http://schemas.microsoft.com/office/drawing/2014/chart" uri="{C3380CC4-5D6E-409C-BE32-E72D297353CC}">
                <c16:uniqueId val="{00000000-E14F-4BEE-B9DF-F789C82EF5F5}"/>
              </c:ext>
            </c:extLst>
          </c:dPt>
          <c:dPt>
            <c:idx val="2"/>
            <c:invertIfNegative val="0"/>
            <c:bubble3D val="0"/>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10800000" scaled="1"/>
                <a:tileRect/>
              </a:gradFill>
              <a:ln>
                <a:noFill/>
              </a:ln>
              <a:effectLst/>
            </c:spPr>
            <c:extLst>
              <c:ext xmlns:c16="http://schemas.microsoft.com/office/drawing/2014/chart" uri="{C3380CC4-5D6E-409C-BE32-E72D297353CC}">
                <c16:uniqueId val="{00000001-E14F-4BEE-B9DF-F789C82EF5F5}"/>
              </c:ext>
            </c:extLst>
          </c:dPt>
          <c:dPt>
            <c:idx val="3"/>
            <c:invertIfNegative val="0"/>
            <c:bubble3D val="0"/>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0800000" scaled="1"/>
                <a:tileRect/>
              </a:gradFill>
              <a:ln>
                <a:noFill/>
              </a:ln>
              <a:effectLst/>
            </c:spPr>
            <c:extLst>
              <c:ext xmlns:c16="http://schemas.microsoft.com/office/drawing/2014/chart" uri="{C3380CC4-5D6E-409C-BE32-E72D297353CC}">
                <c16:uniqueId val="{00000002-E14F-4BEE-B9DF-F789C82EF5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 ategory'!$A$4:$A$8</c:f>
              <c:strCache>
                <c:ptCount val="4"/>
                <c:pt idx="0">
                  <c:v>Appliances</c:v>
                </c:pt>
                <c:pt idx="1">
                  <c:v>Electronics</c:v>
                </c:pt>
                <c:pt idx="2">
                  <c:v>Furniture</c:v>
                </c:pt>
                <c:pt idx="3">
                  <c:v>Office Supplies</c:v>
                </c:pt>
              </c:strCache>
            </c:strRef>
          </c:cat>
          <c:val>
            <c:numRef>
              <c:f>'Sales by C ategory'!$B$4:$B$8</c:f>
              <c:numCache>
                <c:formatCode>"₹"\ #,##0</c:formatCode>
                <c:ptCount val="4"/>
                <c:pt idx="0">
                  <c:v>72586291</c:v>
                </c:pt>
                <c:pt idx="1">
                  <c:v>70251448</c:v>
                </c:pt>
                <c:pt idx="2">
                  <c:v>59615729</c:v>
                </c:pt>
                <c:pt idx="3">
                  <c:v>78164549</c:v>
                </c:pt>
              </c:numCache>
            </c:numRef>
          </c:val>
          <c:extLst>
            <c:ext xmlns:c16="http://schemas.microsoft.com/office/drawing/2014/chart" uri="{C3380CC4-5D6E-409C-BE32-E72D297353CC}">
              <c16:uniqueId val="{00000000-0923-43DF-A19D-897628608210}"/>
            </c:ext>
          </c:extLst>
        </c:ser>
        <c:dLbls>
          <c:dLblPos val="outEnd"/>
          <c:showLegendKey val="0"/>
          <c:showVal val="1"/>
          <c:showCatName val="0"/>
          <c:showSerName val="0"/>
          <c:showPercent val="0"/>
          <c:showBubbleSize val="0"/>
        </c:dLbls>
        <c:gapWidth val="219"/>
        <c:overlap val="-27"/>
        <c:axId val="1105707359"/>
        <c:axId val="1105703519"/>
      </c:barChart>
      <c:catAx>
        <c:axId val="110570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05703519"/>
        <c:crosses val="autoZero"/>
        <c:auto val="1"/>
        <c:lblAlgn val="ctr"/>
        <c:lblOffset val="100"/>
        <c:noMultiLvlLbl val="0"/>
      </c:catAx>
      <c:valAx>
        <c:axId val="1105703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0570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101000" sy="101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[sales_dashboard.xlsx]Monthly Sales Trend!PivotTable4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31446522309711283"/>
          <c:y val="7.87037037037037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03937007874016"/>
          <c:y val="0.27356481481481482"/>
          <c:w val="0.74107130358705164"/>
          <c:h val="0.61903579760863214"/>
        </c:manualLayout>
      </c:layout>
      <c:lineChart>
        <c:grouping val="standard"/>
        <c:varyColors val="0"/>
        <c:ser>
          <c:idx val="0"/>
          <c:order val="0"/>
          <c:tx>
            <c:strRef>
              <c:f>'Monthly Sales Trend'!$B$3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1"/>
                </a:solidFill>
              </a:ln>
              <a:effectLst/>
            </c:spPr>
            <c:trendlineType val="linear"/>
            <c:dispRSqr val="0"/>
            <c:dispEq val="0"/>
          </c:trendline>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 #,##0</c:formatCode>
                <c:ptCount val="12"/>
                <c:pt idx="0">
                  <c:v>24485103</c:v>
                </c:pt>
                <c:pt idx="1">
                  <c:v>22024893</c:v>
                </c:pt>
                <c:pt idx="2">
                  <c:v>21173392</c:v>
                </c:pt>
                <c:pt idx="3">
                  <c:v>25354458</c:v>
                </c:pt>
                <c:pt idx="4">
                  <c:v>26424685</c:v>
                </c:pt>
                <c:pt idx="5">
                  <c:v>25039461</c:v>
                </c:pt>
                <c:pt idx="6">
                  <c:v>24326614</c:v>
                </c:pt>
                <c:pt idx="7">
                  <c:v>24393608</c:v>
                </c:pt>
                <c:pt idx="8">
                  <c:v>25028290</c:v>
                </c:pt>
                <c:pt idx="9">
                  <c:v>24493350</c:v>
                </c:pt>
                <c:pt idx="10">
                  <c:v>25201344</c:v>
                </c:pt>
                <c:pt idx="11">
                  <c:v>12672819</c:v>
                </c:pt>
              </c:numCache>
            </c:numRef>
          </c:val>
          <c:smooth val="0"/>
          <c:extLst>
            <c:ext xmlns:c16="http://schemas.microsoft.com/office/drawing/2014/chart" uri="{C3380CC4-5D6E-409C-BE32-E72D297353CC}">
              <c16:uniqueId val="{00000000-7DD9-4A3F-9A51-0265D71D2FC8}"/>
            </c:ext>
          </c:extLst>
        </c:ser>
        <c:dLbls>
          <c:showLegendKey val="0"/>
          <c:showVal val="0"/>
          <c:showCatName val="0"/>
          <c:showSerName val="0"/>
          <c:showPercent val="0"/>
          <c:showBubbleSize val="0"/>
        </c:dLbls>
        <c:marker val="1"/>
        <c:smooth val="0"/>
        <c:axId val="343684671"/>
        <c:axId val="343676991"/>
      </c:lineChart>
      <c:catAx>
        <c:axId val="3436846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76991"/>
        <c:crosses val="autoZero"/>
        <c:auto val="1"/>
        <c:lblAlgn val="ctr"/>
        <c:lblOffset val="100"/>
        <c:noMultiLvlLbl val="0"/>
      </c:catAx>
      <c:valAx>
        <c:axId val="343676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84671"/>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solidFill>
            <a:schemeClr val="bg1">
              <a:alpha val="99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customerSegment!PivotTable6</c:name>
    <c:fmtId val="0"/>
  </c:pivotSource>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267996500437445"/>
          <c:y val="0.18763888888888891"/>
          <c:w val="0.61026663974695472"/>
          <c:h val="0.70959135316418775"/>
        </c:manualLayout>
      </c:layout>
      <c:barChart>
        <c:barDir val="bar"/>
        <c:grouping val="clustered"/>
        <c:varyColors val="0"/>
        <c:ser>
          <c:idx val="0"/>
          <c:order val="0"/>
          <c:tx>
            <c:strRef>
              <c:f>'SAles by customerSegment'!$B$3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18B8-42CB-AC5D-889BE3255632}"/>
              </c:ext>
            </c:extLst>
          </c:dPt>
          <c:dPt>
            <c:idx val="1"/>
            <c:invertIfNegative val="0"/>
            <c:bubble3D val="0"/>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18B8-42CB-AC5D-889BE3255632}"/>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customerSegment'!$A$4:$A$7</c:f>
              <c:strCache>
                <c:ptCount val="3"/>
                <c:pt idx="0">
                  <c:v>Consumer</c:v>
                </c:pt>
                <c:pt idx="1">
                  <c:v>Corporate</c:v>
                </c:pt>
                <c:pt idx="2">
                  <c:v>Small Business</c:v>
                </c:pt>
              </c:strCache>
            </c:strRef>
          </c:cat>
          <c:val>
            <c:numRef>
              <c:f>'SAles by customerSegment'!$B$4:$B$7</c:f>
              <c:numCache>
                <c:formatCode>"₹"\ #,##0</c:formatCode>
                <c:ptCount val="3"/>
                <c:pt idx="0">
                  <c:v>96778292</c:v>
                </c:pt>
                <c:pt idx="1">
                  <c:v>96778241</c:v>
                </c:pt>
                <c:pt idx="2">
                  <c:v>87061484</c:v>
                </c:pt>
              </c:numCache>
            </c:numRef>
          </c:val>
          <c:extLst>
            <c:ext xmlns:c16="http://schemas.microsoft.com/office/drawing/2014/chart" uri="{C3380CC4-5D6E-409C-BE32-E72D297353CC}">
              <c16:uniqueId val="{00000009-18B8-42CB-AC5D-889BE3255632}"/>
            </c:ext>
          </c:extLst>
        </c:ser>
        <c:dLbls>
          <c:dLblPos val="inEnd"/>
          <c:showLegendKey val="0"/>
          <c:showVal val="1"/>
          <c:showCatName val="0"/>
          <c:showSerName val="0"/>
          <c:showPercent val="0"/>
          <c:showBubbleSize val="0"/>
        </c:dLbls>
        <c:gapWidth val="115"/>
        <c:overlap val="-20"/>
        <c:axId val="348059199"/>
        <c:axId val="348058239"/>
      </c:barChart>
      <c:catAx>
        <c:axId val="3480591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58239"/>
        <c:crosses val="autoZero"/>
        <c:auto val="1"/>
        <c:lblAlgn val="ctr"/>
        <c:lblOffset val="100"/>
        <c:noMultiLvlLbl val="0"/>
      </c:catAx>
      <c:valAx>
        <c:axId val="348058239"/>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59199"/>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chemeClr val="tx1"/>
              </a:solidFill>
              <a:latin typeface="Times New Roman" panose="02020603050405020304" pitchFamily="18" charset="0"/>
              <a:cs typeface="Times New Roman" panose="02020603050405020304" pitchFamily="18" charset="0"/>
            </a:rPr>
            <a:t>Sales by State</a:t>
          </a:r>
        </a:p>
      </cx:txPr>
    </cx:title>
    <cx:plotArea>
      <cx:plotAreaRegion>
        <cx:series layoutId="regionMap" uniqueId="{1C234E2B-11B3-4214-99D0-40E277D75B58}">
          <cx:spPr>
            <a:solidFill>
              <a:schemeClr val="accent3">
                <a:lumMod val="75000"/>
              </a:schemeClr>
            </a:solidFill>
          </cx:spPr>
          <cx:dataPt idx="7">
            <cx:spPr>
              <a:solidFill>
                <a:srgbClr val="9BBB59">
                  <a:lumMod val="50000"/>
                </a:srgbClr>
              </a:solidFill>
            </cx:spPr>
          </cx:dataPt>
          <cx:dataLabels>
            <cx:txPr>
              <a:bodyPr spcFirstLastPara="1" vertOverflow="ellipsis" horzOverflow="overflow" wrap="square" lIns="0" tIns="0" rIns="0" bIns="0" anchor="ctr" anchorCtr="1"/>
              <a:lstStyle/>
              <a:p>
                <a:pPr algn="ctr" rtl="0">
                  <a:defRPr>
                    <a:latin typeface="Times New Roman" panose="02020603050405020304" pitchFamily="18" charset="0"/>
                    <a:ea typeface="Times New Roman" panose="02020603050405020304" pitchFamily="18" charset="0"/>
                    <a:cs typeface="Times New Roman" panose="02020603050405020304" pitchFamily="18" charset="0"/>
                  </a:defRPr>
                </a:pPr>
                <a:endParaRPr lang="en-US" sz="85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txPr>
            <cx:visibility seriesName="0" categoryName="0" value="1"/>
          </cx:dataLabels>
          <cx:dataId val="0"/>
          <cx:layoutPr>
            <cx:geography cultureLanguage="en-US" cultureRegion="IN" attribution="Powered by Bing">
              <cx:geoCache provider="{E9337A44-BEBE-4D9F-B70C-5C5E7DAFC167}">
                <cx:binary>1Htpc9zGku1fcfjzA137MjF3IqYAdDf3RdT6BUGRFLYCClsBBfz6l5RkX5Oml4nxi3hmaOtGVyNR
pzLz5MnUf96H/7i3j3fDD6Gx7fgf9+FfPxbT1P3HTz+N98VjczceNeX94Eb3ZTq6d81P7suX8v7x
p4fhbinb/CeCMPvpvrgbpsfw43/9J3xb/ujO3P3dVLr22j8O683j6O00/sG1Vy/9cPfQlG1SjtNQ
3k/4Xz+e3g3t3XRX3/34w2M7ldN6u3aP//rx2cd+/OGnl1/2mxv/YMG2yT/AWsyOJEaMMEbQ1x/8
4w/Wtfn3y1IcYSE15pTqrz/051tf3DWw/C9Z9NWeu4eH4XEc4Zm+/v1s6bMHgCv//eMP986309PO
5bCJ//rxuH0o4anL0cXfLsTuyfrji6+P+9PzPf+v/3zxBmzAi3d+BcvL3fqzS79F5XG4s38nJOiI
Ma2klOwlFgwpIhgW36AiL7D4Uzt+B4jv616icPaPQsGU4IE/b8j/3i8IP4Jzrzic/Nf8QsFlpIVg
+gUIf2rG6xh8X/YCAnPzj4IgebRF+TdCoI4Eg7iDxPfz/iI0ySOMOZOA0bfQJH6+9bfQ9KfWvI7E
92UvkEj+Wc5w5dvq7vPP+/G/9waKjhQjmGsin4ckfgTRSCGN5Kvp4c/teB2En9e9QOHK/KP84XA3
rHft35gZiD7CWmHN+HMUxBFliDDE1LdY9cIT/oIdr8Pwy8IXOBz+WXFp7/5GDDA/ooISqon6duT1
cyzYEeJEaEHIt8sA1Teu9i0q/Yktr+PwddELDPb//Y/yhb2v7oa76efN+N+HJEKOhCYCy98hrviI
a4kEpIhXs8NfsOd3sPj5QV7icfKPwuP8DujS3VhMw9/pG/qIcYIU5fo10vRUTCClKWHfPeeFb/xF
m17H5dniF9icH/5R2Fw+lGPxN8JC0BHHFDEGuHz7eRayFDtiRHFGIY1//XkBy5+b8zoiP697Acbl
Pyt53N41pf3h4u7B/32xC+MjhAVGSKlnSEh1xJBEBHGgWb/OGn/NiNdh+PXaF1DcQvn8Dyq0bx/t
XZv/rYwKyyPgTIJr/AIJfYSQVkzz77EKLj8D5K+Y8jt4/HvpSzj2/yg43k4TaGZXw93D41j8vD1/
Q2IXR5pQDpn7WzRC+JmPKAhmQlBO1OuK1F+26nV0Xix/gdDbq38UQu8fx+kH8wg+Y/9GfOgRJAvM
kXxeCyp5pCUwX/YdF/0ijfxFY16H5dniF6C8//+7Knw9wH4LJt+85dkn/of6LdBg8AUO2US+Srn0
U7UimGSv0+DvuurvW/M6HN+XPTP8/7FI+/sC7i/ydgLaePpVF/+VhvvHV78+Hsj1L5Z+j/WvBrNv
e3X88K8fJQNWRUAHJLDHiBBKwSN+Ud+fvvJZzji7e7irfwmUv/sFj3fj9K8fIcxRogA6/ORRQNxA
C17AneGu5IhTDKKYAh2AYgJu1rphKv71I5VH4JSKI8qw1EJJuDQ6//USHBMqFcMIBDXKQTb7pVNx
5eyau/aXffr++ofWN1eubKcRjOGQ/rpvn3uyOyIYTpRE8Bvev7+7gTYIfAz/H2YnV+N6Kg52kc3O
g/HCVN2S61h1TT8bqtvtVEat2ns6jCdo4vLEEVV4M4upuli6LZpMq1beJDLY4R2PMn8xarW+66pG
s7gtVdvthrqprSmXXt80XTVeyxqxEMuqUchQubmyN12eR0PczThLR4oyZ8aqJ/nnWc1Rdzw7x85H
wumJDXi5m7O1/dwVNR/TgVXd3jXt0JiNlzqP7TwKdFhWIT4Na507Q50O635FE0KGWDv3x6OLsiju
14JVie9w1Z9USpTXoZM8j6tt6G+59M0br2RIRO3nLA7rID6StW6uQsBrFIeZ1HM8VJu1O7L2hTCU
F+hjX601NZpGQxnrepI3oS1nZ3hF5/uKR+FEVw07wT7Pb3jE27RXJXlDeOXfo2zgV01UNDeyqcU+
mpg+MNtt+xmFNs0iIbOzmQuarI73Kc1FSIhYIrWb/dB4kxNf3OslAI6RHQudWiJmb5p62U67SNAv
SzaHN6jPt8dyaZrZZHnXf9xIzS61XyucFmOVDXHDqvytZHYOxvtmuio6jS7WqgqL0aHbuPH5Ou9r
W+bBVPm8vJVYRO96XRbWiEWit8rjYjVa9GudlpFFV0oU5HOFl34/bKqPMZnq3ASUj1dNKyJnXNc2
Mm26TJ9WtJ7OqrYYetPToT3Iqi/HY9b0ejA1bqdPDaujIeHMj495k4VbPrtlMSObMmzUFKlYZl6d
u24QYwz+YW0yaUb2dV+N+pJrb/t0Wqs2xFzPrDBrZF15vmwylKZZe8fSam4jumvYJh/bimYsKWzP
s7ir2m5LRU8sjiPdVM5MfOg+bcwWHxDpnBFNGdrLhgc+G/CadYTNsM1y4K30UwwbG3xcsqaE/Zs9
2EnhRiEp+VrccFz0A+y+yD80I82+lFUn15PBkuyxzsR0UFXv8X1nZ9SYYhB43tMm2+BIBT65nRxo
4a5mS/CZ10WbmcxadVwsy3jvRRHSaOh8m6CygdcjGaMzHJWuTmfv9Sfmtq26mopZeMNCxo+rZW3e
9lPOHla+lR9DXmfKDDqTXdKWjY0xcnxXoahmMcPtctwVsnCmqIREpoygs5KQtrcqRq6ecDzr3O9W
jdbOFNuqHvU8CJLUo8apkpZXZg6TvEY+G49nMY+zsY0PbyKrx8964OP7qirQBQvbtuN+nFzSFEEo
0w16vo4iNr5fBs7NwBd3um24380WpKM0qKoTppyzOW2InkoTuYKlpGst7EXj8tJs1dy9X5uxPm1x
zYtUVGKkpsqYO26nPBCDM7oZDqdyMRYtrjAFn7mZKylSMbr5Xm829AZXXup4Wrfp3NZ2vRF6K9TO
Za7LUsvXsO/ziO9xZ9Gx7OqlNQRg/DjoenuYojEXKZnQeo6aKTr3ssjP9cjrwhDH5M3SdOWbeY58
Y+ws8DFaxHZgYzbclGqZL8eciMmQpY2SHBqrH5wrZDpvS7Ebsyy7nTyEnJg2+bar6sWuhuuuTKMJ
+TbemKo+teXiLis78HTsc20qHcKxz4btwa/UqXgtCof3de2oNGJeAXtfdwU1bMm7j53r6o8S52Q5
0RRTF/MgBwMxfHoL6ITZoDXHl7RZxni2U7+eRDwso1nUSPXeqcolWRn5OkYjXTo4q5X7bDkVtxPz
cAh75DUx+dJXn7Bj3QfeL4s2fT84a4hnE98xsZEidnVVt2aSw1buSYe6d2OFq/qGKNdMAAmFoJMj
1ic0ahE5LaoVLckM27+lspyiYES3zuFA7ELZ8YDWkV52fTec51uZlWZp9VonMif6Yuil/RyKvPhS
RINLuhGVtzkZRmu0pZBupK3Vvuqzqoht7mSarbjr4ryV5YG1yOdJ5PpwwuY+FIaumT3xyyy2mM+2
GWPrJneBKjKPCc7HPJlVFq6WrqdbEq1RvZ+bAh3jKfPJLL1lcWgwD7ue0uqMDjjiMXETPaCOFvs5
XA4+bLkpYOChM8M4b2dr1XWpb5qWG9QzVMe9aKrPsq/bFFl6uoRy8aayHlY5sPC6c3J8T61aTqYI
GEecrxMvzFijuTJuQWWST9KdgNtw976p174ybBoPUqj9NNpNmBXbj1YN+nQSDfCHutfMFK22JwVd
cA7uMvQ1jEVkHBkIOy3EIR7tB3xDVbgm2Gmj0Lw9WMgGkKjL6da2Vp3mmwvx2mQqZu043bSZn78w
SD57mk/0hGpxJ4dFJJvX9rAtND+QaRzf0sDpQdVcgutaa82kMHvsS53NsbOzvvIY011tFx/iTaru
BGdTk4q19IdM4603tCyHIVnKKpxttJ/O2tyhRM9ZfW45BPK0Wtq+Mzjkbo2ZwpE3k8BZHRdzhPdj
terKbGVfH28w+nBDKmZPAhy1M6Wm6nTTJTv1hVe9KTs/ftBwzpKRt+perBlpjWhZf8kaq27aBslD
NU0tjlmXZYaEiDxoODBJNuL2uq90bXq7lSxt6pwdEJ+6t6hF5X7xAL/TffGhKWrZmIXU22hKkSOD
ZSUv2lqLe1xOHKWDXlwshqn7NA2ax9vUT7c9Gcf7kOPuSkwinLdDtap4qav8YuSjTKmTxX7hqBxN
ZDs6Aeci8lOz0WqNnbfhrWAlGwxfmvwxK/risskielb5TjaxbcALzdJNGBKo8/7jzFaZyrlXbyJG
ZwQBIMs/SlQXvcnLOXyKRBF9qj0bSlNNVXjX6UrsC9XJS+gw0xMdlvoL2DtcyXxcP+vNl85s3ToC
PSsH25l5UNOtXpemN9W48CqheamIEXxdr1U+qJ1c+fJuY0LsZN82d9CcAKrRjfWSm2nMlslkw9QO
MelpvgeoljOc5xNEhzIbrsuBih7oi6grM20WIhVxYbJp54uhPJFV5N3eT8OQHXfDhPJE6SDszuIC
X4xdx94Tucy5ISOq1105NzM2YVA5NSUZ1GmZy62JHQvjlMyLHopYbWijsSe90HG2LsPHZSqHKhnK
Arm43Gx2XgpCXcInURzDCdFb7Eg53eWFhKS2cIVv6lnC/o/Ks8XkTeUPBKan3jFW9Dddb8faDFAP
3VQr08mM5zyOCJKn5cjVJQ4ePZa4V9bAKWhJCnm3hQBIvF1MrQb+ZrW+LNJyBUpglmEs2jQvt65M
cAQlzJXizZztlpmzg7TEuaSuWacgvbWKJg5SxXxOyrHLDKCQ53HQTu4FntSNtaTrk00vajNOW/al
aiLNk1ZH+K3m0XpXqgg9KGW9P7hlg0xeD8PkgaxWbWt634cutlXVpXacirhgNv9CclfeTFtXxavu
cLkDjrk1hqky3aQbrr1qx2SQA4SodlRitwJrqxIWMEl1oRTEKV8rI8SY3emlJzeoBYqRAuvVUTw0
mts0dCLUwK9t9MX6ZgOO5odjvcGDm23u3S7K2pAOkoKbMMjLCZxsj9O+Qu6O6r4jV9Wc2zSbRTDw
Klw5ZLs1bju3EIO6ISsMnCoSZ01fXGW2Zse0VvlljZpmMKsYJYYKiPSbGeii5ljCV+Zvq5KBTXig
3btukWpMep3ZL86W5Gagdq2B6tQisVnvk6iKtkT6ACAPITpMdJhSkdEujzMEDNCs+YCSvJ2m1G8I
zmJX1txwlHd3hY2G0zpsBAg+3rZDNGH9ZWUyW/dZ1Mhwjqsyup2jGb5FFSM/zqWqoSSDmpPsJ+qz
Ewdn+n61GkjzxnB+A5m7yw0lpT5VmWuPuwnVnQnB0T2KRh/Pvax2EnJImg+kTwUp6mDaSm7HrCoq
EyHpU+2i2fh19OdgNDthlKAPwAP6VNe63dW4pBE4jXVGLtmWGT33Nq5kXiahqv2NYz4aTUOtG03W
2960PSqvJdpsijtd5IYrzU9RQ4BO8TpLicg+A0/VewQ+mUIlP6YgR+efyNBMn1eEODVRibMkX0n9
KR+dvM43PAYD1UF1srjI7reoaeI1n8JtCNnVWkz4I0a2uOblAH5JgmxNJng4Uf28HFhn81Mhuhr2
XZQnqrC6iIMs+d7ViLzvh01CjCqdeGLoDd0VCJW5kYx1jZnyCthsXaLPHELMoQRamtbgOOP50loP
h4hCcTzMDXDXqKymJKebPXbOA4lGTeluXQ6MFyicuBIisDdsc/RYijG6ciOn6SLcuJq8EvNtH3X5
YiDykmORK5XKMBe34HrZx0KQDUJb5jsIj3kJ0cXPujS2Rc1Fu3bFCc0KcTUzIgbTK7WWhgpUn/OI
+kNRFvSiJFtQJmur6nKwfb4mHDVRUiAvj7MmX8ck89X0ZiW2fOutn690lPN78F18hYtBP/ZjMe4G
XWWNEWQtIhMtDL8nkwNWj+vqmPeiOgeVbgoGzaBlNBPEq9J7MhmvmurYtr5IfNs0+0z1jal1FI5J
J7oksyycRhYetpbwJSaL2h4oa+5Eyi317wdIdQXcrbc7hDB8J5rsm4xYdTsVPqrN6jsymq5YxK6v
qy4uKAnnzkUYx0/MhcdMFu0tbnC1E2yurhwjXyQUg5CV+3ock+Cj6WxlQb57Sp/pXNeqvbGBLe8E
JGXAcuud2vnZTQ81C2v8f6A4t13WUnugKwdGY4cQEiQq5822Fvxyg5TiE6srNMZfFbPv4t4zKere
detQ5sX3udlfXv7XrWvg19eJzn+/+TR2++9X+0f3NG4xvvzQ031++dS/p0KfpLpfRkRfSIHfZnd/
Ryf8w4t/UUTUCKZJyB8Jhy9mFb4qhz+v+qYWSmjhSkE1EzCoSxCogj+rhULByBAogohgGBAilIGO
+F0uJE+jvyCCaSGh/Yu5gEXf5ULoGGMMoRAmmwnBWGP2P5EL4Ra/Egslg0FJqTTCGmlMJAjVz0VD
TcpZjDbIFKoEW5htW9f3BRHh23Dvt9neV1RJmHJ6cRslGHlqQUiYvoG5zee3AR1PVEveQuXN6vnT
jEDuUojmg5mnet7nTTdD/+0X+faVGz71CH9zR8Hl17ErKGHVk0W/UkN1s9XKg/CSShx0Y7oGQm/s
QZZbTCtpmzQg9bxRXlaHKVM3fkE6Mj2s+tSuFO9Rr6uTURT0BPczScnmqxO92uUcyvHtDIe6O/8T
e0H//Y29ADnjHAY0JMi3z+2tZFSvS2hlWmeueVjmtY6BAcCfkNx0UkWg4Cy5FE/h1z0MDkGZH9Ty
bs1BNOXesS+59/XbFpjrSR429+WPzSO/PSdKSEqRxKB4w5mE8/jr7QTygbpKrwIIUsfOyw3XIS65
o4kcl+J0rYJ0psWdO7UTDSmKUH6YchJSsFkdisDke7LmzeUailOMu2NURNdQm/DGZLNXhRH9XH+k
DKrQOWPDlXXEffY5rvcg53U3f/wsDKbAfrPVMMJNFbBgpuDv58+iym1Bk6ccGL4tzlY+QF0UAsmT
0KniZBlKEDYaingauXF5aMXiMtC0WqjT2mbihyB0dO1DmD5CxKaRwbg9a+qIfwi43o0jP5dDSRIQ
D4Cz2Si/bKmfjydXFOmQVx873hemzPgHzSd6MUU+btv1EjLifOhW0RzXgxUXuGn7MxZlW2dIsXBI
3EA1dgUIraaC2fTUr4qBAr7Q86FDxYMSQ74Z7Gl3ykW/nU9VQ0FEgGh0OjRoWU1FIj0lbgvVhz/e
y6+O++9mw1P8UBJRGFCRGHQiIV64GVSDoCSMK09BbWsuHarbnasWdKaI2kuKv0TVEi79WoYxboIq
moMf7PJF9Hb4zLp+Ou/zZW5AUyPyeHGg88qoX4RpWyC/EXDVKwdSyGGexzyc5qDHPmi/4De+y9yp
tiH6gGmdn3WbgFrDdiUCTovCmap9tZu8QH9ycCCy/ubggGc+pQQF8zrgCs8PTqdQN8snJxjrfr7I
G+Kzp61lxx2E9atoFXrXY0xMhu12PfQqP6UdRwvUJKo7YBDt3vKRr4/DkqP7P8bhlfiqnrAggIBA
SjxFl19FO5uvzWz5wtNFER7TwX0p5vWYTXWAXs4M43F/FFtf2QaYviAERpKowhDSn9/MQX5YFMhK
6bqO8gNyq3vy4uryj+/ySkB8dpcXXmpVVYKgC+pmDTrOIwJF7Gz1bdSBXtWuuz++1ysRASZGIUdD
RlWUPfXtfr19cCRBZSM9T1tOySmNmu1hE704YwNFNySMEHZbt2joQCHUXuk2G5I/NuCVLdXQttPQ
IYQGIPzzuQEuWnjXF5yndpLzO2iyMBOyTf5JFn6aCH8W+UAcAOLAuYIQDrOAEsY3fv2cBEKuWm0l
0pkPN91I8rhB674q5+sAvE6Xl6GlMQ3LQ1jW2EMZeLlhmxnIJyqp6LIm2vsxngrmrsXYLXuZTxM0
MG5GKO7jei1Q2pW5NcgXxx0LZIWe4zYkzdI/Vnn5jW7+LqV4eT64glEHBrmSYRhbhN7p82fZ2Fb3
Xgwy7SHtxJkvoZhf5zzZhIv+BJ3fbBuoUE+JD8pXAf/fSr04HsUGhF76SKfSivwkW+voAIXjfJoP
rd3RMfMH2Gr9JzcFKvjSqwUMmyEJdAkiqwT57QVcC5k4afCSpbNdbnlZO2gXqmGvs7B8oL0DfRaH
8SbKy+MhXz5K3UINvazkrsoJNhMqToH7mFUqaWgmrkCsQgkEt35fDt3eTm1nxqz8mJHxo5vxvoQe
iVGqHs3YZAQkyempkg7HvJ6ZGeSIrrRYurhvQDUHeSg3EbeRKdGKdgPO+LlyWUhAUjjrSGR3MiyF
0RmJDO2aa98XGgruvAMHulllHUPQP66ZepNr5y83cce67aFF23jZbg2oQpznH6C16y+jviK7pQJZ
PdsqbJpeNSCLy2pvS9EieG2rj+sWYaiTyraIdRjnB2L1sGcFA/m2mSj7GEqidho1t103Xw3Q/Ybn
LKsc32clH1KeQV1cRnnzSXJeblAw8WHH+7pO21J3h2B5E5N1aC5YX9VXOIjMG1L1U4orBjl38ORx
BN3mvGnkuCtxjqEzUi9ZrPGcpdsiZJNkkKU+1WO7pOXYhtaAwtpZ8YZ3pUumHjo8pvWe2Xjri/UU
+oDsOivmPpblmgaKQPcIB1e0255YesjErZ+hrAwsmVYCqgwI0vXib/vZP1bALt+VxNU7urVNqtX8
vin6k7EJ4270IM1lpMfv+qqi13M9cGXWzjXwXRaEEb1p6Hb3143e3oXcq/O5luwwdcNgCp9HFsTB
IGIcTfPlELawx5vlV9Osmod2BNj8oBAzWZF/UfOk9/mWjQfUq+56tAp/AJndvl9Kum8rqMh3IMir
K+ea7jqqrR9MyFHB44b0azJW8/rW5tt0TbPVv+1IpeM+GtbbqMi6feei+iLq+vywhSG6qYFoXfiq
L+IK5jYT3DcS7iy6i2yLfFovAaUedP27KMPDsROOX5ABRMgC0DtsVTNdF95+Hma5fq6ennBBT52M
bL5COdtv7hZhKNJVs1722XqeRXLcV6hajh2u3X2W4eLWITiSPfUlEHCFE9XX+CSSdksm0N9B69ys
cSHn17Jfiou6d1uCuhXHbh3aLwqNYReBbn7SdENz2XL1WPT8Y4tQps2IofsIIm4Z3stRugPLl8is
q7bA6QI1fiy2Y7VUrfFD/n7oxvedXjyI1xwPn63D07tc1eLQ6L7Za7q6FPQAEkPlM54NzcCTQQ/i
UA2d3Q2RylNOwSgYamnfsaGNzkuwKulwBh+u2xuIsOHQN/0CLSwqUvhUvgfB+ywb50fK81PrgoD5
Di1a0yIa4qos4ANRXryZg1bpHOZoV1OlLrOxq1PsIvWG+vXzqLi7sdDzueQeogL44JYwWs7HtuFX
W4fotS8awIR41ybFuPgThscFnGoqdoVelthrGgfiujNZzYWpqShNvhZVzLOteDtBLx3e67ZTBIMS
KXf9GK8coiNn4woJAhQe6NZXd6Nv/dmc8+Wi3DJ7zVe3nE88atIIlH4YGaj2nJUf+6IZd7mo2oRF
oBtOaEjqWc9JiJrqwtUthfmDQO7pUkFPRPUVSLIFSso6769I1OgcNKN6FTvasHc06znEwLyCQYGi
TbCsL58aujd5tp7iZo49HY+3urrN6rqFJ+7qa4oCyMBrSR7QFuxNN1fA9NWysX01Egld/a2tkjCI
ywH+c2rSdsV26AN9gzOYjWgZgeGPbDZS+n27dSChDuRzO/enBeaJZfXntmTQZG9ntl86kG6HCL1x
dZeMRZjPWz5nZ4t3VQ+icDd+mLYGJ12/tNmnHMqz2RRZI3drtU5QXW/D6YSnPCYNTcNY5xd+G1U8
kQXHxUI3EksHsnXUDz72pW4jA80HtoPxqjJ2S3YCtMPtXVXVp45G81WEy35XorY9K5zrTji062+Y
6K+LGq/GWR3dQWvK3W0Dqvc4k+W7rFUsnQIrz6ChQz+A1S4d/f8l78yaJMWxbf2HjtrEKPFyHxh8
jHnKiHzBchQgBBICBPz6u7y6uoa4ldWn087DMbsvZVVZGe4OjqS91/rWDhnddHPd7pOFb/sq1tWn
xCPNyUD5T1mMk3MA8IN1oZPDDC0w02ODdrBdeW5Fr446iGps/ZHJ5SDpdev0tBvBBeEZH+4H77us
oCOkMVntEx9Zl1mv0nc+nPqHWEh+1kO7ntnGmjMNg7UAnlV+6LZkfZ1aqbMECMrDIozZd1GIs7Dy
m304jPVH3kdbpkMLEMJw9qoFpce6SvpTEwgct9V6R2NZ5YsMxB2UnbGguNorJ9boPM42uiqDKSqq
cqZPPq3q+7Yeg+NgHb8KgXEUNGnE9aw4/s0m8w1U969gw5qnKlIUYIugBzyihZnsZ66iate1qBdT
eLPYXZKq8mAvaNT9G4vXow2DAnjUSU+3cBELZePu1rXAv4Re+Jh5Oi4LAvDqOjBxD5+mjr5GtVGv
zO+iDODHy1qGUd5XFMefGed95OYhgQE3NnsaJl1KwlidRmli7GHhsAsZuairjc0YGcwjieaQojBt
k3nHdFQdTcD0jq5hmLae6fMtVHjwy3EgOl+6ODwCctqOHacfeDiyO46fT6eFkPsuadpr2LxfY+t7
BZVDgAq4HbrHbphuiA0OzIbfOz6chNzEXQTPNV/WWebCVc1xhtn5JKDSZyZYXQo56toKXcyizFCo
lbuhVMAjPG+tCnjKya3zkul2HK14vgCGXtq1tbdLwi6uUmbn4Qb8bvnCBuY9KDXSa390+hQIsVwv
y2K/2qgGOzSbqnpyHT4MoWH0LVho8oXXVXeSdd0UfoWf80pO8iHuBg/mtKa78oKtpdgX1k9+YtmV
mu1KUhH0HZxj1j3ojnXHyjTzt9Yt4DeagOgzTIF5b3sd6JR5tfdMStQkTSUTnvcRzusZ8k+fqrik
+9DpEEflZMqnUHvwfDzAP6mFdbxfTRDBDShNrFNT+VtaW7996aNkeR3Y1oocFMYIq7aqyrJopgD8
nemb5EZWct75krg8QDO0YLMh0ZswOIKYLtu32J/YHr4hWVPpgHE5p5LrpDUaHx6OskI90wTFrImx
aWvIdrtICJT5OFh9q9fKXjdz86Di7XPImg+TCqddVa3+aRClOEzT9jptPhb0pgwwGjkcpmDrC1/N
Xcovxw31GdzRZNjMRSJa8k7FJtctn658IB27qpwqmFlNeVKEdSIdgLgd58rtShXkjWqTHU7XOvUC
1avUrl1zJkutX7plO0/l1w3kEHf+08DnT56pjnwVHyNpXyvMiTgoQdS9mSk/WNqxLKSKXbUzl2MO
Ak7lPfXscOEykhsFhzFnUbIdVEsmD1IUgJuGR911Eg3jI7FS5l7PYTSE2p9uZFeLMLVxFH1aXMfr
DB9hujNlJO7bZHksFxUc+rDr3hbY1306OBocIC25b3NTjo+bYma/Lj0pOq3ZoSOr4GmEY+/rNPEZ
4qtXpiKMQbV1gd5jJQMgHIce3n3jDjP1xFvXj146eBMv4l4A7BPJKeikvo8lBJfUS2qTz7bWRxZ1
7oUONQ4dzucA9IWIdBb3G3pW4CZrOpVx/R0/0xXtoDadm5XEOFjjoQqzbbPkJB1vCtT/9pa1wB2L
EFJrMfiJugJKSCIAFj2DG1axfZPQEVtu2AeZV/tk1wGGfSQLQ8PAIBo+g4br39Cw0zMkin4/cD/B
4p6SPRFEpGG53XuNy+ZEdV9HiI67JRjpJ6xhv1gDVx7kxLc7eKhTsbCkRRk8Df0x6Di5plVQNild
BpAqlSlvBxQfRVTJLuu9FjBCyeu8Bmh8VoI/Ayg8+cr2nzcYensKV+gxnEn/uEUBySY9rve1wnZq
VRLfJ4lPP1ZRmzxM0vevfUbLFC8pvly2wo9K9NXjBMgiwh9K7zw0kZ/qhiTPbBvHJyZhtObTWH/B
xtLeVLNbnh1d6yavmex3nrHdR7d2BtdQyUMl+HbVjrW48TZh7udh6U99o4OjFtN4U3sKxCjxxQfQ
M+Wt9kWHBQTtxcW8PisUbB9UUoPfG4AE7VHzAIIyc0gKrpbkYGY2jxeVob6FMji/yBDK4EJWdeqT
2SZp3Dt7Ty1wunbchvXQoV47x+0Yf3Oe8Q3Qwa6+D/Co3hverN3Fv4OlGTH0x1WLbvIgB4iyKQC7
dmca3h2qzjUfrFUDuOCQekVAYRykvYFvnqM4b54nRF1zn69eESoy2JQphcaGC0WvTDVXNySmXeFF
vT7M5TCnJPA02sBquMMx2ewGGLIBVokRWbWCtyZe1z0TULcZb3mUG72VaA678Uay5Z6VHDAQn+V0
0LgEkmquu+/4zzDOXNiitJQrZ8B8iYHXsQgePZAKLjgDAFSEJUDhzCTCPnujB8GUUtR3+N/mC1zD
Bfjh7N96sxrQ3qPguSkHMn+KqrJ56yLSDUXpRSPoqy509UNQVeO+NQGKXbKtkzn3ocXOINYHXCgk
dA3qAE2VCvY41Nf9wmJ1kAGhwYsqS/t99psWrTWUw+7khyoOMzQGkTsnK/iXdCs9tuYAGgaXo5Im
5JZG8cjP3hq3rlii6HVSizrojQcP7RZcXO/arKmCEcpTVPhNj9UeaV6gz3S3o3EGW8G2TUtayjqp
dqpbdD72M4pbtnFdrHZY/SvIeyXN4jqCUcX7BvioM+S4mKi/lkFin+s5ajJHaJw6w9CnEb5833QC
7AS9tzttpFefI0/PO6tbHJHgMLH9UzcHV4qp7YPfhfZ7BR3omm4R+YpLN29T6WyU8lKPJxyF2Abw
3YRdsU6KDzcRF+uN7WOuUz5t7W6OZnoFNUxgP59VCxoyaOvcAFa9rWcA3j2Nmo9oLdEuMmf456YB
rn+BUbsPxuOJLHjgzs1Y8T5zDk52mrhYv1mT9Hmrw/IVlhLW1dzWaPTq/rGbS34FnF3IHeHBZwA/
ReBslYVjCPMEeua+mbeTlG7GzYYElnYbEQ/1ytqnZVrGXUC1OOuKe7cykgTCBwAaBnK6s7u128bj
qoxfaFIDTFF+P3wIABkcGhxfL0KKcsQOX8UNrsSzp2Fr5CdgLl7hXD8esFTF2YBRv9O2IXGKE7Dj
6eJf0gDjMpZdtixraXOwgzgll3m7bgALvjp0w5/9yPAj1FVx9uflm/Xmb4MlzxQtQNo2tXcMPIQF
eB+Eu9BhC+2jbnoZkGk48UQnV00o6m8zUxcCua/XGyhbOBkUCuuUE58BfkXQo9BDbbNt0eSbTVyp
U3hr3xF6AM19eYsuDWM3Jg9LFVYRYJeZShBFNVr7GInINaXBGqbam4MsRF4g7dcSLfj2Eg3DDD9w
c59rojuZzXwZb5eS3c3VGF2P2IMjXFaZ1+NioejIYDrPo9mOgwvHFKvjjeJVYkAgUZijMZH7eFyX
9rJFLPmwbh/5BB0OfJwK39jA3S01LHi1uPQTxzGcQl8cj/C4+gLqUvCC0ykLSQU+qSnX6IZ4i8tQ
yzSpA02bG2+7rjplzkk8zFk5Gv11bRfIbWoi+1Kj1yULcIjAuLHMym5lWc8nrAPiRUeLklakGoeV
S8cFR/Io/WUfDxvZ99S2uRqApKRi8vWN9Um3o+HAjj3zAUZip/MeNR/iL5AymiR3DV9oRprlCDjn
QZVDdef50AUTAviXxVNwXZZTNiKfUqzx2ouM834F7T+NLtv8EKYrd3hiq+Tcz8mrIwF7qbY4Psl1
0JnkmwdpVi15hLP3NDVxcM3nKQYCU5vX2Yubs4rAAKE40IW/zC6rgY2lwIjc9eK4DKElkLVIggpu
XYf+6p6t6IrD2c3ngSX1FzFsOIBbxDmCCDaarEX3rOJIPgkxbQ+ECPYCv75HS1SXqkzDyQQFiOk+
a+MGLErYjfyFE9A4gW79x3HtEvSzdZmhBdJHb7N2p4OAZ4MbmswaOXfAc/GoJOGigJ+iltzjmG5A
HDHqMiKjssqTKhQot9b5I7ZRM6L9jZpklwBp29Jyq8cjXGi+Zas1Wu1szaaH0eP00KK8R9QB8ohD
2+UDXUoiR+7rdm1uTN+XgKDUuK/6oc2di+KrJezMwSErsuNma/JotuiBbBvnQ9nou3rp76wKgmdv
KdNu8D+Ci/qUtAnwtT5GBgQVHxiyalM274Y4G9f2Op7K6CBERR90HwWZ6QJ+Uqtrr2srn7oKuLrX
ztV34/neIxvC8GmSfXmsUYIUxMwgepzEJh27B6ccPUxtJG8WnKQIanWFFc30UJJNPMYbCCI7DvHO
V1CZIegGYLDCaR/FetxNtu9SmCFvEx/omYIr3C+lOs7twPZTiMeoqcbvI7qVr+tGs0CTJZvWaciW
aGMpslOprLU6Ur9vCzN0cs8qC22oZGOPJzwQxRZsFWID026DHxuYDt8xvK4CYPyX0KrtLJwLbjlQ
VsQtZEg1MhXjoYP+tA9LOu0AmhGEt0afF350ay60kxmlRjgqstOuQYIAwCKsZV1Q0575AFpEkyJp
upsZWYA3IJNfJ07EfiKLd1y7EX+bt/H9RIest/GVv40HotHf9QimnAcQxdB+e3gHat9XzX1PIvq5
0pvD1oR22HdqgZw/r2cIYM8SELrQlGUwHjK/riH2zZM+BkN9Fl0TopdY2q/BWNaZDIaP2yaukGAG
rY4Bdj2YdV+oFN6+j+OARDsdoQVCwuzI/NVq0KhG6XQEB5mi9GBnhLtkNmxokON2ZWkfIN3FPdVA
pEQ7EXnJ8rHjSXxWswzzoI/RtE/LDpifzSkTcs7bOvqMGFv4GBvRTYWo/GpIHfHjXbg246FdVx1C
a+mrU0RqJMQC5UVvw+wR8anEH2B5DjpG35t4T0HIavRaM9Q2uc6FxLrVGXrpYgNDl+xgUEDKGOr1
viRh+Wh0MKX1lPTJnnH/mERBLrjxTybyaxiYs3PrYWZb/alkJU5FkM3IGNRe3zyRemtgOXpBlXwS
dYmNGLPXWEZNRcpzXKM/yYSMPfeWJI28TwSLguMlg9Jm6wR/BAZtc9VG85Ztclky0LTQRGOEdiaB
8xDIYnXZT5ElA9RbPzRulo/TGGK3xb7R7YNmg6bpyg45hbiO2RtCPtOntfejr5JJwMxhMoF+T1A3
W/R1yEss7W7bRj/jZvXGQxPhuG8pvmo0gzO6xVKDLuFkeIVQPBSN7wZYmCM7sTiChk9YGiKCgt2q
vYlpv6D/NbdB4x+tAvlK2wEf1N1GON+RPLsNiDjbZiSPoedWmoaiE/cRCpJrPHHVW2kag47YpM4K
esVW7+sQLdOFCdUHxBNruEurSVWTIAWSfJzF/BCZ5TUs7TKmWLhY8QgmHBeJ9+Ji3Ifd0N8kSIlm
8YAHXdUQG0XkXyAbb3rA2Y0QCJdQyZpWK4SvFDrVkYSLSNttVt+2OWqzIQxshrLn2HUI+4ysRM8U
zhSUSQxXSifWPSZ9Nz6LSW/pUgcQqdvI3DQAGGgrr21AysJbmJd7IHvr1PZl+Yp+QdECVJrJmQw2
ZDiD8WPtNVZlQ7wu5220VGRzJBsUvjVsYTPi0FWTwJZ3Ad7BGjciOazUm3IAt4GP/UchNNN20aNx
iYdCC/ppTQnMkah5swL5i3XGjgttdbmu+2jI/XLZXleGrk1lsLKgbMR4WG7jQb065wUX+LYUOzsG
60dNa3mYUB1fh8kYv65m8yB+wdZDSbRFWY9gB71eWkJNyhhuA3gw0uyVFeVtAGnoC3pTdCFbU97U
s+ggVOD+4U6SinlFGXntM1q4OrfDsJernznl0XOYEPgFdpbPajSHYdJuFyn3MloEFmwvnmEg77XH
2aGFlwTcerAZXdehyqMhgsbdkNtAwFLEvlI/jz1rQYxodCYzHrS0jenwvdvqG22YTMN63TN/yDvX
9kWMPFoWQsjPNl5Dga90UfnBnFuQNogC+lrsklX56PFBw8R5GNWf/cmPNKBG7Q4K/ecr7RJoq3Fo
jlHjm6+dhB6bLz4eEFcPSFEhszk/tpHnL5nxRnmQpUTXsG3silVcPftLbIf9BLEuyWgoNnwucMpz
F4v7ysibkU2oLGZdn+CcwHLwVXtYhqRV+UCn3qShctvDttTdAeCZs7lfcR+JH4qwTwc+GdVK07w2
2BW/bN7gZR3gmsdYlzN04kXX52gLsYVFbL4bJWyz2S/RyPU+OQOH12iZkAQ9Dv4cdlkcOXnjUMec
5rUUgH6tDuGmVQsSnlt7iROO1A9zN+KWIy4xvUi7Veg/Nl7U8TzsHfcalHXgnpnGMeiqaB9ZVFAp
mlL/Gh0c4pMDXMU5N2a77/RXC0L+Wy8XZAnYRK7kpeJ1m18/gNfrb4JknrJetc1ds23xAUspuEsg
B72Elc8KnpAo5/PWod+LkBDcrJ9FEgmqsGmwb3W+vALnFKIsQ565LI07Y8ddshm13G7CLr2PA9Dz
az9cnDFTeh9ayA2nEi5QrmVSIQMaxA8TEkzX0uujL17CWJlC1cPhIZslyKcwImnlSJO11eSQqx6D
nFbelGpJxlcEVaJHD8/nfaU9PEoiGKE7bP1DBFQr7eFDZTh5bN5gk4VANYdHahCNSTu51jnSXOqx
VlruJxuPH0yJva6nAQx9B9qfpSttcMWKTNWctZ0HZ0kwkPesr75gRpL/Fs28vl19a3LYiSTzASqm
fRNEGWfJnPlUxLhTbZ81XbCeK8Jx5Ih+xrfjesM/EUfeEHD/JmYWXEdJcIcHCmo91KRMtWNzVxFP
TfnUDJfOIazUcpNssK73Gl3vtO+xeSJ6glTeAY+1QfkYQDJ1ildH5CHEMzPUrpeDaKY5Ii7rgogx
Y0AGtuSqQxj+EDE1fPFB0AfQ3EsWjLeGqPXY0YVlUpJ5yEbXAJ+pxrq8FxCLHvF01R9kp71X5wdt
HjOQ/Yijil3Zl9tt3PVtZtiE/rJcZ9jOrUdfQV2Oz3JDGi3kCimhZvOQI0aoIgM2Jr4lYuO5Lqks
knhbHw1CJVed6tQOp0VbxAyDAbqFavSjdPZhv3i/dMlTtgSdOZMG3Zcv2vYUIR56JGMy2ssZEmRb
y9edDeftBkLLeNwqST5JIeKXwKLQ7tAkHSypLHRYpM6Wuql33hgj2r5MX0li/GPtfES/me/iNqu8
+qrc3HKHJ7JFSR0Ob308N1+CpIWWXontkTF/dumKfkfnK+xjEAw5VOMUfCP+KaGSPK2iTKYM5gZf
MjqP9tFblL0JZW+iG8q7+TSuCKJDo3ZTEaHXOpgaOZNxk/RuDSrMMiCx8g6JVyEHFo9gVDwNVS9p
2FM5B/5NpXsUIh6DaNP6DusZS08jBYJs7NY+V4MCQkKAUG22vyY9eWYd+RYA7XxSmpiHfgrLHemX
+lLV9nMW1vULJcN8u06CPQWLnB/IOvd509w7SK07P2ymV9nH9i7yguWVlNVYNABRzkFf82xCWP4V
28prLNvgeiWX+sApeRPI0D93raX7VlTqToy1zMpoll/nubQ743yKnNNco1Wh2B0AWB3QG9YiM9pH
xAr4R3RsmTV7hO+2NyXMsKaISftfVHBJNFtNSdqiTj43dSTyLoyhy4adym3Mtkzoyc9MeEEjuolj
axL6qHQM3Sce90PAppN2ZZ9Vsee9RkmLcDbHp1KpqZV3D7G1Ps/bGOyg2TZ4Vbbsek3lUUxtcKeZ
sYVKEi8nVcfPSAMDiu2+IwO8ixecGW05LXuU0QgArkFoUqR6aVbapjuYGKpxzMUbr6qvoJS+cait
mYCLXZfebkFUKDM2bvba9N9kLHtMPyD7DgHEVCFYpeWKMQJqvhKDuHKsf1mQ3uDLxvIF8beUeCuF
b1wVWLLZ5IX5XDPv2M76cbXeAcRQxuhcHTC1oM0iV4NAgCs0pm6BkYUgH9RfSzH8gRw2ak5tEB6m
Zr0KDdTvFVPAHyB1hQfLl2YXInxSwnHHbG64+81HhqjGjjDRXHNWy0cf/tdT1KFj7LcaUrhCCPy/
tp6iboR1XzA5ik+kqsJrtMB0t3Eh952t7fMvPOP/x1kQD/OkQW3+xsn+PyNkzn8a8X0Jgvz6I7/G
QNg/0LGBMvUwWQ4svQcG9dehMeE/OAcCg4GYqOVBUgMv/DUG4vn/YJR7DEBowFmMc/O3GAj/B2gu
ivHKl9hGgmRF/J/EQPz4ksD4I8iNIcExgiYApWgYBxhL9GecMpka4iTmxxRBeYkJ9j2Emj5u66xC
LuWqw5wBxAYn/xzDCj1A1B+PvRokHAqV6Gts9+OH0IW0wgCZqnmN9eCiDKxsf2xLL8ZK4hIUIgJL
3U7gDL+l1RhzjIuIXX01RKb/Em7RdLYdS4bTRGOIHlNfT/NOoFeqs3CrYlmMJKHwsWrdoG8KaYzF
2IqvnY4wsIbPmNeT86AZIBm2AXLHmAywdGdHJHumqCKB83nVchVttDxvFhwKInY0/mA2538omc+f
bEXcbb+NqO5m2IQIcFNxmpEruVRFlYUQ2E7JyffkdgOSr1tSNBD1mKK4DOeTjzAnLdBnDuQUr5X/
SDtku3ZSJnULB3KDlCKFB4kYgWsGjkhWS3lbMTttsPU2DHToVRjDJjeudbfxDJTwCjjPaGGPhEOb
6V6GDPM5vAXQAhMDUA3IMN+NW/orfyK1LWi9Dlf92tAIqKANwgxT2tBOh65ZH1F2qgC2h19Xu3Fc
2hGTfMZLhZMQsOlgOuUXSfpNH1dvavt8tRJvEIqYvyIc3txKUiYHfDPhE4X5fVjLcr0p+zUB6jLj
BK2TZlgKa2n/jLjFdJnLoZZyH4tBnuAAoS8M4f29oKRg99LQ+AtdeFAXGBMRqRSDQnBrOKxCNPhN
3BZTZP0PZqqnD1xE4bxzbQiOiFNFJwgWzJwbNXWPKM0gPTbcYHoBQujEHUPMy1mRpBVLjsN74QiC
0lkV0xQgB63C/hAJU99bFQJqnb0GuXlaXaKIlQ/lWUJovmkg/50TgSpLIMb6LewqC3JriwbEZecE
pqMtt+QIZ7VZcxPVfplPMCbw97z4I2owKC8qpgHI1i2BchWrUIc7R/0tOqwLQRx1neqS5lMcokeY
5om9mU5AF6JBbE+Wb4vMQw32B+lIjekyMO+n77G3AfPES3QlmmONUhmFs5tTn5tpV3rQX3Y06Mp7
NUMB8PUq3U4uuDC0JwnQjxXBSwgL/jhcmTaWX6cL33PkikAMKKNpyGNkPpEoQaXLJZKxo3pMkhrw
E5s4ovCo2XziYyjP0LxoAAUgoJeimwbHYBHFiT5T3yR4HGMoWsw1B2pp89L5DjhIt14mdITblUhs
e16r2d+ZxS9NBjKWuesVRoJ37w11/zK4ABMZQNl4aHZRrwWjbk4hHPNHUTXF2FoMKWpKz25HNVz0
SNlE13RCswttsaMObwBcNqXoEPXnABrnlY/Ae5JJjefkRPxSri9RyM1lRNQ6gzQK1iWWu3mCzDOk
w9wgo6oaWX8uiake3NTFn5HKRFVJxQj0wq1tt93WsvXWzMOSmXZJpGOaOy7gNqdJMgb8iIEx04b+
fVq3a0JI8zKuIxp1E4zRtJuWcHVNGlX+xBCjXrHNp6WtOOgbyfodJ8Z86hd9RkIdUAKVYIvQFiMr
GGQ6msIMTDKuNv2vSCcrnfRkCqkWfWf9ecRMGi3/mYP4nz62r//1K1feZzi//CHC+X/+9wU9v/zx
F5f8a+riLye1h4P1x0f7nybx/fb3/3muJwxj9pHHjCLE02KMdvvtXP9nvBND4SkSfRwJBeD7v57r
/5wGh9GmyD1Cz/tlgtyv8c74HywGEIhYlY9kQwyT6z851y+n9u+n+q+z4JAofJdYsOVS9jBo4kPl
5Ul0a+f/KAL0++u+rxJ+Mi76o4/9LtPR/BaCxOiwYXhw8UbF038jzvjnYMXvH/9divH3UGjiR3a7
155KIE4HTeSlFCyVn4aYE1P+m3DRjy7mXXrj98zrgh44wLyJS961X2P+8Q/P4t0/v80/Tvz7czrl
94t5l6l9F8n0PBeqR0dR/l+tfOyWPYGRgplO/40A5V8/VPySovpDyOz3+NvcJmw59dUE7zS0wHCK
v7+iP8exfruiywTmP77B78FMJy1zqKSC0s+0tH51haFajX/tTRJgibEGhnFK2xDjwmhXzcPh79//
B9/YLzXyHy6wxSAYb10aBhAa4SYxetAIRcDF179/ee/Ptfbv1/cu5aV/C0tibCBgyn9lJLWEDY4T
45co5LQyctU7ZF+LCQNWODpLwX2F34Hy2/71F8/MD67wfSr6L3KCDM3oz90+/m7T+clc4I8++uXP
//jl/EUesINdNmU/d2febT0/mcD70Yd/t/H8HjAce7JtBV2g9uWx7nv2kx//3Wbj/5bsWzDoBBNx
LpM8UmOwUvO/vz8/2Drjd2tTJTPmLkGe2qvWmvIBgJuZXgKzJRSDxqqE3WOQaRAf//7NfnS73m1t
frOSrrca6ku/svgO+kQ1vqhxJN9/6vXZu53MIgFA3RJxxHw8VawiJMAva2mHf/NtXJ74vzh+2bub
laBfayd/LffIu2xqBxFPz0XrVg+wVo1k2k++zbv9JAj7kjtN2B7UqQ8rP+47CjjHw4xEXY9u+bl1
zS6PxB9WngElVwaL4nuNCWRPEtbkbQex4unvv4sf3at3u4aTC/cQvUqQGlpqjHfCQKUrEaIM/iAj
jikDf/8uP3ii3o9XqLjQUCA03w9tuB4R8KW3ifAg7f3cywd/vkV9Wa8UNyfeTwxWTEqbJXyLN2A/
P/fy77aPaWY9g34U7+cW38DYClVgnBHTP/np320eUx10K0gcvg9hYeI7WDnITQu0d/vJN3i3njFO
JzIYO8v3iacMpj95oLiLAeOd3N1P3aBLEf7HRxQkR2A9siArYqv6BXOx7N1SCwChP/fy7xYaWwf8
KjQaMThB4Vgfxi1YkrSSFxTo597g3RJb6tXASAQHJK3QIVAEf+Zpg4k//+5svuw8f7EjvR8QgDEh
girQcHsY0AgGNCKANaXINscnMZZKFovw1+61VTz4OHXCdf9mJ/9RzfNeV2wXUTLQ+dgK2//L2Zk1
2YlrWfgXEQGSQPDKGcjZTme6PLwQZVeZQYhBIED69b2O+0a0U9fp7NCrw6Gj3GhrXPtbABPd1MFc
onbC4h2yOaV474LerF9aux4aVGhJXGDYih8TKC+HpzVcEu0ZYCdBTZmAX4errELyQB9ps+HWnUN0
/efPF10y5XfhJS/HX7wuewNleVbQ0CoIJKNyXSD+sLa7GjPKzbtqlsOPMWCbvGI27eOHHbCgHgr8
NG0/p4LE8RtdeWWiS5xcTvs2BmCuYcXIy5keEpv9O+77NvnNo7GTaDpSSdq2KJC9VHl9ibH8PMwh
Kib/HMdXOv8Tbf7rSkOh5goCnhVxh5MMnlFSaXPdKDO/MQxeSYPYSeQZKtiYAM9YLGYryXXKlAq/
7XjHVkfItICz6xsNohpBFXH1fZSXl3e/v8xJcAoSG76ySookLUH5HkG7lLgTZIHnFBs7y+j/4RD0
FEen/y8J4bUPc/n3Xz5MUuLqvZ12W8waOiXbo/ohUWP7xiTxWutOcsKNpw527CWLljQoCVigtSih
4/AcVE5u4lgypFEzoH4e58YcQoZPfcXe2um91nUn3aJk7NmOgvWi4ma51wbg1lM31VHrOW6clbNu
9TJSiLOLoJTZNQTr4ljSlBVeo/InKemXz0rHNR4XgdaXkrDDRvkF/hC9Rep4JTbskoS/tJ72xKYg
laLvC2rPIEdfc+jImd9E5yJTWjyYh1s522KKmu48Z/1Fgcbs+c+RuaTNbyZ05uQrLshr0MiDrdiC
+F+QWVCNCJoOoMbLxhPPv8BJWQrdSd+KcisoytM+ZMvQniI2iDc4Oq9F//Lvv0QfeA/KNptsxcDi
5BpwS31ErZPndMOclI0W2ZWpbXVRzR27bTrJ78e98+y6k7FYSVEAH9GlQCloGUF/TCBxr3eUPf/5
474WGidp47KaBUqWUMPSN/sNXsSXO12WnWdSOSkLnF6wRqBVnpWutvmJbmHavUO9IFTNXt2nzhoM
0uk6VSvgagB1WLx1xF8MdLFvDPxXYuPC0eIWrgBpCuz+1NVRTmcNFEyWac+uO+svHVtGyjZdEfng
iwLQBHUPe+n3WamTswIUgiCYk/90nQEqBgkl3m/9ou5mawy6aVpH6ynbcGlMLq3P/oG5fI5fshV4
dpQ1oxbptLcAv+IBTgNNjEoVv7472VqzOB3w8o/WGQFBnXXnqqk8r54uvMwXXQd7Om0qNI6HMFl0
eMLH0SjZ/fYGl0eUX1vfF8pLlAGup3gpUc4YrajUGMvFb3n9ibf7JeyyHkk/oJrz1ENuiXfT5l8N
wZxf1ImTp7MFkH2oITCTAo+UCYu/BOtMPBt3FtewjBXUysFyguywh+K3Ac0EelSv8fKTI/ZLWKb5
gt0GEgMqswyi/BYlRFoR7tm6k6eojAeyCkDCE890dD/jeeR9yavO74nKZbntmqHMEi0XkAxDkGp7
0PKOAUxl/sO7xRsmTKfe/+8m4Nd3l1dmSOKkKpnAE9VjtRaGwawItbxjXIwbWb77xd7JVdCUiRp2
iZW1nDvYDM3RcRYo3fVrnbxMJ63KkYIVooslo1+jljwC4/Ho17SbqbNppTHBUjR18IDp8YshULL7
te2sqVnTSB71fCnarU6Puo6fB3BS/SaBizLr1ymmFzM0k6nWRdBAu9e10LaTKfTr+U9O7S+phGfh
bYQeH2SEbv+nMYBSx/LWKyiRs5imzQYtcBuYAs3OMHAgM6qr4IJS+U29kZOnACNB2M/UUsC4NvzM
FswDkF/ZyG+nETkLqp46EnbloAs5KHscdv6tboC98ouNk6QgJEx8bRQq74wyBwknHnigvPXy+soM
cBEP/DpgMvBkmjFAwSK837L7dK6i+y4ox09+XXdSlCxQ7CyA0BZgnsFvRm6fedp4flInRy0bwEiv
hS5UjJqWKN2/dFPqdwf78wbwl5EO+d8Oxhvahkz8mWlzD9rWG5TkVwIeOhkKRBSKNuAVc4LSJ0Cx
Y3nXWGA0vOIdOispSgBGbgMSnOAm+E4a/iVVpvObWkInRVGOvGI2R0y6un8cqgEImNqz2052snEz
dMel92mw65XayC2L/VbQ0EnM0cB6ZBhxtktkdZcOe9Gr8g0S6Wsf0knLplv2Wmt0epQfLWpgWv6X
30d0UhI8ezVagY/IavFN7dljahO/eSp08lEDTb2bDbp1A3uqZ2sWUgBUNB/9Ou5kJPR7e9822VIA
JgHOcy+usjL77Ne2s2rCYGkGxTgMTgBbQkcQgrOZUb+FDUXrLydBDOxp6kIsyXUDg5N4ZsExy1BJ
49N1ljlJmc4rB2RiDU5T8gTLrhRKDL+GnYyECdjEwNlcCoCJIDqlqACOpuTZr3EnJ0EArIzpy/kE
FNzV1uHxfaIw3PBr3ElLpXUogg6Np0BvUj1+b5hRnlFx8hJupga4zgwmnJK+j9H2rlfftp3UjFB2
R+ke4dqY0PBOg/l0A6JX4hkVJztrFB112M9ioMQoBLFh+7FLaq8NFsuc3NwzzTYA35YC5LSlRYFj
mQxHgh1Q4zW1AGb8MofGTbISeqOlqNiI6rT1Ex4fPnqNFleshWLAUCUUcdG6AkJIo8YYQHzutY/A
hdDLjqt65biP3tHxfX+vh/Bmh9uO31hMnQxtJQ9hikLnIhX0voM/BSqdOfGLuCuA0pWC5lJDPRuO
3SN4nodW1V6bFObKnxQASaaici4IiX/WBatDxNoffp/TSVCDF4U5lcsMBUDypZr3m4bHT35NO/m5
q6UUKQkUCo1gAtYNfALPBk5bfq07+TnAXywDuEsVeEJCebAdHjiFn5Bf406CanjriDraVDFAn3Ix
HVLBLYhq5oNf8056AveCWZFpfNHV/AMrtMd9Tr95Ne0qkBYsPPUIjE0hkurDPsIRQ0q/ceiKj8Bs
EknbMVXApAzcya0ix6Drv/v120nOxqIgR+1iLrIaABxmHmT61rbzso7995MLPHNezilbgPvgdeSq
QJEdnIsUh2UTsJE7KkOINge//juLaCwA4BYACgAgTr92NfsUjOLZr2knRfdwAKCGlwr5v8KzYkYJ
RrQyv6c61IO9jE5FaviGUYKOw9hKrqBpofb9L7+eOzla79OImp96LgAKYRs4Mhr8qT7tauG3SHMn
T1ldValOOwzJHdAfSZ6bye8sDuPzl3EBbGXCgRlNlyZ7XMLmXUkTr2coFLA6TacG1nyrUQUtJSmC
lCyPUYWCNa+gu4JKwtcwBkMVHQ+tyY2aCtBe/BRdLHHSFBVYAYA0tSr6dQTkb+Wo9638bodR9fAy
LotiWjMQKwtMj7erIbddvPvlkCtTyraqQ2l9pQpeopKbo7o4A2/Ab7VwpUgZRkm4E6GKaFjf02i6
U+Hi2W8nO1WD1wmYuE/FnKSfmkg9dmLyOsSxixPYr5dN5c7gCzu2qkgQmTyDSjyfjEz95kNXLrTQ
dgpaIJDwblNPB0XEI3wu/Lagrpwe7PXa9HE4FVVDwU/acFFx0mGQ+AXGlSK1bQbZWGuQN4CcgD6c
JB+6JrR+X9SVIq1tnJQQw02FzeDRGc3sASup3+s5c2VIOuhR6rcPGC5DxgD/A5RCzKiBz1bhdYeD
F/6Xowb6WTD09h6xr+qNH3pcnhVlySa/dwS4lr1s3wiAfcE1HosUJOHpsG6j/KEzvnkeGmP2sv1I
kpChQHUsVA3zRwn8fo4IxWevufdSVv1rTnG+77CpDkEv6RJyCMGwOVCcfv3mmdjJ2KVDFckMvGwx
Mxjk5JEl4m9hdqBA/XrvrKZ7oxK17YgNuGlgXi3y495Ffmte7C6nZNgArdaIew/PKjOHM2pwh/rK
q+eu3gi4dGpGcGVR0xnbT+EA2jaDc7fwC4wrOIIX2BgTg88Kh6ZpPqOOlbI8LgdQYPz67yyreIwT
Qz+uiDydt2t1YUBPnd/dPHMlR1zAASVZFPjYbHlqqvlxE8uTX7+dbIW9xEa7rpoK3mdf4WQV5TVj
b4lfLyn5m307c1J1wpV5CiLIWFDVpl85HhWutJCr55BxUhWEzN1YGg8FMhU4C0hfQAUL+MkvME6q
KtBSlrFD6/FqNExBxhvRv6Vi+rkF/V1gnDydmh3yupQMxZoAZwvYVd9isuEN+IIVfEHElRzN9qTl
3F0DkxMkxVLDA+YZJW58es+yeFZPGZfJlcC75HDVCjBWct4By/VQ7VOK2n3L2kl9BPwJLoKhmXoQ
cus6mEC7WuFAGMW4awcuX4NI10W4JTskeKXer/UUpG1BOOiz1yXM+lDbHOI24XMAZa85R7Sd+ZHy
HW3CzmGx5wp+JjOq7WCCeZaE7PY4r5L2X3fOWPl+YUnQfpujGFYWKbBDa6F2/L3HcbHxqQ3XOD30
HNiEQ2IAW7uqoqHK7pK0R+FWOFnyRNJsA7krUddjMytbhEMGlNAmO7jQrIpV8WnlG8DfcVev7FAB
fDdgP5tlBpjEhvJcDo2KboE2abNrcK4WWPcg2tshpmK9tvBgflD9GrIjC9f1gqpVpX3qonbgfrsQ
V/0ygaUAfXs2wKVCw9aEtHe1rfyqVmBA9nKdCvGnoXx9HAoDQ6AL3n9rix2+1Z67P+bM9nJnOhEa
3isJ4F1A2QU5qWjmN1m6MjXKSoNdcDfCekX+WzLxBKcWz6CnL+MCn/l97wj6HeuymLPuBlw+v5tN
6kzx8QpZDWifY0GyDLDwAK6fWRcNnjFxtmUqrGgi8OJYVASk5F1MP5JW+e1YqTPJtysQaD0P4Q8A
0+kHlH81V+A0Sr95mDqzfJ00oe5JMhcAe7A7hs036gr08sVrHnbN/BQ4ces6rkMh0gq0bUB/8RLR
A0bu17wzzqO+iWxA8VGTSsb7icy9tjlYsGI6ev2AK/VaYJBVBvUyFHio+gE3FKBdZ7+SC0acwT7q
Ta2T4UNRh6Av58vM9+5As5b88Ou7M+LXeLJ0BUwbLP/MpjkfJlDPcdsBbqTfDziDfgPPNQr3ChsE
eFqDGLIBddHA79avdWfYj3wrAZDFEo43GrBbAW85jAEoJH6tO8Me/hYGtjv9gEpUYO8SugJPmEww
5PA7fxNnewMsWQUh04CZrNf8pgaT6yvOtMbvKpiQl/Mk3+UECDb2q7jK2q9LVuqChwv3HPTO6gQi
oQboHBN828jqMG9TletFSs9R4+asiuAhgHNyEZie/ltDbf6vlVr6KT/hIfoyNCBx9W3dCphnJ3wN
rkXWR4ewBHz8jbfDVwrfmCv8Qj1oWSZd2he2i6h6HkWzwqaU92Q8bvC2fEZF2EMQZF17xC5OALCc
4TB6hgMNzCa8xq6rD0MhbRLqFvvPzUx1CiBvCwCFrHsY//n9gJPY4B1ZnFkuM1O5ROWtbCqwE8xk
QP/1+wEnt22oFUpSCRjRNGpEvm/txvJWMABg/X7ASe8EFk+qJ/gBowlky1Z/gnr/u1/bTmp3izRL
pm1fjKqfD3tFf9gl9u24k9kVoMbzLLgssLc9d0TcEDL7XQH8rHH8RcclA5i3byCIFAtb54MIGJ4a
gOn1C4qT1UvdqSoCOKwotUpPuiZVLmEL5zdeXJ3YxgFF7PFF4XC7B99ku9HvKsBy49V3Vyg2t6yH
kwp49diuPPDV3nZT9QbL5TLefnNUdHVi1Y53xkQNfTHvpL6JOpVe2PWb3yIWOnm6iaSBXxCVBYxq
wcNv03S6qbmGYa5fYJw0Zdk+UPDyZAF3rvYwZemVYJHxS9HQSVE19hVYrk1fZKze7mYlQcVa2vXx
z12/dPF3gXeSNNvA1d8irO+dZRN2zeFcZacujGAgCXeQof/x55/5/felLo8JeI4SDj+qK6zi33BQ
v5e8/uTXtBMfsN3xNIhyLFQIDnANm2a9/rvRye8lCSDbl+tkg71yX5c9XDTHtMTtzpxew4JEe6UU
BezqxUXsQFq9W4XOl1WNM35EQO0Wu990APzmy9ZBOOYmBlmtiLYlMuBe4/EXaOi+Xb0Oi2AAvPyB
dIW3D7YRXRHViTnCeiV8P6B4ymuuxAX0y9ZN0uBEDgOqYxVVcE9rwyh8IARcOK/eM1fYmJqkBDWz
GopQg7uXYxTBXVMEIdygfIYmjNFe/gESZMppzRpMmDGB40P4oYpKr4HDQifyQJIsaajQd1z5xsdG
4X3Jahgr+XScutrGHjNkICBVPUVclR9WE4xPfR37ldgB9fYyLF3TRzokM7jiuGR/HCWNi6WJU6+g
08w5zo248grhp4yErS8ee1P6GMCyyjMwzkqizdIbbZoOshVwxQ6oiJ2+wIMV/iR/DvzPy4r/no9B
xX0Zm4RRWAokGrPZBRD6boqiXl81Yp3UGQcxTc5g6SUzCJwd2KeBwangbuTtJL8QeN2Afk/sNWeB
ieFRUGrgD0wgxDvZxzs5yGkyzcFWdWm/DaVp9LkfseYedNzu3+HOzG7XsV1uTFOvZ1pqOOhZQCrg
9imBsnyuI9S3PIoLSOK5b9IR1kKawwE+lGo71CGUnw/tWAf2iP89N/eUlMP6/c9BeWXxcAVx0DVO
5FKQfKrKqH1Y4cJ4RxpS+S2w1JXEwVM9HnA7Kgqyh/8mZHrMouq9X8+djQHOmkYGySYKaqGz7Qi7
JsP8FuniMuZ+N1SchU/rQFZ23kUxjYBpwOTYwhAvM1A9AN6/ZhXInAk8Wvz+EmcZjKYsThgcTopg
DJITE3CGtGNXffRrnbwc9bUpNc6IVBTrwOpjUNpPS0veitMl2L+LkzMLR2HVaKE07N463TxBVc3e
pXW1/723UfDGHcxrP+HMxvCs5xUZJ3GadyoAZl4mNTX5qnDZDrQ/KtreOFS/8sld1RzkCZVekw4m
CM0ixFnHewR1WNCdGmlT+AGtns9O1BXRVTXuTkrVIWg9CSB0Sz5hIvLcU3Fnig4AHMFFABy8IjzH
LXQ7LzT68OeR9MqXcEV0nELLaVGDezHN5Mt11s3xeUgzvPsn1dqFXuqCn8TyX9/PAVPmSdPwAJiO
mX9GrXv1OZu4X2krdVlds8mmBjzrtuA8Xs7QXIOZW0d+hxXqCunWBleRVEd10bCUncfVgB6eNV7n
OMqdRA6TMeo63pXHaG1uwpLmbEg8Y+6ksaFhNw8LmraWncpsOsuGeJ0PqauhMyCVNXMmyqNoyC2P
g9sp8bvFo66GDrLCkGOslMex3aabdp6XIojp058H+ysLoyuhK2FztRoaYLBH1XwaR8Vyk3Xs7Ne6
k6VhJlQZh0FT8GYeb6F6/TRVxg8OS10NXZXwKlgJ/DE6Q7qzzhZYIE2dnxSVujK6wOx4N5SqKZq2
hTN5nd4FXM0nv7g46+7ehpOe6ZAdF8ma/UzI9nFUQvhdKtLEWWnrIVumjvXZsV+nB3j5FK0a/BZx
V0pn6n2vZIWNVLcAVN/rPoRxTfzGzPvaYHTyc4U636LCD0k0r7B+zNRhTEAU9ou5s8BaQHrmdRkb
VC1Jc+jhGgNjE9VnfoI0AKlfbkAyaVBzIeBhnbIBnqMpPEdvB/jS+dVBUldNp5O+7PlEsyMMv/Ds
+QgVwBuRiV6Ju6ulY4mNAKeq6iIyAV1vw0bGKDCqANt8BilpKJo4szTn0yphtYvbte0AV8t4BcJy
TMx50lk4newYVeRvyWOyFiXsCbjXDTxll1X6l6vUDoB4S9N4PjV8V+cYNrgHHCz93tWoK7yh8ISy
nYA9Ft1kDZXF8oySyv2NuL4SVhfwo7cJmBxu5pPhkc1FKNQBZozPXsOZkZdxiYVOAjqt88lKIBq2
xfwIVe1XP0SZk4iBhZF62VE4b0Ixf8y2uj6EBOVbfl13MxHS57JZMZnykXyDCe2TrIlfSSV1FRO1
xIl9GJmGE4AK830k5aksIZ3x6rkrCd2DKQIEZrlcJ6mlum5omOpTPYu5P/r9gDPa+6aBqUtUwxBJ
1QlWS9PC2aSOk4h+9/uBy1j9JZ3UIrRdy1Gf9ACrQ5my7ThmzOvZg7qaUJwfYjpSqU/RBUK3xROw
AYx7if2pKwkd+crmckHjqwbpu5vhSzV0xE9wSmNnxLNaA82g4TVL2gie2iKCWW3fffMLujPgBwHn
ovBiCrSSWsKgG96E085Cv02WqwitIHwOWUCX0wCZVz4IVcFohC5/efXdFYSybRxplMBZM8jwBMeE
rU6Nif0C4wLoGrVFA1QBywlEU/K+l7v4loSW++3JXTWojettWjSmSBi3djBO0cATsfItBM8rx0SX
8tVFYiJigGldUsK3932tZSPhzUY6mIGqEaugV/xdMRWs8koWtZjQYpIGx5XE1aHftZ+YCp5VL6eD
sYb19ZKg9arqYS0JJRUMhc0/fl13JjPR4gtAz6hO4z6aQyOn9jjL0m+uccVU2cjCRcaxOq0CJlcS
rqc5CMPWb7JxxVRG4rhhFayPl9p252gWH23Uxp6f1Fm6bS3h9Ym7ntOY1hy2mTtcQhuY6fhF3ZnJ
em74wlPYuAYyUIfWjj28640fuQkV0C8HTMlYp2D+NJ4auPscbCxhXwa0vN/y52rAdGRw5ayq9Ny2
vX224bj/1cJe12/1dlVgJYXNsYZY+RSrCPUolzl+JNFbd4SXFfQ3d4Qu8AsON7iuNll2ZgGuztfg
+9D1z16flDhZKiISlTC44GdwvsoO5moQ+C31Pn/2a97J06gb6GBDlZ3jUfbQsLZ7Ut8lUdenfrnq
4r7GOdXYOI3ZOZujvM3ITRd6Ln6u+AsgrmmBVXh2lgxb4YseovcTJFJX+QUDhaas+ZSd7QV9JLaI
HWDztfmlKXHStA27erFmYEdQuK56Nb4PEz+aICVOjoYxREVUSnZMIH9o++CO9c2j11D5L8kXMEK1
oj0s1RIto4KNHequ603qj37tO29XsOmd2k7Dk50N0Q7GOZvZzaVU7y2e4OXi6TdJ6uq5mkCMLN3K
5AwT2flqKddVPsw8rKoT6lR5eV1Ju9X3iy3/H4frn6eD3/2ok77ckLJf26nDSWGH7eEh6pqOjCch
kHXduS530eXTIDcsYT2dsLbvrVE9vx66ManlGQfrVkj404vVXNelCcq/Kd0gu+tDSFpFTltjty3H
gWec7kQCX+n7dS63KLneA8YnkSvbVUGThzRrKOx/Fz7iUARjyhHG39k0VH+PqpY6ypngjbymVgD3
fDQ40PPqaKZ1UwdhaLs/ASG3rU0eC4kanrw3zT73eZTpIGF5ZsBuF1fRKGBPnEvcWS4yR11Bp9HB
mQ/9x5FI7B1b3qY/5Cjxz0pPbD0mkPvSXCNC4rCuG2kKa/QO1yUR0rn/e8ClLdf5rqIw2vIY/sv1
l75hIvsuYRcn4Upv7KBkDtpXa2BUX6dXo5Vmz3tAo+bDtjVzJI4chZPlyeLJhpxgabfPhzLFSMsO
a7IZeF+S1cbhbZSuSXZuYm0l6sKmwVwB498feDKuyX0bahj7hQ3d6KHmyYRdWCrTYyoBwM33qUqm
HvrNdqir45LhiAVPxBimggN6NvWK5ylJOOpG1qYoGce2EXNJAoM9fK2hbnKVYmeXZ1EAX3cte/J1
WmRy3Izd+XfdWEPPoxpi8WAVSZO/6olw/kCXktI7W9apro6dRY0KO2ebjkBEsAnX3T0qNFJ8r7Fp
RnSuCm1W6XMIqjF2YzIcrLgyCd23b1Mqm6E6wOSb19ccFUjZc7Tz/eLE3bOen6o0uGAgO931W4Aq
FgvRFgg6HB6MJ4NvOQzXJMZFGqzdBbxLcxj/ZudE1PDkTPZNKhxgTTCvl53lOt+GehanTWGOekiG
SrfP+06qPsVwGIg+w4h83g9DVTMCSmxt4P25wuzvS7rQfrjNdotLoDoO9a7ybVxwmQ9f1JgT7KCW
hcLyD/6vtH2MRKqSMwArYr+Fn2KEW+1wAVvN4pl5WSvUboUG5ulQciaArIWd/ka6ADUzauVsfOKx
jNJjXc5x+w33IOnFMxsGmOtxbuNhfhAaHunPkGdN8twajjKhbAiH+MbGAWzlo3oT9p+m7+BQfWQq
GNjDhKStT/1YG3I9yqidPtWBTEOC6U1USZxzybLxIVxgFf6NtWWZmrysMlkV27au8U2oGjZ8brfE
xAcw70NUo1cbjTKgneOk+14uWyUquNSL9FtMk2n8hOpyWx/wuoS1C6USg7mHqg8eoBMZAvZ9aNUK
L0iYXZpnYcMoOow1Mul7yzDMrypB7MOShdUZ3pRp+y5VsKc8hWkz1h8meK7a9xtqJAh8qwm4Aenx
QiJOrudt6fsfAi839W2bTNQUw9B2ZTGRLFK3eoL57qFllJEvaUJY9k+0ifIBJeTBDZ6R7HdUh0gY
bsMDuwIgKDjujU23G5g8rPYK8CD6ucsalh3HDpWOj9zUXf8QVWUTXW9wuDUnGE+2+1VmVJgUPNlF
+ClMSlF+qKesGg+jWQIwEdswm1GHIhMY+cGdNlb3c2iX8JqOydh9hLNGObzTccbrc1iLgR+XvV0x
d25xquoz9NORup+yNfnegQnQH0rc0mzv6j1UmErqYd9OSTwsqjqGeK1ab0ULwPG5rPSICpWAr9Vz
nc4Zu5bjOCb5UgYq+VbXWTseqn4WS5unfVSGMAdidL+eOzkvxwXm4sFxmXsS5X1nt/ELXTL04BiH
VQSc4Y5eNEE1q7zdg7k/9RckTw6gnRUPcLWt2SmGg/BXEpotgf9Z1YPLCSuI5B7bperfEinMD21X
Ewmj1S0ePpkJ/owAHEkJ5FlOhbXN9bagSvbZwJ9OlXk9LXzHfG/HbRjydsEyveW48V7n75teafwX
PDIUFgQBWk32oUMrlw85LlqdYOKIl85TvxEZ56j97OOiy6JMnNYVbrEmr6IltbfbDu/vLt9h/ZRd
haXBHhGVbHV9PQ9mCHKrmiZ4SmKhyLFmiQ6Oc7hG2ZEba9u/VGhpe7UudssKLYegPMKdvTR3FO5a
78Nobpsn3CITI/Km65bsDGp8tdxkAieYB4NbiPTMRIP1binLeILOm8HpWFZhKw6DVdFyYKPiAeoW
1Fw2G6rn7Bx9WEIhUYzRs2V53+whJ1cDnozbhwGku2bKV8PgcAOueD5tKouuI5rNy7t4noL+b9Ls
aXeXdHTGGOtr2dX/0C61GAkSyLb5NFRps57xl+3tKZaCzR8TsdblzVw1Lb1GEW3S3WtFYIp1wnTU
JUd4GdHyXwtUMpjmc93GV/PQVBW0zShiwhhJwVG6qdvFjFcwdqXQDBNoiMPTPML1MF8X05Mn/Gb6
1xrVy/61AzQeNekZqQd2mIBfrA4B5qfysJfj/tSSZKFXaTai1iXue4hV5arS4GBGvTCs1cO2o4Bk
5dEBDwpp/R7djeN3+2aq5iroCTzt86YUgX6W0g79DaS7tcWuqLf7d6wacy/ASA3D6PHyUkPDA7yo
ub23YcbkjJnYmvIaNspRBtBsAkewuw0T8vQO7hezug6XOluu9gVG4JeVe6/BBKgQxnnOlwxZHoJX
V1l43E/NZswjzfYuy+E0liZnziTmt1zQrVXvwiVKp7+tmkfW5t2y7vG1YTTcHxhGf/25nXd4xOCP
pEP5TuBqfPuQCgTxxhJ4OR97quPlCut/MFYILpHrabOcbxU2T8tg8TFVtZ7XTQTyI4/MIt+viNl6
M7VQ4L1r16aGY3dbD/PnfeQk/iIJN6nMQQgL+xGRohfXbjBTw/eg1rPs7wHkFfF16iZBcL4CEJEe
ZEtafiX5Mhvs3+owhYX4FGiDpbDbsXxgtwdkbBLEKz/OgDQMBrJRHnwDVd6wQ4hFvb22ehLPXGN8
n0S4dcmh2S3eXyTv2aeYQBdxoCYt2wPOooyfjBm4LkjH42TN6R7K6WGsYQ+d5RHwnecxa7vhnspx
C7o8QQXW3+0wLfs5jhq2vov6UIG/i3fW7Jml/Vaf1w5OOe8nUtPP6QyXl+PMSlwFpE2wJA+mH0t+
DlW7kXd4f6L9h07w2d5GbT8NmDAZcgOyeAjV0kIAoqruS9ll435IGaveGyhfgsOeNHL9MNttQkE0
6l7JdgDGsBQHnkXN+E7MuGPKa1l104ka1NV2Z5SoRae0pH1/VGFJ8CWauovumR7rDozv+bL5SaH2
ratDlq4xOUo9hZHOhd3NpzbtQE3KrUTh3/OI4jb6VzUnw53qNXZch7pqg0PUggpnDpjd15xvCV0+
EQ3swVWVbCPWe76H2KZTFPCOS24oC5brBl0IH/XQL/xA4mQ6ClPrvhA7Uv1LHKptPRMO92U4kygg
zyLW0PRIOygx85lG9pxhMdqWXMVlOz9oSKey/iATybs7MZfmXWouBqhWWXo7p6kITykcbHYso9hy
HJVlmPa3bg2qa5H08fKsYVW/fuiVjg64lp7IV9OV23oot5pdYbsWn4xAFc2AV7dc7W19VS8jwBoM
ddVYbOnB2iUb8wFmSP9D3ZcsSW5jW/5Km9aPepwwmT3VgqTPHvOYsaFlZERyJkECBAh+fR+X1P2k
tFJVt6w3bcqFMiPcw4MEgXvPPQPN9OSH+wL1wIvtWHQqYKXUJVTUo0rLIKQFPFtlmAxDXNMjt4X7
iKH+qa+Q0A6y7FqrVVyNXjjd+hYWr2iBIn1GHnu4onYK4unWeBJMcr2wlEJGfgUIHWJtpItGcCOH
kvfKTTx8GqxXbJqwpsj27hZ9Mk0rbgoLB/2swTJOyTLbNCzzah/HsTjPtHDHIljaN1eY+kFE7ZRW
Pr1rydQ9kVr0Iil8qUA7mdumGZPFr4RVSYFq120d4t3cnpqweKbBIo+6dlxkWM407ZCOvWz7qSZH
B/pi/GQ9zh6K1oK1kIW6Z94+75ixbZJj5XLI5F3pf1Q6d/qJEEpdYqoOkfEpDYx1WXXxAzi0bllh
m8KnwEkk646jCtHHVNFQZwU1gXc0QQxBM+TT1j9OZZCLa+UtSm8NdP7+80rbkKbCxUaf5liS4g2V
azduiEbi+V5WsorP9YIA9GQuetMmNpATf47mVvo3YzRHcgObBtfDkkDR8jB4RrRfvBJZwnVKXEWq
zFd1qZOZVChFhZ5ZlU4tahSb5JEXRW3iCOLgvy2cROPZLINZ3xFKZVEOlZoTrO4WzxaRSQ3BUL2B
i04e7ibeVvXdEqD33wx9HHVbzbDvZOhoCnYYL/S7zci6MLqBqKYmJ/BnoyALxELEIYBsavleQR/Q
3cxKc+mnThSmPKpRRT5NYCjCMZFa67B1d2iNWYguGJTN9aRUq7AvlD2zwZXs8Eg+NGhW7ZeGNOIQ
I28bDXJn2ZdARY331mGmhTZ5GQhSCgFClylWB4qlJJ8Ndnc1zUtmumLiLxSafv3MLfb2V6VGEdYZ
YaOH8yrviWceqF1rpNp7YciiROt86lKRR214rVa+uO8x5P7tx1RBzbbhNaL+7l1bLgKGA2SYbvmM
j4ewegN3152ovHC4pXjKsCP60TRybE/lwgAWlj3k+/s68ku7j5qy8bssXieUAElLKS1gAz+g/0DF
V4+pM/JSiyDGRdu7Wk9TYXeiKZrpuVXeYLZD7WlxUErMBHdsFXbKxrBdzFsjCLRItGyEetO2Gc1W
Fn7npaKZg1M1FjlNR8we9dnVdVzglrAKYkAFlD2dpBlRlI4UdjLP8wqXXBgBjPl5KMJxZ/OF349R
6DSqA7Ku8sa1bZtMyNNMIAor5gj5Yrwets5y4tICEaTzYY0UGrRSzCxR2g6eTPSsrbpjgWXld4No
E75ZG98vM2ov52pSKGRM7HOU2ecK1lxYdVHQRce8RqbpSRZueBEcFyGLtI6DNvErTJmfVbvWHqpU
53u7ZcW63qEOCNhR4wiov1obVTu0AIH4MsDinJUpEYVf3UtDyhKW0EFHqznBIiNRyrGrOnRzHoRz
KyuD6prX1l/TCQ/8UxOQbtPmFe3xqOXzcfCBYFwBr4jILe8X2hytmcQ7kJhXlB46pIhUoaCAD8iI
Ce/7sMjf4GdRV1nRYVOs6qm50tpHZbbCYMQeWsbLVK4OgSNg0Pv7ik1RezXqSLVXUz6r0yzlUH9l
MJ349MZGqWyZPdzGeGHPzRxfhjsNx9m+xPaZopbQWbGOqNXBa9JL0lrWbSFWFjSppS1QG4C2YBB2
xxfgtdgJFfAdXV9bEPoRkcgvSA+E39Nzg2IsCQkY6AdA6UKdo5GP3m3EQOIDKYj1hTkYWhS6xU2Z
na+g6M7rarP4Ea/Zpua0uitGZMNvAggFxu+LCRuTeiWQqzfYHSBBdiJcxZu+DF2IpVmFD1OFfmTn
+lolYY0NVCZmnpBiV4Rz+Y2TToXPkZ1Lk7pOBeh2WNyaJakNb70vVRXk7/xSmuz5ApX5k6PyUzet
jlHuijFAMdvFzbwXyAThqaBT9zkQPLIJR2RHilgQP960Iua/gn9NtOIiOL6Bv2Ueo5VBqPp2CZll
r7LwBPTHlciBDHqigzOSkrDiyFCUdPZI6DB8a9sFtm9ALsq6f4ZTm6jTcCpttK917D7QOhfraWrD
/LMr21UQBHQ7E5670sbjk5f7lHwGiMwgH2gtSyAjdUHOYpga7B1+6dKwCEZ7O4mcSUiNMFuKC1r4
t5VHKdBslB7+iVgYim6FmWiYLXr1o42hRpmk7eblAZ7IQfwiJ2HuPC9WLzxnwRPG7XrdDTn0Fntv
QGO8tN1iNjTmMPRdayNfcM2bUx80oLXRmqoIHifxcBhKIcaUyL6zifTy5hVK3SUZCXQyUsaWnqZF
ereM2uWKirXk2yGHxcimJW7ZjYiV2AWy9Q8xcoyx5/WRei5FQdyNLAaoh42B309CxjnXD3aGxesb
PDjQnCln4/IV0HDEEmocrkNo6xrbgoiCaEDFwaA/5r5+KheKIjEClFAUqDJq4sEelq1eNoEGTzaE
F8BNLPLPkVPCprXahdKXz7Bfr5v7kA8QgS9IYLiv8EGSqDKBnFNs207bZAI2Ft3IpmRxGkl8nKdh
yO2wrce8LtMwZtK+X7iuh6Fvu+60MLa2+BmNp+6bILbtTVQwi4LNVdGWc+kNe1Aomb0DFN1vsE30
/XYipFZZWJo2AF0Oya2bwfrYROADc8S9AByRSzJItNsWpGXjnL5XXlmbtCdz0B49z3TrDvZj64dH
EJuUtIiGPBXrsODxyTkuR2P9TSPiOR1HbY/REKDgLKv+5GRJ7sFeHqEQgL8jcA4YNUQxy1+9FXTy
LYdCxj0BZ1oMDiLlBx+aT0XIkIHTrIAHVDvL/tBjQlG9leuouhR3CoJ33pSozLFjtqZLyzGX8C+H
eZG4gkUaZ6mwVM6HZYhHvmPIzUZ2aW4orxKPwPZwa0V0eQi92hQF0hVHdEzYfJqsXpWwBw1RhkjC
YdEtHmPMuz5nnJ35QU7aLzIDR20fTMwujIPnIUaFlhkrpjJlsaHQ+mjqmueKwukl8+E3X722ADTi
pOvnsnzylxW7R+F5NDhSFnQk7UTYhtkANMykQ28AbSXQ5S1FVkPH5d/Ecpz4HQJBKpM4uEDLzexy
MiQuXGNUMEIG+ps3IVUhIZB6iDtk2Ri2K5207BvFL2VfFApUeiYqaFkat6wJb9vC+jBNlmgKykp1
3b2DgL/ZhrXyO5cQiO0NAMyyXws06hqQAxb1gqIQueb5iDBqofKrcvCr9RDE/tJfCQmcNqEysvBL
l+X06ZOoKq/DNe9BBcn9pt/P3HjhLSRqjOKZmqLVYv7TO7lFfqOdtiAXyS7FVIXM773tlIeAxFXz
g9cCTnn12+5yhyganyyYhKyh+0MD1l3PwA+bFPoKreYEnkNBePJpSNBcEu31+wo8C/NuQydUllOa
653Ffm2ziUjZbNoo4mMWIpFGN8k4da7cohtsxSmPYb8G8mV7iQdDWtqQ1WUllmOufcZT6EQKQTI4
Mfh4oKq8wzwbo9ChOFKzRCtqFi3jPUCCAdP6EbVdAhw2aBJo89Y6G7EM2m28zMH4ySrStB56hyDW
UVJEMDH5LpuuhZ6rwYRM4zDtUCfGqddOYkdDGbrl0AQ84s/wjO702aK1XyR+8SquY9QgSzTcEFa1
y4uH30Z4SRnoaJi3FzdrNKSGrya+ni8d9Cn3hmZB8QW+LAymXF4UN64LFJqVaY4oHvC4AWbFUsxa
CLpVX3Wi/1Y5dNegUznW+Z+TNt6IYoARNEyDhtzWIK1mmI5KDDO/Idg8CpSKvF4/mhLTiLe6tkOz
jYu49yyurox6hCXTqbqLUe7jWQ4Fi8lWojQaP0sZE8sTHQi4NVsWz/wxAD5XIf4F+L9+F1M8N8/S
mwfvdigw8Lkzl0YVjgWOt2HKzAhfY8jm5NQeyg5zLyySWEbbiaHxoRvkKM7jCaLUgth0xQxpQKdb
TaximU+o5icrMUk6o7rm9IyyKFYPfVs305EVkR0O3oww87fI93M/pZeabTsPnTcnLQutdx58GDzd
ebOaK+xxsKFPBSrjfuPmjk/XldIQunTEZ+ZxbcEiS7mvMOSporaHxcxUePobp0rmj5FV2Px75BvU
Zj16K/K1UbLC17A9WFlEDvUUMqjTgC163ruhF9F+Aspud21DV/8ZqCIhx6rBJDCVfgcCwAbSTX/i
GdbmCmzrgqh523EKwzmNaFd7CZ65KyqVizFrJLDH2PoBqNXjtvICzHtojxGPS1pErPHEjYsk2VQy
Eu/1Mot1L+PF83tYuoV2FsD0CmSlDbMI6jMJJqWeiYKr+icr4rk7o7Ct2LYl5SwerMVoJmsLXhdQ
J4Kcelv1fUtPedH2zYPluDAnF/JGHf0ZkTpXBp81ROS4W8ltPbOuOC71JJonNHpVblJ/RrU8ZvXA
O8DWMTzaKj+d8TBLL4X3B3UywxyQcbFtQA2+WBizL3Aw9FWQCgEDzG7TYRSk5gMKsAkXVrNaTrc4
p3sAzyDjYJSG2k24hwiXHeIqQcpmfcL0JF+2Bk/yVqwrO6OJpt4p9HKBwo76cK8LL2M8Hu78mlK5
a2o2kvPaDhC5BqEb9BdbzQKmFc0M65CtLuTiyiSwlDDMOEOQrvxRcZNSABvqrTMxD28H2C6ocHux
eg2AaSwE6et8WoWpU9FZ22Sumy6JclrRazLlcX+IIS63+7GXc5QVxsn+HCr41AAi9TFvHdzE5m0F
ED9IPBUE3hYzSl1lLS8E2k45KokKKeqq6OvCEPN+yteiXu5hyRBrYO9lPq0fUU+i4l02g98e/AhS
x4MP1He8gkB70o8tLKlR2/QkXs5B7Cn33Y2klmfnCk8B4FtCnq4C5UgCfHnGbKVSCmS/UcdXs98p
m2qH4NDDhI9QZ/Mahk0KbjzFzDyOL4xGw7cCZNLr1iAZ+Mm3TaGuJr0G/ZEh9m693G2WQ+sgtEN0
u2Jx/Q6Yz4uymnBPKpi1op9JVY/V3m1QWTc4ILGRXtp8O0l7I7zJRKnzvGDCw8LHCXIJSS5XUEjA
VagkJiJuFDOtB2V3xaqP+XI+frAZSnXYG5DiMA7CBYmP/a59iKYp1Hj2CtKNOpFcQegPiAlBUaz0
Kz+LQuKBXhMVY34dlkzbLbZReCGatq/Mp64XuZyHlXXkZVpmGqN5Gev56BxblxfOOmluLh6O0V51
c550MLsZE1SjxQUsl4vBmYsB5i13TrCjKqE0uMagpIMHA2rjFdDW2AC1IgiujIn+CuHqyBMIi0K7
WahsgNpNY3kPmkSAisgglPm+BrMR5yIyNuDdKAzPxTOTvgC5t/cxzzK7Pp/GQScV9H5xMnDwCKIU
s+9p/gSQVAC8BWDj669AK9bKS6hG+VonBLusBobYDlB7JDCpR9+5XSAPRThQv8S0/AKFtZunZLYI
sRl3ndGkqlM7wj8cdahPFxJkU1SCypH9h5o07Hk9wneYVEU69cEIUonH9ZinMEqOniK82jsZWxby
IMoL9lug/V7kZc+M85shVNMGaME6g9fq5d7hP/J58Ren4nYPo+5lyXxaD3OyupLcYGDVzxnNIf7+
ewymH8PnqIv7buhVu/HFax0/UrP9exygC8HuDxR10kYG4xq8b1Tdc4AWFfmbEpofQ+cGGB6KvGJs
i2PSB4gkjH+lsFurf6Ph/QvDKowM/vzRAYWFGow0TCY8PH9jOVT61FlvgI2gmiQAp9DUiAVgYgxv
FwXoFg1W7fnp4C24T//68l1YRf+MbfQDsazAiGapvIltB6SZtlkFHcEVyINjinoN40fM4vi/Mb/4
KzLVDzyzaVRYauAUb2EIMLIH7YZ8zmSBOjezOJngTgpHkhZV6eL6f3OF/4Jk+aM7UQ1+GE6TkGwp
RyaHhu3MZgTW/G9+ob969x/YZxKJfoqVgoA50r03U/Bsucz/HvnUv1zEP6xqlOljJ4ucbB1iP5Jy
codqbqO/+eY/MMx0EOh+mCnZAoPeYJBaJXkA5PFfL6i/uio/0EPzxVSaiIpuC99TONNNngQlTv+/
9+4/PO1hIyOwg3BdwrWDN68WSJlch4d//eZ/sUL96M8XnU5BZ+VSY7mUTIQfCpiSTX3qQuQK8bCT
iZzBxt5DV0Lk34rni350hCl5YRlshMgWcajkJR4ndV0HgFf/9S/06+b6T57uH/1gWO0iwEJFvO24
KIFAi95ZDFfw36cLNH2OUXnjX/o46OmukvVjvVaPAVYa2eeqmkv0KkW5QTrjx2IiRDcnmqEk++3T
/eefcn3VP/4Lf/82SDT7Ral/+Os/HocOf/7r8pr//T1/fsU/dp/D9dfuU/34TX96Dd7395+bfdVf
//SXDepy7e7mz8ndf6q51b++P5KHL9/5f/rF//H567s8Ovn5y09fP7qqz9D0TNU3/dPvXzp8/PIT
2IXgb1yMYP7zjz/k9++4/Ba//PQ4VXKevv7zl31+VfqXn0T4cxSFNAh8Ds+a+FfVv/389SvBzwHx
RRhjBkkDOHxj7+mRfVr+8lMY/3yZ0oEkg5fATejCW1fD/OuXwp9FKHwEZSF4DEgt/NT+18e7/W21
/HZb/iKN+deoiv9eVYz7NII9DN6QApeg4sfVJfvGw/Q/mPeAhl06NzpMPHthdyAZCnOwV45haWKW
sk2JatxuHfTnEoYYbfNXjIz9+xxl6IaM9kNjApY0F7WWXuicoUb1kkWP/UMjfXUCIapGyeX6bDVo
FoBL3FHpNRmOx3LfI8UxKQp5zeRl3lWBOucG8joIOW7B1ruH0cpnJ9vbwPUNGjWi0l7gUF0bDyPg
6BpDV2TWD974Vg5w0wQXYdlr52iCawhvr6Ewb5Vq996KyXtbmzLRmC8nHS1uC/RHWYUqF92NKxK4
ePdnyTF71nW8HqUn6bnsc7YkEkwRAOete85F8ehXzVdbTq+NrzE7MtqtVx6gA4zwljzTwwz6IyrC
pAbt5b5z9a65mP9KzHgPYUPm7Zq7IYM/uAfUJ6i0SNjsFpvUJJi/BzOGrq7AmGGK2F1MYz8VstyU
o2qQpEm6tPfG/oohfCTFaDZ/jwA772k8wQVVwSNzgukNhu2CHXCWyaPfFvQdcOAbsj3LNOrWMZUW
9oShaPF/qMLfZyq8q5wa/yAseGqVtnUGdXd8tcL8ZEu64bMOtN15YmQ3k1+LrS2iOpnrAPMdf+Bp
w1i8AYMH9agYp+PYLeE9V+uHBIySAuEZbyz4wK/R4F4Bj5UpnOOw24vaTzrln+OxmTfy4t6C4RFw
NNN+r3re7Nkg3hA802TY+ADY6xbQmA0Y1HSdfxwYxQLgTbv3wWI+Vax9rCh9BO2lPgImxxC2WKpH
lU8qa1gId5WxKa4Qj9PeWw0qQtCBdrw2ItrYqlQpsLInZKvnG1gLkCuExbxgvYrPBQjBxvcA8a3h
MGWdLruNkeox9/LH0i0birDxxF/Vcw1GZ2Z8I3aqR24C+NdfWpSaGI6o+4DIZdNo5BPROlLgAAz6
2S9MjyXK7yEceQTX67aPPKxZPO+pAcctubjEC4hJfLFbwI7Lr+ooHKddt2L00+cVZnyFg3QgRk+w
CYjnZeXUtDdChe1miAt76KpAbinW4A3wO3PMi7gCw7MEbFKW2M4EmMJaoptFoHGKbKnoRPqhvodL
I1oS4HuAp9UzfCGWhw6Mj6Ol3N8HGpRoHdOnwK8BfFSmewYWVaW4VSA5EQcSYlNjOAdaeP5lGqTZ
5E04niutiuMKLiLma4YhOCEgAETmfPocgANlxdCDQLOs4pp28XJXLECl5BID3bCwoAJmAHiaRzf+
lKuMI/gCTBBb3VnwTRMn+Xzj1zC2BXNj/aad2MNyf0yoZcOe+zXgVLkGdznMyLLZq4oEHgbDFkNK
mfqQHWJEWJRZo+0Fz5C82sMKsG83Xdv1iUPeK9TP3vzilKBPczGz/Qgf4BeEtuap57N6S4xfwwYF
xGlgKO40MlI9CfCtz8UwUgDaZA3v2zXwrkUHZ/4OXrUvsMN58ctJbwfgV4Uq+j3SzW+lNuGnkaDP
VJbaDL5vak0iQ1lSLcN65CVmgkLJd9DT7Sem8t0NA8J9FI7avdYcozKMTFKPtc02WIsXsOrltTdx
QKtdmDGQTgtfpKLv/BScugEa+vG0AJjAk3uBL6C8hL+IKdkpbrv61q65POeBrm9gmB2kgz+D3FKZ
XQds5aX35xnjiG661qOb0xK822yugnDTKYfLWa/1E9gczRbUvPU+L9e7hfSg2IPimg3OVgfEIt/h
HPIO85CPW+KT4n0aunUftHD0hTU/wtP6JRnCXt9AOUsyztcKADefsz6szgsvm/uxiIc7UvugS1Yx
cu4CBjIOEi5BO+N55lbAsli74Fx6xJsz7Y0kyyve7fypmc6Lp4cE0AJLwAnzM8Mi7MLVZTBZ9hn8
roI0FuKum+i3KuQuxZweHjQCJILFl9GmMbVNo1mt0CEjW7zLG0h4+vwZxF+cipfPELYkgruSFcCh
RfjCDZ7mloQU3mMgJTVQV2BmakBKu8CS9t0rZkwU695Oj6Hk34mqrzo7Y/cN9uB2gG8W8hsDZ0Ow
/zCsympe2vvQlvPW8AZpCV59z5ZAXjH0+s9ScLoZQ2I3GEg+dygBiWfbDNPTqU+pJ76sK123o5Af
w4IFRVX7CJIziMBIZ8761r9ezXrVCei2cdrVT6iTwsMMh+V0utxpDuu2bWQKDJY7bD1a9B99uL7P
bHgzDGZtibdGMAYJWblhagBY0vTVccmL26ocpysOS1yMFcK7KqCArQCPXQZMYcZnFYOf1cMit2aA
h0wzPRbIWspWVYw7qmG/Hy3DV3TUDyCmNVkOST/V5B2M1b2NyUc39ySFeTLo0BH5+LWA+39dyF5V
3yCAGL7rHyvZPxW//x+VuyFqP/RKf13r3s59/fX9j6Xu7y/5rc5l9GcRCfBhwwhEeNQlaEh/q3NZ
9DNHpSU4pzGLEQePfu/3OjcKfyZBwJhgnAQEBeh/l7niZxKHKJpJRBgQLjRV/xdlruAXYOIPZW7s
g4IKd/IQ5TbBnx817UVRwM63h2X1PCNmcgqa+WtfUZkUPMpvo9ZTJwB2Lmu9eDj1BuQt0vXFYVp4
fYJPSpDOhPBn3jvyISYMGcaYeVsWICEFs/rl5DV9uVljj4JVSfJjDE9v4OHrVzrHtwOoMtGMk5Uu
3cnzWiAlgrMLvQS7mKiuL0TT1KzVczjEHznm13DL746NAnYUdi1cRCK/WbajnFmKKUS1qWoQHFqQ
PTgA0rI9RmvcX8nGrTd9wLpvM6DvlHJK310Vlnv8PHsjhfO2YewVYyJpXDyHviHp5BmZxmDUZSBf
NG8EDEVQbfBT8y4qugQuNvLD+JE5xNCLvYCHbQ9eP0Q4WED7GfvuTlbN8BXcU32sA9cd7MSXm9nj
HEIqskSJUtDzJc2wzLdluyx7D3zR01DY+R7cC7JgmgO+XAnHvickhyQFsMsHEN2La1WCohLmSLXw
OnYbxr15uohTPhEZNb1WYMDddT6Gx4PPxW3FQSEF8wy2FjSvHkzdhQcRuuca87dbRH8GD1Ezksup
M590l1dnU/L+GZMSfwe2eZSgwAIFoWiw2Y2gWI2yui5L7LbJWAXg3w2WmYdY1B0akxJhLOAZrPAU
SNVMx1daORQEsZPf6Jp/d+BugmUjlpcylPumJMd5Ru1ZgWt/h13b31S8bm7BiRCvl9LtDApmfIq6
KTrMgOw+YgxAMLzEoQiEvCQgO0fedb8Ckk98ZBp9w6Rw3EledAe1oJZryskeOwhnrm3bj3vWxl0K
9joEB70XXiH24hNOREH4GtX4yX4gxIPyuuHYEtCtMBNnBIwkDPLXwoFJ0nmyXxPchO62oENzLcoV
QbWYUD6FKxLS+hb9DA7f8SVQq7tuncih2TH+2YWjQRsDsVfEjM0wUADTL0De1OUwAxuwHKTa+2Ue
ZXOPErH16PfZxvwazE6NE+uiVNLjkpZDuBw0HuZrKtgTytUxEw0YElXF+BZMdvYoGg/Ibdu1Xyly
mnCEVVGVEurlSd4UwaaeqErG1bnt2nvgeLt5SD0whjI6D/4mXi8lM/gmVx2FvC8cZ7Zra787dCu7
6RdU1sicSxhf5VXO8zgjNU/BoEiYW+RuLUwCglky1TmojK5PbTi8k9LtgritTgUBaVAiX/5Ogli+
hbx0wlgwTOKgibc0mChAfhBQLm38lwaIqAEXuDd3AXhh97SXX2LavYPisCGrOquefatNT2/XvIGe
0ZviLZCsHJvP5R27CVReAD4tmHX3VsX3PKhc0rWTzsYxdw+FqEBssU2f5PBcSJeq+0D41/VUrehU
dNinAayD7gcwUl5KULETP2jW3dRQ/4YNtU4HaJ1Ofg11zKCieINhEfvUvMnRR9DoCvN4PEw+CzYA
0sVDxEJc1SUOsXmIJVXGjOlAhnWLdQxaaeBsDwquXF4K8HIOEatRH4Dmtw19MH0W5lVwRDJI5B5q
dwA7HqA5PPmhJ1uLFfb2+XrLi5VsC+Rdg/dbsMTlbsmKCXfbga2VkhWc6gCpMbtGQF/r5WxIpJvj
XTgTSD1iGr3LOihHfPfgznryAwgf9XL0myF/cb23pmZo5FkLa47+uPTHvgXcARpy/25Jr0+2DP2U
i8a/x0Muy6QqWQ7a4UgrjPps9ESrAco27VrIcODKYZIcCvFrVWDj25QVj7a1qaFoymnxsYjuKbIj
TB9ctfNaeLvjQuzbGFIzHBjk1fTe3azstavwm0NTUZqqTyfjSJGs8OV4nSBNRlfC67R2Gr3DUEN8
B/KLA7JAyCaaEDAG5iyefw2doIIuYKd74t8q1kK8MbdJCYKk1+cGAhF2nmsyp3MEoUITxad6hbwT
1NiHfjXLiQw4u6HrQYRe6dEq62b70fCo2duhCLI8N1cl9OQ1kKSsqb1lC5keeO4KIQp6sOsumhFp
GRHs4CQAIWDJo3Ezd6v5FIW+A5PwCe4RgDkM3gAeDNK9SngPT0mRdxAtGZrHqUJCduprH2wrREFj
GL4mK/Rgb1UryL1PW3PCu6ctN/vcFF90g12/rR6jiF2HHXQBHkazHSgRG6U9PyFt7qXwSijPk+fX
x2Vo4gODRjGFowJULJ2Ivqiothm4Ic0Bp8S+17kEuR5x6w7sPJIGBqmlv2Z+vC6ggJ1AJdY3rHPy
NHhMf3Yi9jCjXC7HIOCJtun6rQK2ljGQt+4VrYIEE8gNpu6vc2iu87o7zbZer4OuuBqmMsQx20JP
CAEH3JLHavAhqcSmugT+0RsBYCHl/BwtEOwuoUnCUkO4U0e7oa13E2DGRI91BLJmg8IYFCUMo22y
LFyew//J3nntyI5kWfZX5geYoDCjeKVrER5avhBxb0RQC6Mykl/fyyuzu7Ma6BkU0C8zmJdCZWVF
XL/uTrNz9tl7HeHH8JGybwsWKPp3lfMuFp3dPtJzKHStb29y9E/qzdFFTbkf6kjaJ9m3bFsZNRSq
dV3r/nPhGvrOFtOnGzfR3PKkuRq/JsX1hg/k6bpg6ik3AxqTYM5L+7rvTt3Po9mv54aMpQFLeA1a
v5VhylrJF44eXEdNNO06VYEts2e9M206w8Uv/PWg22w1A4J/NIiaHkrSJyX7puYoWTtJ9wQbmkta
+be+IfE6lL7xgsy4rJqaEoVkxXdBBPGpQYlcGZ3nbgdRcHs7ThncYxx5mbzxjo6jBAeUXPq0RU30
MW87w5vVt88tW35Cp8qde0sG9bZCWN9y7QU3VVQm6WY2C+8tk10R1pQVscx/Z4nYOXW8X7r0hH9k
r3s9rLUWVbxeRBnjDHTqchMzLSm6bFMTHd5aptrXcrhDV3jA7/qbC+1Ft+NXJ8VOTbgCmzhW29gS
wcrNiPlKOlnuXaqwKNnIyvXWmbvgpu8QAqMOwIMzC3UBa415Bfr/Wk9et2bB1XAhN8N2roa8EuaJ
rMFSYDpPHL/+eV5wAoW4pcSGEr46WBjCHZFczDpPT6iIxjodsfOqpTPvqeLmR4K8y1aMWt5Z2HRw
vyKzUsBeF9+dBj7olSqGGzfr6qORYFzupCxC2dndmm45OEZ22q8tx5r2jjEy6GyNzwz78n5WRXHW
/swVHSl3g/GzZe+CO63rJZHnTkfWHeW3OvreSJyk1vER9+mpNCb1PmS4w0eCx8T208QJ8/nq4EID
eSCY0NwGkWXtMFF9+kXF6w3aZqO5fcLJcw/KSOdVp/o35bafaqzB3tskFufy2mjm2TEyLeNVpqX/
hunX2KQqMZ7Jkq1Lt4nZbTmnAznz0fiejKjcUFG694QI49WUVRjrUHi6o6uQInul9rQW7h4Losub
WsbnKDaaO8/nkorrq6u8Gl4bvHtYc/z2vU5ra51LdU3Bu8rg4HHwWum82+KSaPnupBEyS3l1BQTG
1vVYdbRIIXfEEaLnak7UvRnb/lphPH1w2sa5uCmOAWow/VDbRfXaxsSUnZLFPzgr5wcbvD2RoL74
qkvL2ync/z84g6LdxNq1la+ooBsvE2fbEksRLuienym5qrMcF4yVFpyKU23O6WMcU+Uhuqn0pTML
rowCpLs9RPHFwt+1i53SvFgEF9cDMd/QTbruEC2ltTcx2H/g+rLCyPbstTZ0+SUUWrfhN/JlxusT
kqggaoDM8h50Kn7IoYI8kpC0j5rFK1x5Vjry1pNAaugENjwx2YoIDJdrldwjX26XViYUbBi9hiQS
ewPwxsVzxmjlalVdRNd3p9KU3maJom+N9GKFOEXdbVXMlG6TE23zxfXfrQlJNK5K50EvbreZekud
4i5zqT9duZ9xtH3QssK+LOPgu+kjSAA0gIdk9utbN07TC2HadC9FT0EuKnWsGb1wa4hgO1XKt1Z2
epcbutoM8TVZlwbWEW8buVU7yLCrtrelmTCgm2QXjl5fHv0l78E52MGB3JJzxgWU//AXVaCMG++U
e4loiarWUaiL+UdGaKFlTqqTHQ8I/X6MWRXWN39KGoox5vwsqugUJfGFkAWVoxXc2M2Myu7LcYUH
O31NjWxe66V4rwnir66bqW6aAclNLtmWVTXzCgOKPl2bfKYo1bfSbALzy+CE7DVvojZBwp1V9pIk
tgE9dMKak/DMrQtCGaGrENuGobXOghIMNIFdPZMptCJ6ufElNiWhdWU+ZnMcbUW0xdC2I5CcH6Ny
vM+0u/ZizeEyU5ITEzdia77M0aKwqmHRd+bpNhPdL76euJCmMiPYOC5rXMtsPeiVR8/til27WA4O
t2ugVjp8UbGDwerI3NsB4v2SmJeY85M9NrZ5rQ3Sba0MA9XfgCAi5mjvZ2WxzkXa3o9NQVwt6dR+
7IJlY8is3HNTZEeLpHuocM3eDsssdt3iQQ2R8Q2KoxnzZ5nxMZ0G4tdE6bx1kmc2G2frqItA39qv
tk3xJOCEqCILx6IuIHQwJFtR+O6T+pz7viZbN+pzyVFIkM+YxkeIFdV7Gdk8PA6Rvd9tVC0G5G9S
L1df+WSuzDFD2rSMh0nIsi8Prbj69HqwGJSZcrzUZV5dsj6zPrgB20tjFLS5ScsLz3IsV0tqTfHK
MoK3wVmiF9saxEaNV2t2n870p2VFtLBqc2vnlkG/85rYfWirKT/OvTscJIO8B2cSYjeMdvvbbbPA
XLvJkL7XIIt/T8TBSZw0PIwjhydvDe5nwFGHnhe5D2xNkNEV+SqtryZ3uxVv9NL6ZRzS8rFXWlyY
8LBIjVVEzAfM9tbhM723S5sXs/j9S2zr76bI7A2dUHpMgAfczhb/bZiiYIWPZUQ3kKoIu8qwbrlt
rU0pRlx6UVKG82ycjYy8ZF6IeEs4JwHWoqBgFFaQhTaBRcp0FnpezCbwHr1iMjZBSaAYkaS8MUtz
Y7eLjx9GcmKNpODdmTX1QeuA2+vrJzy7nzj6bpYZp1mm0688F9nBU+0NuXoHE+uED86ZXjuaH59n
mLzUfDME80etKuOYZknyJ97pf1r3/L9I0WQvkv2/EzRp3T7bv+uZf/7An3Km7//hmOAvsACYXHr+
FRP8p5zpOwz0+Z9dAhSIk8iW/yFn2t4fkjbWDRCHbBd59G96pviDnyAchSlbOiiDwb+iZ2IB+C96
JpqB71iWJaQUAb+Sv+nfvUWKfQ5dFZTOroks8ZTFYlkPc1LRYFMPjtk07EbWuyR5OYWYWv331CtL
OgRkpLDnP8SuCiyXDIXIX/kupZdqhBNiBRVALNxkSRDSNyTkCVvXfbUXjXVV44k+R3mCyp8z1mf3
4+zuYq6J18Bx65+l9vrXhG4JUd+x+1vXM6Y704+JMXWmwZGG9V6bvn2cWmKEtL3qJLqqPs5Wx3w0
qPoDhmBvWlvcHK9M9WxxapjonrIiQAlIfVE95Wm0mIc8FQZiBX/QSgokk1Xiji68oTJ6nuoM/6U0
5MkN6vEDmxiwoMwg9LVS3py+kP00nyM562CLqZXf7dScj06RYXKKi8X+CuKIgT4ErvrYdgROJP5V
BsAZ6ZmMGvpslhkJqbYOOPZqryTC7zrtvdGALwnLIZ3vgdZk2xFawk3li5ybKh+SHNMo6irz2Jn5
fpEaD0RyI7KMaaQ/G9KYsImMiGOnM2Z1SaZcgg8xoUxtIw9JmTDwmN8jvc0HF2rLdpiJtoSVIsmW
6xxKFMOYMwglecgsK2aTjiBYVHpZsEcRaVn/6PwkfeGhmyUyMwDLiHafGbkawjowB3819SafLkZ4
O+c+KNMPUCI55AsoUKykbLadZ3mPsja97eg47dfcF2nKuxENu8HInN9Nbul3qx/do9Fk8UkmXX3v
+rP9TFvU3pAoziSFrIlcLhszMzZIJtToHHZxt6IpRyeNCekV+RTcQs1qNooRUryStSiP81h5gOwy
cogkTO8XScnjZIbeWO4gP0qiZDSjsn8UJjvu9mxFM+/TxaBN9G1pQsWQU3Ax3SC5bVwT4JaX+/2N
REk7S+XZB+p+epooqocDoz27DCvNW0rCIC/33HbZfRoPjAHzYJzOke4eS3OJPoK2yo9GLsS715bu
yTPmYh/brc3bVFvBpR14o0LpVdyLzahkvapwdDP1CzKDYXfdeQv1PYscQzwSzqEbu3gOHbezAeyO
7YNRM6rz52xj6tRYy0Z9NE0ZkRyqS6qY0XhRop1WbVAfTUKzW2+IakoccdvnGA88CRExwP4QteI1
on8tB7tDNPJa9xoCPgvT11/kmH5bRqsupds+qrb5CdIuWkUOYaQAv3vTYIhYmBiUKl57ktYA8CeR
Q9vd1in4v9tIlnzrXc+b3K227bwiT9T5YSqmOezrbtlNAOp69IpBHulrVtp0kAOhrDjrYOnLs8+A
aMNjOD5XhA1uDBP6D+lFFgkKwgz3vRtFTE4w9FB3mAatfGxM/sdAtVOFPdnWka9rnPzOK87ENaeJ
PW1qmE4BhfKUJAhRvDmhJws0qsrXvEh+SJphzXCRdpC4rXHWKB74UHwv/0qdaiBAROoauU3ytein
HYk4sTNHgcYZKwT1FrVh1PQ2ZcxYB7BMFD17vLWroaeM0g2xNeIJZbvOE0h2WIRitamyftgSTF9u
sIKbj37WLh8+oBGHsqEdT8Sna4TRKL+LbD/akr9Of5pURz2iDowV/C7mvNUzWfzUMfQULoxXw4pt
0++NKMy9yonlQwTN0/0cpSSgQPVQoneefdO6cAmcPEj3gYrbN2EjwkTtTKg+wrReNnW/YUnE+GgW
VvtmYMw5eqWayaBlnrfrBkIAvP/dXZaZw4hPWQy/4glnBGO1PcuiT1aeI6maefHW2nF3iuNpP2DC
ehyaMT9kWHIeSL7Ety6YrVsbgWrnV5Vzp/BUpf2hHMf5zuzTdA2cYHwOAmfc4qWvwIRNnjoseWNc
zK4ym5PDt+lWk5w6I7iQAM0J8RxJmb5HQdC/e+wme1HpUN/wNuf3Zb6Ij57ajYaGAEeDNjFGtzEG
rDNrTiAj2Ky7WmdDj9/H74NVJ337JimXalnraEg3IhhOxbyIVbKM5PYMFpQyGSOnGRR8dItmQ0ex
lMtjtPRYSCMoKK9+MDmbucFaXSbCOXpFubjhUCzNqnOz7Iup3HCwxuEqIRL2fKR85Ft2/bO9NHXu
ehzj25g2bW9bjfvb0owT3Cjm6PNLe145VYGZqrAmDDXCgeTpdfhKQhEXiHRc902rSAlaLqSoXD8k
QYda3Bus9POBtRyCZY6hDSbNKo2i4tVgY/tzT1bnvDC4zUPLU/axEZEaVlXiWIfYdL662czXkBZz
Bhs+y6iWOmue4Z2AwBOUHvgjVOudp8bPbmy/m/2w42yVSfkJISDla5xnl0y08a3TdKTNoyWi8S81
bCISQOQg4BA5xmaOq/reE77VH7RKl6eaQa0dTjU4RLNr3Rc8WuMzq7W+QALWyy6NOrwvceHcYoCJ
v4mvxNvKTXr8OTajRTzoQoRCB0w3Csd+yVpPP3kcNZ/RxDLbVWWPGfhFGj0Replsnr05K75BKOUI
4GgxqHsEugmkvCc0YO6+zZRz26uGZAmH6ISWv/Fr9mEsjRzfgij+RX5uz6PlnxTp900JOzKEgLOv
lPVoLnzOc1br40xKRha4nUxiMCt/0MuhyprZhv3BQ7Jn67c8TVXmPo4VyyyMbrAhtQb9wU8yig65
5B2Ti/IC/pIPCr/ywSYoslMZlynpUCNbgzIp1pW09T22ko56z+RqxS0GLjTSzxDTwFYvrObDdtPe
FZ6YnnMwCGvQjJImpqIP6Qqx8WppPPmTt5kE4jXIHf9eYyy8tBq9i8la9mrNUAvHFidnO1bNFxSa
fIcyVW1iyq09DJDgjRTWfBtZbv01dva01SCVslDDiXhsGeDt2W1FYWJ3ewgQyTmph3kLy0x9wJNf
TpNVuz/E1qEQRvK2sdsUkY/rvrKVhcVjZg9Mmvk24LGxczB7jUZ6KsjEQRzt8uknikx9XuaMye3E
mrzL7LYcJHqqf9E52RttdOTCCXrvdKnTOxda5RZyYLD1eivfLpmH+S0KjB1rTcuVFeG4U930VbpL
d4eH6zL4Tr+3QPasZwuAqt+zQNub3fysehhl86DPFJ3pOgsqcVuMdrGPGo51+EUsxWITneml57nH
cg0ZobGCWy+O8f3VTEl4glPvoYYG6KxUY1rbRBknzkQ8bHaRJU+l4lwN63mq0pWpBwySMlDLyQOc
snXgGT745uyY74AtfO84Rt0E97ABPc3gVPxQZBH6l05pvXBJKVS93vr2pI7VccH1xADTz4OvcfAt
C52M26hD3X0MCumBbhmWG7MzbmBjyweKyflIU5vgOuhy9ganAdUcBBP8PxlCKuMgtArdSuepyK14
D7awo6RkeqH77OTIxr1wIvQYguPy7Mb2CLogdtI3chbO2S6ZDQCYy5dL27PCIGxMso8FlfVjDbzr
zPMqB2ov2CWYj8b73IDYFs6e698Iw+pNzAvVYhPbFiYWotxqGZlUxePCzBkZkEjqe5Un5dnpYFxi
87TlxampUOAuwb6jWGWvUMKE+y63e5ryruwi7JZSp8sqV228bOLFRM3OoyZ5NfPEOrVNA50vYdPC
MfYoMcTQHeq8KC8jWlUBqLG8sXHr3bPBFnfj5LEBZ5WVVfkFB8H6FTeDDyUi996HxBoOvh8Q0HVd
TBMrIGV5sooqslsE4vGNkzudqrVRk3XZRIv2nxgTgELCujZvJt/DLdJfcYVKAs8JMHdhoMzXRoJP
b86Yl3FqfSLu9mFgkxVPfJHsimuQcEr7HbvC72wlf5Q1xvuoqo3DlEUsrC2Ng9kkeyHTy4JhGJml
KdcFM+BHU7eAG032YEVM0tY5C9lWhWCH47XF8LxyzxuxrKBDVDW1Ia/k6Mrqx5x5S1LMyLY7mSEf
RBrSIl/ZiwGDojp5DVrG1+TanuDrz6HFFkiDsiOkHdTbNutv6c6hx2r/xrE7tS5NY++ksOJoRn4Z
kXPOZQYfRF7zmSgmpNM/+to+xSatmezwleIqcNeA3TBH1El/8PLr7FRbI17baMEKWDoYCseepYT4
XNKRxRb4SSGfs7sB/hJAqOmzHNW6G5I9gJVkzc7y22Xw8jvtlGy1TszlhmdP7BoHyzhXDysU9dyC
MQ5s55hB5nuIGj/f/cOSGSswuQrPZB6KFJgaBgsHpHiXU5Qa87ibLBndA1GwIiy4gJZXRjD4KvSK
vj2785Clq6Hg/fXbwgPrZoCicMS4F4YXvQyWPbx1WdUwLk4KGpasd9PThA2zWS/2ON4XZlYmGzdu
ghdcIdNn78TRqSN2K/dt1IQUNPIt1s0Qb3rsktnKIq/LdNyx0gcmHlO5cR2HLDWhwpCLw3yFVlo8
Qp1odIgpwTV3Rl50R8/zempQH8eD6Y3NK/HXR2fmq2j2/hPUSHnigAGhljb+fiqgKjYk55WrGfuw
+iCQXbBpLHP8tme4W1Snpn8BveTv6bGqnkeuKd5n/GSM3JGTw7qNxg+eLCzHsgHXU5bJrnQndzfB
mmQoQwtnQ1o5ZouN899HJQh9QEmb1G6bEyhtBAbAnvqFGR7KNmTZXer2A2QSr/OefQoXQcqSpQxh
lDn5n8Gy/2ld7f85PyHxGShjAh/ef28pXH8XSfp3Be4/f+gvU6GH1hZcNTafaPyfWttfpkL3D/il
7Jj2kNpIwvhkHv89POPjN/QcwjNWAP7jn1yF/h8Cg2IQkHphVO4gm/0rrsJrDO6fTIU+w6pACMtl
SRlmif+ShkwrCds5gCqWttczTWkFD3GM9Vsy9uMtnO2nwWiNh8rpSZTDi2xO8GEx+4N3z0l0Z8V7
mbfjJ6Hk9BDlwbBBYpOrZQmGECIHFih4y/eTa04P/PoEZ5hu7mIYSd9E+H/poQMXvgTGRtEHcSeI
+q4JdPTEbQfKXlndq4OK8om1g7sCJlPYRXl+d9Xj8xpDRUHahZbY1S9O5uISy5YojGGc4b7q60fU
+TfoNAgAGqB5lStKbcNgco9lCkXRTtdd15B5ntWjWWIBTrqpDh1cHg/NRKxnGHr1KEphbLqYKHus
MTH5bS/3QGAV/o5Av5JNhVhrR8UP8KnqPDpx8st3MVsB5Ol/DUgoT9lglzvo2Fwz+Ho4dkfHo/Yq
J8PiMImsjzyDIOWiam5MKvOztiYNUWoBhrFi5Dt9OBQtbFAOpEhDJUbzvba8IDSjhmrVZ6FXHbaj
vJH9yJBzRh968Y2iOyXKKonpYgkbGcvUw1/7H/7/kfD0f0jUBe51C/d/fx7cfH4l8+f/ums/v767
5J8Ohj9/9C9t3v7Dl75wUdFtNlt412f/r1NB/GFaKOzE465Hgs0D+++HAucFPxD4PK7kF3Ac/6fV
2PoDzd4OAtfl1Lim9P6VQ8H6R0Twn44F1zJdl6LTli4HoHMdEPxdm09RD6clX7rtVAyJWDOMZc1i
1ya3BvOkl0T21quvoJuu2gXoaurM2jr6VUMnqNPssRJ2ihQ6xooDZRZfMs0JClVgUnesqLDR4Kth
SF5ilmaS1jFq/2qMIILQMEqcDMekPy8elHCmZ0/WElDvMN42FfjOrJ2MsKn0E5do+RRjv/8apOcQ
6yqzvS0a/+guS3LAdTbclflU4I3x5FSvuqIvkVUSrHM93MRdIufOXFV9tZx8dANz1Q4+yvcQjUzp
U7eoj3arHqDSlMvDGHS1c3CTpXxsTOg/6wwB7LG06jI4ojNiiQuwEZDUE5DBDnZcwOVlZt98GYY/
zEBeKpbfYCqI+zMVchDQ+dgewrQWdns/A+P4Eq2o010cTPn4Ylhx8FWDfv61WLq29nYbqBKjiZOv
4kwb7jYNgrZYG25ul7fS9yp9XKAh//SAI+rLlJTqo7AH66l2kYOdNvLvbTFLnCXZAaHfMUgEJo2J
E8vHXd3CMD44LlnZUMGViAlYscgsTKYGbt3YYv1hKpOuGM/kTA5n8wlEU/o+oAZ9Dcpof09m511K
L529TeezbC1KdCxWsmz0ybPsflfFEQCiHN7KjndFWKteMoKEmTEG2JObZS/HXF9hT/EZ/3qZfyx8
OR6yjBVQYW9WeMlo+sLagEbUL3FQhA0rCQjtOXG6agbsd2QDk/XgVC7ps9y+ihHa+4eIj+ae/x44
ZUM8C0B/07IeMD7H2aPfUfUBvsnROfl7D3C9VpmxAGyLxTWwUU8R8c3B+YmL0n8VbcmX3KKRdD6S
hkBS2hTjyhumXw47FcMgHo19NrECIKiwLnIB9cm6L4P05PblQ+NkKSs9Wjwocpb3HvL2e9sW6U0M
lMXdINklO9V7/u+2tF1kJtMo3kYwJETCbDnhNkhjxtaesBFtB7NK8lWRFRMD2aTImiNZPWOH6VdN
4VzE3VlHIxdLVT1cQZkbvDlC7URGFhZD01MhxPjeCg+2UIMUDNrNx4g6jl3ub/2azaeg68vlU5bJ
kLwOJss9oGYnXgHl3aWPnyxD64Pp9ckY6oHNpqsaUhA2LNz8cQiRInnrdDpR1lpxX2/BADJxII7K
huYk14r0um87yVbktLmrxNDWLW255dENt+67s3itMXGZkUDHuT+IV3YuKONC1ihpWWySkhqaLFZe
cXl2yItox45EXJ5mcw3ZC03DpuvOedbZyDFdhPLi4YagjqYzgB1WPsIdE9UDS5CYZkFfs/Qrsxhc
Syaxs4l9B4YPMRggLZCVOcA71Cy63vdJ2j+ZWSEP0Dxi9Zh3NfhJMN5B9q3h/pwxN+Cru+oFSHqL
Vby0vFAcxXWWfxe6D9qNE0UtYf1cGeY6ll7R8UVaUEY7NpMUq2qwonFdLsVPC3YLfLWj2eeTNXl3
4Js5DWxAgeBnBa24b3HVXqpKyi/XmAgQicALcAAI2f5yggKOTpnkah0l+DkhwwQph8RkP1eusJ4V
zB6TGR5QpSIX8V6ajYpXiQ/BmtCfAnlqBVBjGIpkI578hZadA9LrVkM2qBpiKqtd4IpHiAoJzkAo
7HkFmL9q9fs4Vv7NmMvqtSbgX4YayOVl0HZ+rFoI9SHaA6MN147ZqAARcO+Swr0Z2QZxFxkwjVd+
lgTbzHCne4jUM5tlKvuhHKtErDT0Yzy+VVwfImUzqWyKiTmGmvEs9lD6JeOfJ6uyndeyd/WWnPEM
6jBwD0OqY/ajcEWWG0ha5q8pHouVY9gsJIjZO4FA4i/DzpyH4MwkwVhVAM2xRyDihomomltCdsOn
6UzTR6ot8dIlVn5whzHbmgAkHrgtU3+nLK97qq1s+qX6VHyxLEQ/aSysMKarx4BjaQq1QvTdJGP9
mA1iymBDJM1RqZyT17e8eG+VylmX3Sh3cCXplTFbAUUCtp0mW78YlzbsCvc99iha10NXdScooP5P
MIJbqVJ2G5hRcI3n9uUHYoYRr2uGhXpv2oOzKUYsqaw5qfdlOdabFtj8he0NDhz9urey7WzxF6YZ
tr6bOjXOA/3ilZAWWyCkQD83a5jx9bMqdEHScCq5u6qxEQcGKSwIyRMSbrXnC2pN5iAfhHfF/cg4
l3ByHtxiobkq9K7/m6u5PbO5p3vPRjS9UE/AwZspj0+ldSW0qpmDSjpT+8Aye/65F2Nwy2vpP9Dd
zZfc6lx8Quw/erA9lRxSOTc9Q0SPUW72DYygeHa9JdvoqEx73D9D9W4u5rKeZG/sMor0XW2LbJ3W
5H+8ZblLgsW/ULlgKCJM+jZbMM4Jr6fJoSK5HVYW6z5y5u08b97krC0zde9NunuSkhhW7q2B3cKP
qAjG0RZ1+2FbFV8wKGwLyJJagV7TbT3qEOZc/8tVo/hgZDres6TBdQ6gIPM3rKBXOqDoCx7GTFS/
at31vxmiM0el7WiNYwe4PuNdRbncjvHoPaK/kt50ZOEdG8aGDEXhA6AlJwCtVvy262je8Lxx3dZ4
7qWt+Jc5SJB7kdngIXXHycyHa71MLFrpNzhNAUvz0yWJ2VgRo5JTuoMW2f/IOmA8k4/8s+kkww+w
wvFQaNmctUsqXxppc5/XmNHCzpvRlWQxZs+Edqpdwuj0lCYsgWF3jYs1CPxiaLVp8ZpZRZFA9e24
bGbeHCbl+cgrHBP+ZYBvPGBkUXbZtmH3y6cKqgxL1uTMnylYld99N5HJ77qxinlihUpCG5ZbfmcZ
sj3xwSOo2Pw4IbayqRgcel11C4hreaAwTdjfEjOCFKkfN+uaoRZfViOKd/gT6w/g2yXPm1NpyKX4
wsjfjNippWreq7p3gdKyxIxImET+iSJ2lg1Dtxmjdmgp8IzoxCALViWWh/zg8ZI25NIX9gD4Zv3a
+7H6jf6KfufUnrykiYRSGwy1+5Agip/brqme6mDgtbVtLS/1Fca40k3aHSq1xM7GFjH9L47zddt6
0AApdqDJwu6KnyOruJ47tIaiswMy32VA4qwlJg2irs6YA+C2Vx9+mnHV+Eaw3LalkmLdDNPw2fe1
3HgJZudVqfL81kFUYqqkSzZMJ7MwTaRMb7rpW3xxq843l+eYefRToJoc1gC/7ALOwtxX9VSNa1Zs
iTczkGPymE9DcKdE4hQAChz/q6e27DHymwRuO27muyqe5TEp6sgM07L3907tGMiXXmIQIec927NK
YNzhjCBVLK3Ww/uQIRWySMN+dLl11o0bDy/J0rMGh+DgnZ7jq89Dqu6+QAAft2awSCjK2jBnKvuR
ZHo7xkyn3CBlH8nCBgST+O8tbteczWuT86AaDuq9iwOeWIwh3Y0cpfHFiZdtuZ/drT372fc1N7Wm
FJLPAWt9rC3mH/cBcKL7UTN8SVdBQngLSkWLo2hmcJ+4tfeee+NyV5qt8QtqYvZozglDIbvrS7KY
s/eD8pI2Z7y9GF3Z40S4SUz9y6InjCMLUobHFD5dk8hnlQByZFYB/2ln1h5UnEJ7pUoX83lmPJMr
KMZN0TUdOqWE05W0DGXn1DRXShL0tsC4MRm1i4K4UKkTxPlxfl181jjXCaM8/r8eXtKkTKctS7ZI
EdUwHNcwuNuNrmJ02LgzD1Y5vE3XXXhRXKfrBWYpL8RWHxErw2im3OY4JY5/SNvm6mCKxX2qCcRJ
djTFYTrrmsTfTD1mJC92bvmhaPG38i0kCtIFP7Un9h2mo8MUR/FG+T0sVyOZduTG611EJPE7AiR4
K+ya828OwACydQOkSy92AKCTnaZEILQ6je4FqGJ9N8HZPKiswXc+A6wFwJqf2BM1/NZ539zjbyHz
GI2URsXk1U+Cu2/r+rrb6yKIPyhnuhX7mh7YfUbfOfBC54W4lL5y87yxjk4MUNNdE7RLOMVDdx7s
mJuaGftap/o33UN/sGpIHiE3MauhKt1/5aoy9SbThX9gLOZ//Bt757EduZFu61e5686hBRsRGNxJ
Ig3JTHrPCRZNEd4j4J7+fJB01CWdPq3b856VloqVZBIZ5t97fzttbFzEdGL0FyMPSGAYc3tsG5t+
pgr7PpLg8L6o5mupDc5WAM7X7ZTbWA245VzMbXsxG/Zy4AoU7QdG5njJ0NEuEWPLHfBQxLjSGDZ0
89j7JJzEbV+YM71pFFsdMfb3J0SS+nw2apqMlQcO2VuoYwavKE70AD3w2N+SqD0Ok35yltG9cZki
wZ3JwaJmWb3pLKQVfp004WHS4OK2pPEl3QBlRqZL50+VMyE2RcIPuH0KzQbbPAriau9JnU03uOBW
SwlA+0tKWeSZsEf3vILn5xzMCWAxu+G0vArbvM7qrr2mmooZQdefaXjgnAA1AXszd/Qbp84wKDPP
e+nmaviol+4SVntz7PIUY5EFF5QlBmwmqDzzI+K4gXoNMGPWs7rkoLccBxxvV2k+6HucPOxzCrpC
xFV53+R05fCIGh55ysK+qgRKfC85m8+UnKGO5Eb/Sp+ed9Fb9rArC41vfHa6D1Um0T73JdkzPxzv
wwjin6l6c09ClN0NfMHeMSzxrMrGpy6LlMywHdphMcEcqBuQ9LLZodfkwCK1VewaeA8DRei67APG
0j1buEVZseDWxm3YcOq3vuDwtI0NPXzLPOzlg4wmRTGnXZbcTHo7Dnp2k6/WNmh7ROSbzsBolW9T
hOix0Y6dhxtppHV0UxDTeQqTATo6Fhfi3Y79ZpOau7bT3PrqUqOysLeB1CAaahHv5XazFzLnIgEW
M3likjp6EB9rO7nHblUiqEeN2uGapqVY5c3yMsQgRiUToPNJ48LEzu6UxLBwjJ+tA5L3yDMsWhIW
ibo0TAKjjtuzh/Vlb9wT/SIgNg5uwP5S38e57N9p7WMB6KzizPaSt5a2h6PTdX25ywkhbNGa5w33
OrDsIqy8B4yS/VlXLo59GU2YMzGktGm7A/RKSXvPrNfYOwyG+40aSYI9pU1i02LHrkniO1wj4zI6
jWMNxrVNeSN6Xy+bEENQR7OBb37XONeuFGm/Z3MqEDbj2SEHnwG5fUnKpL1gglOifGHIQD+sJ8Dv
MnWKB8xRy33ZW4M4FRNksmOFT3LaLkRkdglpkmBmKnHoHfnqF03h7xqubweH4Rz50SUxwXdY3nLJ
pbPFg8COtR/HBFNERG6Qq5nxUKtQnXCddgFHSBgupAfe+Mgl7RVLvnCPDcCOayt03M881eqZyYxJ
w15XcZKuvUOZQV7xoFV9YoSJ+DD5kXOaGm3tLT/Ov1KInyEUmZSKEigwGSnpBWoJrsA1JMcUGq3U
wQfRB6IeV1hogjE8zQC+cC3UEfOIHPzTRk11D3ikKxlI13U0UsXVVdI85rH2itWCx8ed8DjE1NAs
erAa3MRSnKAAqQ+DHMxtm3lURtFUr1+csFmPyl1FZRZsrJxaSK7IQcjEksD3iPcnKVoW9xiAodiw
T2fiovEK9z0yVnSHplY1yLCoccJhi5qlZ0ABj4vpYvRr8UH5VP0sCku9LKIE7BK1MZRslTsksVyX
jg4SjjNGR/y9aBy6PeckTj/CUmd5EM6643pXNiaEqrSvqZsDsPfmNjPtt0KLqzzEWsuliyzgvpda
bslTeZ/YjWmRpIonOwo3xy2YcOahs23NZGMXbY5pI5wbqNfOWV6sMBgcKvldaeTN2UhcFWIXdsUh
sEmswj1rRXnCZAX2pGtwfG0LJ3Pr3VBULcE8bAwDIc0+LOrz1KfThKyrBeQLxhEKIs7e10FwweIn
Ud2TniXxeaEnn59aiiUKbDDsBM79mQHakHFKJnxiPShqU4ad2yvBOQFm7pHSStoiIm9I322onswt
EmSP/RxZuKnhL/fthS/18pxiHSBhX6RCbTMgSh5pUdoOXhLwS4eitAUQMIjlKM9OeWBam3+VTWFf
ggwkxZBn2tGrdbAV14mO+qfG99LnZjRxI0P5F/yYi6pEkBmym3nENMgVuk7Li57oDY7MVq3lK0Pk
PxRJy20eudYkK2qlH+E8go/Xtt3YJ9aJJCetaZGNIWVUWOdqatoS87g/OMexGPRCjwy1t62n28dc
2DGXsaTgoc4wkExAyShIi2LB7JG7gJHRf9jiQq+oeIggQSfyONkts9LET9UVtUYYbiXrJwt2GhHu
KFj/l21W4kXakvBeJB23FgMbEesGFlAy1FcEeyayuFguX0WYhltiO/qVT1Jrn1rT1Ieojjp9qk2M
3JyXJVKU4XTRV2gRxNhP9uqPCUPIbAHbEuvKRClE8Zg6g3uBfrSQt0cOEwG+Co88Hr6DgyuyemfY
HT0KQ23OJ4LpRDS5RRoEt9qJsl3Q3Hm6s+NkubWbkOpnxcmo5cpElUBDk7jeDYkbXo7kEseghcOO
4SCFizFi+WdBNX1CjqyqzoBzZ9oblG3o00zCnaZLSgOXgOYR5mhJazJMIjnLOrDEPkH2BX8trIas
4AomwPWFKd62jcKSKw4VDSMcT8eIYdFc8Q3jzqWJoQPHE+7zwvoeMoNIppIWk0c0yo1rVCC4zHgl
cnlxXucbI4f9tetYNiMAy41xi6dsUU82hce7SAwgBFUKzFvh3DD2XOvd5Nt1y/kNgggVJymhxDum
uHDKObg223iUyV2Wq/lMKgSEfZxN8qlOdH1c5iF6wgnBSbpUdXqTN/kLoO1wVwEDxqzKJrILtd1v
IozV4ZZAEA2dgAC/qqSeHwgdUDZKE4bJ0ZRld8YiioKzocGT8nDbn9RZM66z7GzwPznMtR9mqorH
xZxaqHf1SJsn5/cLg/5PFfQgFkhdhFRLOYRKWFRz94dlNOOeqQUdIAwUjox06E9wCAp35mxDTywq
+hoXOS5nDg/uHVmn+i5cgCXgh7GSLa4eCoaajjW7J+j0kCnbmhAudb2HNq6i/TLKIQ4Ko2MSZdX4
P/agZZwEvhQbKh+jwWFumcQj5k0LC8p+WaxhOdVAp8QZWH5ivEwzlbtJMts67+f4Pm5cETBJnN/N
MNk5cHK2+Pkxsjd0lXwiyECBgHH8wpls8tjbUiLdGVeTDVk/Va9BkugBTrx64CwaLQEBQgBeJlIU
UfqsaZ6FNKtv3+bkjPLCHCBQdIH8sDus34FyVuOjmBj2NzppAmwe8LkKFnpOlK0oDr+Kjv/RZ/9G
n5UQoLgs/CuF9lD9CXb6x1f8btcg5OQLz7TIy7PFQS/9Q5h1fhEeZc8oV6sBw3X+wTq1vNXJIXxE
WaRUBx3tD2XWcldylG+ZpuMi2QoIqf+GXWOVXX92a6zfGG4QBS8HJdj5K+nUluQuvHzkcol2upnG
mM8EEk8ABG6Fw6XTxU/vzM1v//L/KTVH/KTsu//3f//qDvnt9XhBIlom7wdvxs8ycB5hRBQ5l9nF
7aDxu9E3JxymlCN6zb9+Jdv5K96K14JuAtDYd+FleUBh//RacKBtx4njcWdbJmJn4XkotlFsneNv
ri+zMBouUZ7SA5MfyItN63+h0w43HTnNc3AWnDQaI7MuaI7m85jpzmWu70fts5uDLCJ9JbwrISLr
Qpt29zGPixcGnSXxT6aTivG5L1zI4FZUP4x1mRMqsx7oGumHPYaNxjr2bmveJGvNIZiSBUYqMaof
vYgrpM8Rh7+iZOlbT0b8IxIJlsNSOtsqzJcbVhTstT1q2KEZNDIfqYtbiAjGsTF9czhraGEh0Rv7
fCuaaoVnxQSOm0PcLHKTRLkkTUJbDLtuZMhDvThYPui3YafW/hhNm47pCr4VObTf9I9Qr9KJcxnx
PFiDJvUry1M5i4cSDb6GfOKEF0vEdRhibHkzTflpiu1+54bmEERJ/WIUMb5v074FHlseSk+eUKJa
jiWArpidNYFDf8OJLvOYkhACFnSjdTj9/TxGklYcWUlL7SyD6Cw+2ZeEbtMVucCMEkbIhgOuggco
r/oyTalOIHsWZzX3monZkeEzZi3nQxbZt0yQCe8ZdzN0Jg+1ZQN3Nj4oelK2eeGf2xhBAwjcvDzy
xsa0om9EFH/j6ZQ/wJaSJgIemr8fDLksN1XcEdh1eXFbFByXlHk7agi+GstuYJXRe2Rnl7DSsi0N
rR9jyKNudagobmkcktG8rag5VOs7mjmkw4km3COkRAFVG1+01JysjBpOeBMBffAHs+ZWhApVB3bn
3JJKmpBKra9UFHvK4pD5dH9wzPTbtAWHwLB98fiPIVRXjpN+k3o5FX10EZFIgyQbro0gzX3EsQWk
Kaai4RiHGVdE4xTnbbKDicZzN631sE3IwOiUOu6IJuqG3XXTM4A2qpdyoK59ZNgIWyk/mv70Q+g6
3WZTK/YZtfLM1hTYU66sQIBHf8cGu2boqONIfKbs2lVX9kza3gmnjzjsnicU+h3+/RUDSSZRhMYD
iCMqLKUZYPEkCG+QxrJltZ2zkCOOiHCyZ9VBtPYLJzp+gBDhNeTl8jH5CAkqpSWNZrlwZABOY+PW
VHgVJi8tRtugRL1H4MDhTJI7vo2L2Qc6Q6LayJmCoRUTbmvs5aE3mAKHnXwYTX7SUhanoeT34Jo1
uYeq2v1nc/3/womjm7Ij/e/mp7P3dn4v/7S9Wr99zR9eSM+XponTge3y50SydH/B/iZM0+IlfrU8
/mF7csxfFFFk+jBx5LLtSjap/waJy18E8An2XfYEf/0//8be6sl1N/t5d7UwQjnI3bwK5D3p/CWQ
nFl2bCNxlod0MNS1NOUo96Ssin25pOkL0y396qk6Py9FjjHYb0JCRJPr7MysGc6IBPvnad32CHf8
G9tBpv4TJV7Oiz2W8mpZTPcx8cLucrRN5xypNf1Af3WudBtNVPO10ZkoPD5Eih7SOWis3v3KpsXG
LdDo/opN2H5wZYpzODGK8nuea6JySuQPdm6NW+Wb9sUah7pBiMG6SOx028eiOI9qgEqiDtOnQnnd
RWsomK91nF5istknhGMhMCAnlXTD7VCj1CZNIVgJyYbocSAPHATEc8xCYeBFaGSbUlTRlU/o8JB0
SbV1pwwsTKOznaMmjBZ9KwGtp/2VtqiB9kO1VTF1xnMiAGW7bn3JBm9cTFR77tFXhivXHtz9QIfU
/dCbPYNaFPpUivKqsd3uPMo7CyZrM9zlJX74AYbihvQgV0PtXYW6BbfXTAMMIu2/Wq1LE7dRDuQc
bJd7aZNd57nTnnlrkqJva8hlul/e/cLFtJGk9b7KK721EVk23KdzyB89eU9Ofo/cVL/Lsqeaq+xb
HBJTkY2vDLSjp341xs4sgw8+mLcf1uKyRbtqNVlyRECOnE1bJudQs4punzix+Vr86tt0f/VwqkVO
b+ncjO4+41J4A3o6PMH3nY4+8scOlIKaybIsKkG19P3tTHW0G/CMoPcabk4zBr0P5UkxVPm2Vudp
OFg2cnJl4YvvqvLkrGbVcPKa+3zm9+I2YJO7RH7PkH5uuQvBOpqA4WV5FG0Lo+yfp5RG8k75+hnF
KXkiAkRXZGPc4Uaqj+kw2t/GxCyggJkNkkQ3utqk0Tzd0p37BWTyzfNkeFm32BWGSYZHm76GrR6B
hWz6tLIs+LYO+QHJfPFy4OiDDKqsbbJ08wUoLnld1P6hMrLHKS6teDPKaDgNjV2+twyLzmbbHc9o
GoxP7Vxn516a7+xoCs/YX/AfO4sjboGQVtdjP1JDLsR0wWHRe42dVqhdtgzGC9WAyVNU59l5mY3j
W+EL8x2TFNWQJM4YQip1HJ2m21Jnvs2Ed5tMVnNHiw+F05oZdUr7zBMU0PjQVtp5rYc6Ol/0gNWE
ea+0NhVJyEu3IMm+5a/WV1HHjYK8I1KKw+U0wNVUX6OxE8pSdf0ccqTvNnFhagCOtoHKV9TZPsVf
EQ7mnBLLdK27yMBAFWSsDteQGwgCTL9WWdLbZW8G2xqfRJHIC/KFM6A2o7rE9Ecovk/t62RRHYXV
2tr1MXO1bpDQgRTJQfbouhaXODcSoOY5oaoQrv4PBQ/uB2fu5tLG8tBux6JZLFwEQ46GVdbNtuw6
gtqjMMdHrOFlwwhSmbiWPJ1JqGkW/XtzunLRHTrHG2fNm8DI9C7tUupdlTvmXocrLaeSvelta7ek
w489nAZ1jqrJfuEseNUrq1k2LUvxKy631UwxrfOa1TAIzZNzargd8CGQIkrg+1y0yxifesDiL6C/
QJURoNO3kzGUXx3x1Yk0UmS/ua03eagtXfw6VcpxNyyIyM2yBKiawazR8pVBBdi62HAUOHgiVllj
jRRF2wwFMU45gvlYNZ8bo+mVh75QDuhcAjsfUTVx0O6J8L9obBRq5+eqvTHXjJRTzeuiPYZ0wyfE
jZMAfWzag86b9UHZ5honsn3jVcSUOWE3mrg/MY2ZpkvuoAUN04ldwyA1jQYaatrEu2nqnWkX2Ra6
dmeMKVg/ssnozbZX3SdiIGEy4ucw4Ly03YfZLkxCtRaCLoHBs/v7OjaNIwW6NE0Xdd/uJONurK1N
Md+bUUbyxrUz/UpTImb9IhnxUIx6dJMdlYAxNxQD1pHZeWHGMNhKSbM7SFMMpq0LUqgC+lrPgLJz
kum7NUT5zCyzY7LWzTlFu0T2NpQm5HfUJobPevS7S2qcv5vZaN+9xL9zMQhUGyRIl+RUXgG8M3HS
ak9Pb7MaGF3jNBJvrjY7bC5kjM9NESHI0pEgDpE1yDvoouhnURYayMNuYWFdke1Ia53PD9DKFauZ
r6NDQehxJPZVpI9QHqYjo6oI4HlSNmh6brfF37MOG2nr/WEpdhXHHyf0iyQ2d1xDvUsjGzqJM2md
mvWF9s4hH/O5b/kgvNSkZB+gA2XMfqWNAY/iGk76sVvRLwJs8hBakfWoiWJdZoWH+kt5H1XcpSjT
F08OfM8yV8WFcCm13C5LEnLhIQh9UeV580ySv3DPE0x1dRBSoYhK4ju4B1uzc05ZyS/OcHKr3Bhm
xzfoDVH+1RgDztqpAdGIFswnpkcOY7Ce6yNrqPVuWv38DLsERbp0Z5gRmGhYe6l74HKQd1wxgRy/
cuJfbruBeNiG1vrxID3PeG0QEo/4IszHAsjkD2uYPFT60n+Klsl4hByU3+LUjjo4ft6wjXunuKSG
M2w3Vcg7y6LbX1NMTYqNSGb/NAzuDCQ9cao3I6tqUMdQ0PiM1s49Rk81bFgVjY+yoZAEO5XZ4j31
SwOxJFQcFXzd5+9JXC/1wRgGNL2U4oQMy/aqaqR2Yb4AbSSKWZq0ZMauKp6tMaTyrp1HeZc6aQwF
aSTA2cL7BwWfVdmNH1sLgm64TjXdyBuPYV84THC5btC1QXiT6324bcdkCxc0/+B3RfprAVb5hIOL
XWAAbka8ZrnLUIhqbkVUDDCRZWC5yWoS4wZlwdEGd5b5VCOI4ULWrgTivIgCxKrEDAjU0dcnCYNj
RhYQOOxwcvbXJngUHk9pdwmCSxy+hGLKmXRMtL8kOe9qZET1k+5WwX9M/G1eJ/zeUySvG4s4/+Uy
rWMEU7ndHUy9+m6kTJCf2TTtPQ1Tik88OZzzJJ7FCaCV0wQuOxxPhjfLMyNdhb/K0tzOhyzZwdKE
XSUtVI0ubdNrQfqPWj9V2u+LJasno/HxhlpQE65EO/GO0KTQnEwT9tymduvkDP6WeofH7XwibfNt
RX7aP/nWNPL+xnO8la6MPknL5Wci1/5TYiYgsZbGYPHr7auMuc9lPnvhtDWYrh7SEegqO22dkaGz
cEcXKcyOQ5V2/ilksn2c3N6BNoiKjgmQipS3MYf6Q+F253zntV/8CHXqXHihEX3ARJiRZrrFPzGS
vYqVY57PCzrfbwOu/0xk/2Yiy3DLItzyv18ab/SX/ox/tO38c1rm9y/7Iy3DVJARpAslar0DMhv8
PS3jwdgHZUXVlMV88E9DWfELhwaCcjjD6aCyXa5zv98bLa6UZGswmTg8bigB1r9zcfzrtVEwmyDK
Y6KZrWq8+ktdm8cYxtS1bnaG8l7DCba6AhgTUbtCEyn+TjhF0z4CX0yE9vOnd+qfzGf/xzz4Ly8N
4evn+aydWtydzK7ZcecEER4jsccp0dcs/BgbVO1//Wr2X4ldgMSYOkPt8kzhuvZa6fXzy6XhkAqQ
kPN+SDP3gkrVPvBJpm4ZQWX7uatfzCiF8NvOEAhzzQFJDpJBHee/QeiXoWLndZdV0yLD18tLL53o
JMk9FqXwGQg4JyMc1ZukSo9ADrvfpjaUVfzznjDrn3z7TAqYxkuXZ4UH6i/TbLtFJRbkUHYe8cAz
ycSt2+ANIvzCprQz+sXDjQn4c8mc6YbRZXLvQnewp1VihRuCBNq8QNiMVrvnq+GWp9iB2V1lH5FE
VMVSd943pO2nkb9rF+TzSrXQujqqg6g4QQdqbs6jxjYfjNIEehnmLbeZfIvMh6/mdqb0gI703eDF
d66XnkXz+IHUDCErprSl2E4h0e8oyW5lnN3V+XzvNl9zS48MZ8m3KZmWA+edecv+K0E0+6jLFvcm
+vzWZLEoD11Hut1T/DBT6Ty5IIsOdm5HDyIzbzERAIGmhvnOaYb8xEVrfk+LniXVT6cDQmN7xBoE
zQVnG/3FhBK2rqWT6xlqCVfysYGOmsEak6zQHoVkF64xhidoLguA7rS7GQdwpqTHUd27Sr0BcpFB
hJP9mqFESf585dSWQuDGC/2dN8b2R+3B3q51b14M1nG04/FqNCnsZD+Dw07EudrTxbFclJqXMMXC
5lVae6OU9VeSpF9JVIlzrod+gHo/7l1h3Rpr1rOa44uQADXXyovG9R+jQdhcDRqK4eYW5yBfUKdh
cjZCp2TU3DWXFC7C+6oe6CcoT3/zcVrnST/Pm5Rnui6rB8VY0hZyjfr9/HFiMmk1CLPWTuc5/OXE
W9aa8aYn6IP+WR8ES9cDV4PptMTaeItJ22PbXv0KMJMqQFTOI3jtYGFufhy1Vj+mEvIxY+b8wNl9
pQN05h2pjeyZGZK+lFNofv/6I/xnU/ubTY1kpPUvY6DHd1zi/Xv251nob1/1+yxU0Y9oc2dGYvzv
9Pc/EqDsdqbncAHxEA//UTZjEf72LH8Nh/INrOPQf+xp1i88RfRg8H9c/iD+LaHxf+xpHvlz4iwO
w1ihkMz//GiKDjeU7Gmf9zqQweV8LcLs21LlfiCnbYT9LZL4d+P27d9sMUquW9bPHwoAk0xzPW5c
gj4a+69lxMxwnEUsOez50G8pLJEmIoTLcjl6gxWd2+bCfSGRTJM3MjGWu6nDYneec6C+Sqyu/nY9
f8bYNetJkPmm4pHGxuqYcjwgdZJwX6QsBWgE19tZ3TBVm9CBzCHeO15o46CC47aIgRBh1FMd2/n1
silnoBP5HHEVEe31GOViiwL8mZoRLGDycylD5YCAxrCRTUkzTAGRF8ebMGzz2Mdc/d2pTe+cySID
Pk2Dc2VVhnWTR1Z2JTuDiameyOg4Kn2IfMXrhfPUHRhDFLezV+24rKPrpN1lVvNWTP5iYcvCYo+n
KEv44nFOsqComuHTEYb7SHRr6oJOW9E1SbD25JUFZQCYqtG+EjTS2qbtDO98uoEZGT2RcvLvhDdM
MFviGkNshcHK1mxGjbsNqz5+wS7tMJJqXWPFddHB5qzD8dHo+u9wwkayKSsfVHOU9j4BgBEOIHV5
Bn4533zkBgIEKyIhJbZh7cR3XdWsgSJ3zmhpt6MUtE42jwdlqviIYjweR88oYXwSz3Fw51/RAuJe
m4Bv451NJuMGhVcGXJrNU9Jx0NL1hIgZjRG3KspeSzo5ZX/BRIV+Dcjg5aFy9XQaUtXvwVOWAVcX
Emf07B3Laagfm1JJHTR1x9iTWHX1ZBOV2dq9oaCzZMjIB60Gv7qJbIfdNHYzkv35rHumUhjQSGLU
fo83RLtnCBtJzfXfXJ4gsZjYI0MZ9fh4abeleRN3zzV/b2w2aAHWD89A/t5FeijZ7Hv/JhZjZwUm
OC4v0C1JUA+AEETHYU0VU204HKIB0D2paNs5uDFunm0V1d4TtYVy2S2Q6UPiuiVdMlOv1Ea0XYq1
TNbzeciJBy5o5UGM0nH/1pQ2D1LWmC8RGc8feIjrT96Z5K4DR3gtyfLR5znnc7nDKBe/UJUOpzPR
+JztdK2GFKY13Ahb8yqLHVtnDsiHPpgBdb2NtQtHfknXOZw7YDVOhpTxH5rEvKNL296nHWcWu1qc
u9LCCLYdSQgvkBAaswBRMEyfTSFx66WQXW6H0PLJUIHcwUiaq52r2urSzxlAIXVE4mnoiV1Lra1p
FSzB3lR99whmnuGaXbbivUnSptzUcPa2Fk5ILxB52pKQsBrrh0HLyH3c18XT4KXhrZgc+VLqnJ4K
giwYMO3RMR8i6iz0hqkFHjesYcV9JTg3drMmlhY1UY1ZLhVZt+0cXTh7Bhec+0SbGziQJ2lzEhdi
2cWmrQ5WPKxlqhHc+KEn8jLLZRgOwJPau3YcCO/6kZkflyyDkFxBbSaFKQs654p8NK7neu5AfGUq
e0pnw+c6b1Yp3VilrD5Nsy2RakjXnXFRZtxgGamcWQltea4B9OEO1AW38jpV6Y1R5PGN3Uv6U1oE
MNpDS2u8TRiQPvEr9TZVLeixFqoGbenC1YRkE2/d2h13nuMVtzkuwd2CB0sQ2Z2aF6djTf816fOK
4ireWMz5jaq6xCwFbBVLF7MXCvhAAKTZJsJ+RtuHKqa1CWzsqcac+E6Nuv+VnErXjkp9I7CAypXB
EJJzY1y2DFfUEIxPudnSx7Lg4kDwHXyaqUzAe69YQykAizQukZ1pGSWVZGTnLlPwUTcGKt2jQiEB
oUFtp9qFY+m+jMVSfzXRQnqelDNLemL6mCh6G25WUOcxMbFItXN0boWGDa7KcbIrSFhmfFPRARjv
8P84F9Xau3nocofYz2xoBmeztvh0tVWRCBSX1EBiaCeqliIGszva2ohClV2dbMZOunvXoRJgC4QJ
907orHMtHpyWEhZqZmEVVsS54EeZPjihChO0mL2Ov2J5HrO9Vuk1QlbwJWq58FOqz2rYm0z22/ZN
DobFwLKVTzpti4uBgtjjkposxCbH/jNBzKvdEKeYnwsCqDqIVDJeuX2mIAiBSHpcygzI05zFTUPk
0JVfFcfx+ymz8QHAp8HFXZtkQfAqt9+zHuLbVjhU4SbwK3cDKJQrBahqzw+KlT+qiueyitqLKFNV
EqRyNQGLPMo2sM8gh5YmhZ+6gwsHgxIxwHhfemD3YxzifzE9orwcvz4onc+v3BDK8k6PYcVUGjYZ
k7AakfQsjGZGtxnh/XczItC00RRhzCeqSXNUDzEQSHEwPm4J78NvVHTL6AAwWcPELZ5fVvHogeW3
vplam6GyOc2vpFisE1nliVwy6dnXArszda/dIgW239X0DI8xMQNbWw1k6XlVFYVhtm+j9noiMwYl
OVNo35iy836AwzACFSbLo8cH6dOn58sNepOCranKD7abMNhVVc/Qt4WX9bUkFBsEXtNJL/B9A/mM
XxqNk7RLALEBvIZlKctPzTDIV0/H8feS0e4SWHHDKBDro+KNS+MF00w/TbZ7vkzuWmgVhYqkay3e
2V2SW+q944llC9zPtLF1u+TbisAeCjDGfHlNUxGGRXdY3Okcz4yXBobTuoSBtbedmBDzIYB2R9FK
+k4iO7yqhup5KNp4ixdy2sapRYS+QDzYczDAmqt7Qw7HOXbFvaBecwyamYl5UISwpet4MuptwTtB
O9jc7jSmVmxCtvokEuUcIQ4o/MfSimCVEto5awxDnLRrvcLLaR6zyXE/VEb985k0ecx2PgNSQqfI
RzHSgey/lTBSwCNaQjBzE0/dYRmkj2GV7uiVyCLKeONJp3w6HcJcm3F0VqkMiqG1M2m4izckh4yK
lhjXfR77hieK6X7JQWitqHNNtr02h/K6QYVgu2SDt75bTPAV63SOab2FQx4YxL6vRZJ0YNnmYqBW
a6btR8aMV07ZVMwXRO+NjzBpNW4h0D541VplBoQA+zeu4DjVc50Yb5EhsK6TNEjfJ6AHQDjsAiuz
BXnyHk+w655FQ83ZhPnz+DhmI702M4n27nwOHYfyP/gbYZCl6Rxdkhhz7swyX9Q+H8WYb5IlJzMA
PKM574UtvyhgaKlugOfmIx63Te0HTg+k1Rvc+JkSE1IMBgAWQqcxoZiiw/Ztzi2DeVDIgV+GS7rp
LeNztqL6FapnCdA2GF0DiDVxp03Uq2LvJihxXZgQqlrQu6Y6sq8BI6M+CC8moTCQSPHmLdnE8izy
PYLzc6rc27Smw2KN6uztrs130g9dttwhvIE/h/tcagVyui0+/cW2CB5Xzjd8jXQHNYEETltJ/4YA
QwuJdxoRzNJc3lG1m1Q7s/fje2O2YCDqkfePD8XT5I4sVzkAufKgunR+Dgl7PHRU3lOosXjTvGVC
31kbyg/1t89p8NON6bzboH7FRVA5odkFCD7q21EdBWOLEccPbg2xalN1tns5dgyWE9vAZRfZPIWE
BIgzbi0902plwI6vl6a4HxcWFTg3Yb3aqIk+bJA2Yw6VfT/ZZxq5RWGvmuYL3BBrEX1ekIGd2Wlh
PjLm9tzZidnGyia/KjjNF9tsSalH99oc970lkvuVSXFXobDuFgnxdink2vPQtHI32mrEBZ06lPQ2
ejSZmQvjIsvDgf1+TijqkrHwH6pwWPCCkw9RGzbKvKHebqAXlIkGMcpoEbEBKqXhhETtCG+tdKtH
i/zavk7MTOw0Q8HjtEzkRfquJFcS0VH1PGuFBFYYOv6RSQI3m4Z5krUpKf5ZxQUIOgzT7OrJ1E7+
MHb/xd6ZLMmNXE33VfQAP9qAACIAbDORY80zixtYkUVingIznv4/yKb0dUsmWWuvXZtJRSYrMwM3
rrsfN71PmtOqI2VGE71BCd/RkptxhVyp04/UqSJzzzVW3hHymS3SqEA+N4IMxxXYFsZDnwCJ5rfM
vjMYxtDhcHAsjA5OVTUP+mLq7KjIkajP+D0VHDSsn6sLFI8HhlDEX8yhbODMZxfgBaJx/qO8mEiz
i6FUX8ylQ2GkUDdW4ylCI6FvUspoz1jtvDONTeY51PhzOZYJlHep1PcQiGtScZkz8j5KrnnDVNPV
LRzzRBsOnlijSj+V25oaz2diXXFLlg8qLa8sj3ze2FSngg4WSEDZy6oxBR2XL6z846FsnfyQVEYX
kEYVKMnqruULcJcYobebVVdv2XHBGXcZP9bAPqgBt8t2/QxULVySNIj7vMe+OZr7zIasCTm4fBid
rrgvCPgHncXUCOlh1iF/zezk1xVInJ0BQxz67MRwgdsEQqZsgW7mRzwM1jZlvozabLwvlTZfzbJY
NTgICAGdVG+U/vXbLgEINOCq3vl1Ou9lOd2RHp/GQMheHStn8k+hS6sp84mgVQcXqYntqEmuLCuj
YFUn3rIzdV6i61TkAQY9Otsq9EMIdV75w2vdQ+OZ7c96hQtEw4BuOpT+ewU9++zGAu9WQwkiYWFr
6/ILwnJU8X9Bm2YPl6DS7fgTM+N+YU3vbie7nph447Z+LnRnYvMISQ2MeCWe7SI2rkh99ZvBN+qj
q+LhpXab7GvYA1/eCnM2fg69W7ZfKXstcPyaCWHeMsQJfABdPHqcpGIKwI1E5olsSP4JTBYfrhUz
WQ6xzwMspXuPaYAupHGfD0yTWer5D1jtvHRveQ34bjkO3HFMcEDbPqGxh2smk0KQrc/M2kM9JMEH
M5rgij1mATNSe64vx07HS3vvlAP7auqTkAUy6ISQ418s8kiirnb2REjLaSsqXNfb2l0TWXZpqa+d
O8IZkYkIA0f42Rx4rFhP/kCu/lg0I15qu4wZotGg1Q8PaH6QsMm5ase1UpJgsLs1zZjBFMC9gpLk
kHoDaZ88sBaA0NPb9iNxbrrxIs/kSAw9KujhSkfztq5byiETkoPykKCu19s0LwexUYMwr3td18e8
G5ieOg8D2L4ypu47irPX/S+G8eMvOUVNC2HNQT/697rfNv4oWcR/6PiPup/1j5/8tSYFeoff3Hdc
NptcJclP/F36Q99j+26a7CdR8lZb6C9QHo5Rl8SFj7fOY8y5FN/8Uv74nwD4wdBT7DR5ZFjqv1H+
rFXw+uOy0nQ9QJxwu3gV7PIFQucfN/h9vLp3inQ+qFE3L0VTuV8aBtcb0N+QMEhWTu+0eX4LAT3/
8LRdcltooT0S4mc0bcdqB2EAcw7H1hdtDRX3tprCM6KGnzKP+rf/Lev/yofR4VPyH23LNx/xh/5o
UbH+tK7/9XO/JGjzNzy06/vsk1Lhfeet/rWuF+SCLFb1/2pdFuI3kwczH1obIZqdND/0dwla/oZi
LSE2IkEjkXvOf/VB/L0t6Y8fxYudmuuDbWOLQQFYpeLvH2ArInI91v8T/exNnTAmGm9qMRwV5scA
+jxGriV2fkZrin3bFa5vB5O/Aqa8ywxkXcYhg0rjHWZBMm8lec4vxez4/u3AY67cWGUrvtsNwEjm
X/sE/YVhTF8GM6IpDGmhkeb1g9RJ8mY4NIo9mbMzVg8YOXO8lWxbWWk45QigolR0DaIWah1gBPQ9
jLcKT5sauBLQQ4lk+ut+g8GSPW8ly+i+7CLrp5VWzi6dlGCjRJPGqVnHVzwxhrhF/xsglMWjI9no
WLh+R12P1+ZlJpbreGzBKjsDfJNeoGU1hLfhZaIm0Gtmj1wkv5DenOneNIj1M3EKFgZjCElmSuJE
b5ZJOyltfzYYAXiuzPiCVY0OGJBob2yilPHeMwq115crwizWspURN21610L5hDoGiU01GLcM054J
NbbekB8NLxqzs55qWBJcJ0ikrhhOjNKtT65hWi89AtY/zzFzFXjZ/5A34p4EIF7cAaqpri3txQ+U
E9bvLZcuqTuuX+2UYWkmki93BHTbDq6E8jY+Pd9v/GnIGUOk70MJ7u5E6SVXwOVyHWSwdh6zmR3H
zQpspG0y7x1/wy6ci2Q5LxTRjJXilhkqEwKB04Hrw2XNZmFrjotjHDV6ypv2lpE+pTqiaZkNGEEN
ebn+eqOQ9+U0WeM28cIW/7IJcoY5KGdfXw21dWQFzsW6RcfwTybe+fqKGzI3Ys7wfqBAdiyPYvK6
tZC1EhWIe8F/d5fbPOUKSbifs2zIT+ZctfMuLvCDQEWpFSXmUT09tzjOcxiNbA3qdX9QxOjsKtL6
s2pDazrzqUNQMi+biEFzwSJxVOF/02a/GtAJbDeLu+itabAiYIkZqnOamjR0+1Y/HWOrhwQWY39j
iUctwAzsKqrONKiunnDA8tcdWMAHnbj3wNzUS9vCAN12YWOcot6Kz944ouoAtqjBhKTWI3ef9utC
LdmVL7PjUAn8vXAhPfEUaowBdCPD+XjGt8laipgcK5verOenpLSXz4JKmJtBmhrTY1/F1p3uI1Zj
dEcLQnUlLvXjYkbFDUZJ3R0n2DNNYKZDwSNqae4wctA3r/16roPQ9EH8G6Qhn5s5rp2NKQqsvp5B
s8Quo/f7GlxHjKs3mkk7s5mOrKve5kzYtFHh3Oja6tnHEnTHap9Sx9X5FS1H7gxqTVmkz7aMqTS/
VgBZsc+b4aux5OFhwaBLYXRVfuY1PQO5jpN9FDrTG3jJYtsQo3UPVqOLd3CXfG9qv8UDV0m9dZyi
uirNfHhuI0XvQ06z+Qrtn86J49j3LLy5fji+nR77gXLjMrHyYpOagyiOjdk4L1aRtVftPEZfZQaE
fbd0HRWM2ZRgbnBtFg0HH9c+bl7wzlNtwPeC6sN+fTGtno9H3jwnikwH4yqMZienoGCDpEO8N3RV
/lnLWJ9tHLo2up23vCLNld+boRr8/ZBjnDzEPHHYh3Hl5QY2QlAgZXAbN9QchPibaNGke3d8qsck
REfgRugEMbMsJkY4IdwqRVifB1Xn/WGabQvcw2KuAS+bfP52IfpubqXZtG9DOrt3jMDV1kc3/Uqf
iFu+eNAlTIybfFE2PnvgIDQqKQMiPDD8CmO2aXhb7IPUIx/P+G1JGGa6Prd2nqhSlmuZxpIZE2Jv
WbpxhK++eqQCEyclFSoIdWxzWwqbOfazqDs38+yDQJt6bKeWUy+7waH7t5gNBJcZUMIGOpALYkda
ybjLnTR9MHsK5BBoBbP6mv8zrpxFpB9qCKuBdIDZZzeOHS5bL+LI2aaWXexqkZjUhfW6vw+TLHrm
XlzmwRBNVrdalv0qsCTQso0vS9BSiEbjiz8v7CxpRk5gv/KbT9A6HPWQT40htqhhRbNN+rKuAwow
eSFCxvVjcjHxczawmuYWRlFYzOVTnBKcaFAGkQMooHAyf2u5yXRFBa555MO8GGgzyNjTVNXJdmA+
aI/CSHS47xrpH8s8TT7V5DdvJILwjmIuxSVK29B3cug5/hVXCnaj8FuqgL+Chl5iFcvJKp0sO7aS
yP8mSeaG3vW1fXDjeesvoSREZMJUSO9pFZkZELRtf5B5XzfjWP2fZ3ZXN5VZj0B/sylrWT6wKKXO
gQ0iKJzidlJV8mgD93gdZ27R2Rz59t40EN/TwvQQxDy0ypvMX+Zn6EYeYYKUhdMmylgiHieFMcUd
nfkInsm6DceYlV1ljOhHFfVPDZ110VIFHjrNxoI5G9453Pzmo9OntX8/s8wfNsboxjfso/13tYJ0
U0F29sLWdaHs9ituF28u5N1whfDaHHIBaWHAvNhk12Xut7QGdJCs+F5xIfmSL4DqG4nFe+tW1C+y
RYi+C/4X3QkSMGp6djKnNeS1PgDMlRtMDxc12rTaRARzinQ7THAcjKZ0z1bjmuIwrBTiYuUR52iN
m9qKgBQ3K6+4v6CLgRiKrUs1IKvtcDkbzYJFmgJs9ehc0MexBQVZrTxkzGLLcSIogogNEHQT1yMG
g5wXfUgj2kU2GCi6QxdH4xX1cgCXTTV2u/KCYbbSxL0dVjYz27jo0xlV/B6387NxQTiLC86ZpHC1
TyYYz0W84p7J3UGy0JxFLGnsRQwnp+zUN3iS4EpppxHGeQAfba0cabESpYlqUFGeJdYzsc36q7Qo
TLy102b4yd0LIHWE5bm4U12M1BanK7RaiiVDDKfQBbFuxVpT2jl9iwSsazoWk+G1QqJLsMlZ1Wcj
bVM/jBdI9mpwxEx2gWcnPjFjbJU+sCdn5WvbEVBpxpsVux1eENzUZNKHmF/Q3NS2DU90ULK0SDKD
neoF411NK9LbBu49tHVWnaVuQH7j/J8fZtdGmbKX+IaVfnIEOQoiPJ50d8DYDV3wghB3nRic+Eoz
AW/nqe4+WXR8KrzIO5epkRxDf7TvuCnGCLgd9zsEmR4Vo853QMIjnuXMIJ9E1aYXWbrxrndHEbgg
0ZmioaAbRgkQHSHTA6ROkUL5MV+g6Ry0/vOcpM5nP2CV30SOLu96v21e+wlVJb3g1+1szq9bUbkE
kZvIehOmY70qZrXbtpPRwc+HiP3shTUhL9wJc0VQTHNdk+rOauc7D8g84JEFrQIHhP3Whe2H0E0Y
02KVw7QgJV3/ZHPcvFkX5gVgKPgXkiAejcHJXL42UR89jxdWhqc8vHrMi0/j7zCN2gesAV2u2VIJ
BW2jcwpKFVcEhwWLY2Im/7CmRW1pgH1KV2CHIWxO/u7C8Wi4zKujuax8j+zC+qAFvE9vkwsDxL/w
QAxnZYOIeuWE8F+Fy5m38kNMa2WJJCtWpHUbYiA9a57n9sIdSUQknpJ0pZEIh0d5DI39Uc8U4fDZ
X47LgKCwyTwe80G59D1BrsTZ+q1dX5l5a++FwVSQQELB5Mfmsl63wLH2UnlqU6Swt6KpY6QRUYdw
ZGvNRLiAdLipCUzeOyNedjhsG3Dfya4hGHQmBlPtbAL126Edvmb9uBYjtmh90FZc7dONLeVtM/nd
42iEyyECrPelBlRygk+ls62tyqw6JoZvqACMXpLsTBWDjXcGw3iPO/bXZyheOGN6HKIvoz0oM4C6
atnbQg/YCXLPhf3Eg/Y2ctbLWeW2WcXT25+eknkKc+oz/ZS3UC7vZN7Gr4JXoYIUbra19fh914Fj
Q6V0bD19pb8DYTGxMucuibFTMOBywqY4FffwKfFg0lr7owibea9mNz9piwXzEauNc8OlwQvP0BzF
t7Sq7QC2QCEDhgx2gTGtIkgqGXTmSaymLFGyk9myXdwVecOOz+cd67Du2Fm648uMW5LW3+EbX191
3WY5JoTYMnm6D05JkRQkxToY4nw/mo1LIx8M7DthMgztwsZMrHPrxyEh+bI17SBKjJRbFdcbteWS
uxwwXIuvsuMBtl26nvsrm1lndQPkQEdDwszziw5byzkaJBFAhLVl/Dk0Wp6GuLfeC5yaQRtLfcxq
jvlFsFDfSJbwB401eadLXHaF9CIwtxACyZWiV0J9EKr96hgN3ZAYjg/K0jHQcQ9SQTTXcQYKJFcP
i+6q9txUgj1tC1OC5X1Uqh3mizUiNmLQJkkYMdfAJZ7uvNrzId93if+Z+Lb3BBLqJV4bBjbAjxAQ
KQLno7u4e7QG2NWZ6Z1ngJAoJdQn13Cq7t0BR3GtldLwP2We7+akbx91OKK46N5dCaZJ+z0ljdzt
YX90+uh25QoVj7vPuluGO8xx4AYLrOcAlqoo4iEN2f2DiJ4Z5LwPP9FClkf8ffTC5om6xpikkAQj
B+p5ON6AJb6i2gy9LJcVfNOmGI6Zo7638MTuM6JjyG0lxrKYW5JozEOb5ky8g7LfaIr45OOGGl6w
++5V8pkPJGLa0KZFLPH4fadMyNj2bp3CqM+FhCKRD1V97/EY3pN1jr4yUxSAV5JZPTnZB1lCSQtu
uELoSjtIZvicllPJU0Yl6FNYd+ZBe4iCHJxBVbX2wUpK9xO+pHUMKQE72XV2XEoPTVr1WRrUU13u
00LbT9qyZrDHnvnN1055xRJ7/GCJzVI9zNDU/G42J/qHK9K8HJLj96VXAPbKzGowwEjv3GX0+G4a
SET5dhiN5kNmypt3i2rk9dwTkq4mZvoMFeOQpvV4pGaB6/5Q0xzm2fOtQojSGznm8/WIf9FHIeiW
H3PagkjNmCC30im851kqdT0LsoWqLR3uxDmqRZ2ZgWCS/0GdrT7oDqAlD5MvjY9DcbNUsr9pFYdo
p9Iq3daUmYeHovLJRFnzockpIytxUG4shAkEDVV3L4y7DQsKwgbb6XLnQEQOmlZmPz3gHEicIMOR
Qpd32tnUY1nhA90A72q3JMpXkJbZWzRwcVyyuTnIKj+NAqd1nFvqrs8cso6Id8ZWyKpk2DEKEJ49
SknkdhLgP/fT3nWaL6M2KbiYUf9N6cpH4o3dsYH7TnMZKuJkxoUHuzT70hCD/QLJsA4gBOpbdBVr
R3xC7GuJrpm3Y1CXtGIw0cj7uFlpxNSrnmuTskx77o/25N6CphlpHnedq1kKi0HKX9C+bAp6MXFy
Rx4STEGRsRt4GO+VbyZbTHTFNQdVuuMr472BdEMjinTTbEsbFCvi3zOGPX84JOYwPROcbvcjmA0+
H34v72hh8HC8pGq+GXN6qjlxZ7qHy3w/d2sV4xLVgvrLtO52bNPwGcTtu0Ee4lmqpqNto1nal2Xw
mfaizH5rptQ8uEVG9XC1mMda8f7rMup2LtzW6NxMY05RdDwGg5SyPjhL5n4jPvuBs4bcfUUqXHVL
8QOAcnjgfKgem2WEPJeExm1ugxx1QrocUh6sAFSBAlFPVR2I/w6oPRNp89y9rWVYWPhxByAjPmw1
DudRJldYNMuTa2rvh9nZ90bI2N0iajGQhfO9cma1m4xu3oKBMTbr4iTFEXKIIRuc1LSwm5qrRb0q
Uch3mcEAa/HODlGfXLlNVx9m7hsInwy2eILk/G0h9/aCwc/8Oere4D7gy3vQ8Qeqw5futjaQ7G7i
oY6ZqY34CIjoeyMt0e4A9E1HRu/5Z+ylxX3WSnHEBNTsNHDM+cGkgtXpZzzZXmeFm3luSY9MBGsF
47CLtS1LE8RFj0vLg2kXGA8kOXvaqv8nK/wVWcFSaKds97HG/3uR64yykK1C1580rv/7yV/igvsb
Ox7H8v9F5PJs2uO4LzgkrP+kcQn5mwCoyQ+QeWPbvzY0/ZIWhPWb75JvwseJVMGp+19JCy6S2J9F
LnyN6BeocPxxzhoJ+LOyYIJ/oIwWNm1hOSxCc+phkAV8i8q0tpc9QFgZqjdq4DHctVol3a5uMzxB
EatQi441AeowrJvhaTRHH9e+7OS+48574019t6c8unusxrmkhaEat6ksFu69c54cIdiWV7ygIkDt
HY+jj/n2ZpZ0ol+rytRXdVSVyZ3s+8jfILPEyXrzduMr7bq40FO+/o9cZNlALcVMxFO6AIF3U2OW
UCfcGPtKlWK+2fSRBANJ4Nc7mn4pmR4oo3ocetkcyay7OIin8osEfo9sHlr9J/844EwepGBW93b/
7LYKPJEwwKZuQOqHh1HWLvY5TFbVZiyxB0tHDdFe243L2MAdqAraKUxuk85aTYxQCckkuPVinkUG
MIoDaoI1CTQwdI8pio95dBZ6fSCUOIlLpcKIxTqJS+NrRQswM1o+J9dVWGHMK/qEGyApSlxPlQvL
XbiUYnj53JXbwoaQGmRaExlHBfG+RGPVv+ciG7F19131QyyG/TPGyQigvKvra0by+WYaB+T5TnLX
3PQtwFea/6aMglsx3huLAcjMxni12hsAmxGvZvxrRuNL2zizEYSNaquD07Tq3hAyrLlkRTkm/XbA
TskCL3+uKMCYNybsF7a4i6pXuLxn/VS16bOfMaz8fXE7G+8eAWOYwGtoPUl0YrNx05oLhYv6s+lD
w7+iLYCS5JqCAqHb5r4Gd34fD1of7a5qHmOeUFydEmlwCUmLMcjJnuwymqo+zLabbs0hJZnN4kyA
vnSBl+lO7JQDnMyf6FFuE2+gd5QczKFzGvqNpDXv4yib3tw5nG8Igvhs37L2daJT5Y3EW812YMFI
RbDB+1Ks4Germib6EECAON0Evczyx7sUH/wuz0B0OFilbkhp+/ueP+vg5lMbhNa4hvY6L+gdjN5R
y0saF+qhZyNZboweCzEJ+/AMjKE6ioIunZIr4EEyfbxqtqtbzN0vhM8K7uG4moiybJrhCnc4n3x2
h1QljGP26A/SJgTOv3TsTS/ghtte0QXGJrhL5peaTvet6vvpbHcgwWK869uGG+qMNVmz2izwhEC4
DaN7CzPJgy0GjGllOt3xWafoXazh0Bgd76eHUegB07Wgxl5aT0s0Lq8Gu4hj7nqzvx/Txh02NgPv
a04N0BslSvVrVnUQ9WKdvrqWPKnR649Oxp+dQu/kcZ116n4WRfPeiKJ9KMGnfIw+3nEmPdd/EklP
wVucY9lNYTegL3KmsHsjSrMb7XkJIluJj3EBILCpAUK/EBSM7gguZIEeh+LbROXqHZK9+prGBlU+
hQwjUqztwCLUDY9znVgnSsXyT7cNfSakxhTUiOBevEtdXGB0wqX1T4FPDKa+Nz7TcbX8jF2o4oEH
wPhlaUz3YS6mexcIFLGgGG7B1pXWyL/TgHqXE19+t+mTJIMCFZsbcJ6HMOLc/oy1M3sM6Tj5QevT
hHI4TPNb5pc5622O5qNNNRwxCju0f2ZMw8iCvk2BSpsJ9dxTUya2bBxw1OcyetRFVH4o7fDtH1hw
42Ks83vKbwaxrYGMw7rwpmvJZd7aRkuy7DHyU2GJ2X/DDDbthIcLjbQW2i6Z333kCLND9XD0eTGh
RQX4DZUV0K6zHPPZkwytc9zfe5ad483K+JLUXC0wXHeifYxETglpBfBmM3CDfErBsu+UspsThjB1
Zas8fIyoMXvHMEfDFC27X42xfTLrYrqGA4PcUoPRefC1yopjNVIrPLQLHXjQ6foTuDsWg5ZBKTxX
KftaZV53kzdrw7Ol8MBlcvJvfSGZvNPF6PlF5M7yMKo2Go+CVuqn0Ezy53iI5FeRMhUPQ+RiuIvN
B7tMR2QmX12TICnOCfUyEe5fODcMfP5dUc4zMt4kz1mqDc2XbCixl5pjYuB87JSx93ACkztWfnPD
VwGtmGXqQ9Sk0ZXAKnie/bD4mNrG/zCoQTg0vslrHm1bf1pd5+InT8TzYCUehM7S3XlN7F1HWtff
qdYYP/DM0ZcS2bLjPmJkTb9ZhlEfFatE7JldjjpolT9DEOp0qDFtHHu2FXtWjMbMJYOu7C6cqut0
zOx9BY1iM8xsfiiOkdW+W+b5FMdD9mC4jqFgk3i01CdTxvPWY9l368ccL5vGgpW9icdh/IBZgkAY
FyJ8jLu5/2kPsujvrKyPqfjzHOqMQKmUN2GCRbzsk/lBFzN1E75u9UNZuYW/bXGDb6iPcqkGaHnU
lUPf8PAaVHbbthNoj7iozjFOUhgydio+QaeELV162Fi3+KETNNV59PdCDOYLdQbJK89sGIZEjKDO
uD68/FIa8iqnePwAI9Z/8SGqo9/ovsSun0blNhM9Pr6EduZTMrTlM+Zpu900XZtekcExnau4nO23
qjbVRBeVPlHzp+oNGWesPe3YXHWVKx4n0xNnh8vInlIBYi9ehBJfLeP9Urb8QghDg3Zxu+5N+k3F
6D8sb/SZq0PesXNpFy8PUsyLj9gcnWtX2zRuzapVb53QMXyP0WYcAq4jw1Oqa3WTxHECcL7J3ioM
UTcMbI1zCJuyxyKP2+Dax3X77kM1wfCgvphOzv0FGSgQhsPHOXKWwNe18wxBJ6NBEsj4xmfN5wBZ
bN0XcAB0UNdrHXW8FlOXkTm+kuujrToVFFcDV/F3cbdQMZRBPEbHz+OzSii7ntfaa9RtdQhDY48I
EzcA7alCq5KR3gIxQ4BM2ONsc9vN3j1KmejU7qnX1iFF29yO185ti/rtUFLETYJyqxmMduZa0m3Z
7Ue51naPrP82/VrlbXXes7OWe4/+8GS5Q/2mCRkeBkej77iDx4mVIp0fMD3gr6+oBGFbNJhcYCkR
TzA7H5PRwGho2ZSMi0vfeG9ge9hWfd1FJAmE8wWtaP5WQ/FOuB5SFLihYIZTPS3Ctj8uLVtgCPAM
OiZM13bL20yjTNgD9mwxdL4njRr5JfrIXbPg8XmgEdXaEvzO7tO55Jvqkw4LYMcb98hxz7kZuRQp
O+FzYqas4Su6lU495nUwNWuFZW1WBs7LwnzugL4e03zm0UsoZx+ZFOzlyWA/j84J7066p8liUxet
vGkL07wuzNHBbM8qe/Jx+rhlXJwKyywpDpqi+9brakiv1q1bJNatYlTeNNocH0JE0+tsya19ZiQG
RSQWz9gNIk4sEb1GN0CwFXukuvTWAoN+HTXFmO0MVqDFsUAavtELw+JGc515lYMkx7d0VWwHAqq8
umoYEF/7SNMPYE9O9Npw1vEEm+VjjYCSBjYWVntvNWVONN7wfLzrcJpfUr34t7jD43v2NwYdodE8
2xxi03L29NB8aZWlXrxczdcqd1knO+WgXjHjyAcOO4v9YmPG73yBzT0CS8kIbeBv5jtTPrlgzG/q
TGpO1K4Sgb/U3lnwD//pq6HogLrjvAgy5s1TORYRbAXqCfE2u13LFqToxN7GXMNdP6/tklNztgx6
/iQ9WVTSsKlZzIJ3qYuoGnL61k12UEek2GrcNh9U7rVPGHUWYnTM7EFNSO0OgmH/XrkK8waCVnnT
e+62cRCotrS5MOLMNEffeUTB3lt8Dd0uRlwv7lhKm2QxmiaXgYzBr2x8IyTOYw0TNiAaR1v7ONWs
MPlG+AW8QeG/hW7PRWdwQ59uA5ePKkjbpgUtmDukLetyxsakFuutbQ0nOnTK9K78eaS0MRVR8lKR
ApwfKKGY+72Dq+tnqyk9O9Rsz+Z9aHar9dn1QCDlER+Ou85eYVV5XmHR8QA18dDL/ZFn1fzIdwaH
vF2007aLqS3UnP7ErQFx9kV5NXm288axJB8VSK1Nkob+2sPVPU1z1mZMU8vbuFA4yk4oIQFO/1e3
1fHaIsSRtKj/rUj+qg3YdG33P9qAg49P/fE3NiR/u/3ADPy348fwI0/+tC6Bef77n/LLEmz/JmzA
CRYuR0fBff0/S7D4DUO7Ay8QK4jnMSP/wxMsTBYp2Ck88qoWaJA/QGTN30xbkNB2iOPawFf/KxjQ
Py9LsAKjl4OCp6GbF2KulPM/2DDBp6KqsgrYjXDSU+Apyon3FjGwbHJ+N5f/e6ANxIk/uY+RT8Ez
WJSCswXw+VX8+e+KUCWqWrYhHrlqP7gD7IHmSJiPgIXcL37zXpDD6sY33BqGu9xFBZnF2P6SIzeT
yL6a8nqvaJP9w37r/nfH6R+R8dZKLfmTEXV9VTzvOJH4DwWH4k+/gbBOKl8VTbir43mH8nDKsSds
R+HuSfShOZAzMQpqrdTeg3tOFCeYQy6pIWt4SSOaqB/+8wvCEf6vr8gTNjFZm8WbL/+ZLF/gBsSa
E4W7dunjg0idU1RK59HxrfBuimNzU0sjv8Mj0lOPoZZzUq1dVIvsN2k2EKeMy6+GLuVD2Fn5lU3o
9MpxklPtlvt66nVAl+RXd/qOTygYum6jqvJGYf4jf0IybjOXkrhlxIbK2Nk4CjCYgZTDGlItQcPT
sRTyxmyMgFl9DyUzSHPnxs+Ia8TJWRmPo6gel7AIBOK9Q7uPRLcxzD4YkQ1LU5wjFR4o6r0mMHpM
kNQb/WUujJMR8xAZvhmIRZzXG2e0zysBVzjHzH8d+uFtIIK1QeqOt/XknpzuNRz7E4TxLQrXwdZd
ULSMel30sDhnSIS3uSd5KmG0kvOucMOzjLsgY3Dww/x6luMTxb1nrqf7iUeGyoBz9kW3b1Jv3htj
sRHCha3ub/GrQPPQN0Os9qDYJhd0scPfmY87uN97G8ZtK9+U559TsBU4Jk8WeKg1d2Qlw55eI/aD
FbBbSsNzaAN8jnqfkstmfKxIQfF+blLDPvYdgeVlHAJXIu6lOrCab7F7J8rmukQfRmHejoxnpumf
a4dv5uDtzLTAw/CUwY039O1cr1pK/DGk4c5xvjVT9bVtv5d6wOqEhyPy79qQDu35nrDn0QNGX3ju
PimmLdnS/pZyzBoUcvg1cgvjZm5459w+uzPqdGR0nCooTny0RBdShMxm83tkN+jH1GEV22Ko8S+i
gPxo5zJ+EOTEP3xyz4pQ9vqloSIgscL4hJ/qybV6bou45k4tAIx3SGMV0r4fHbCUYpSBGB29AlME
tIGdekMacAE/kVlYFEPZF0/0YvZ7iH1u0Gk2f9iwpjUNV6vpQ+o5PwI96B30nCFatYnk2u7tO6lb
9aAXGJwdi5f9/3SEv6IjCIg0//EJefeZtPHHH5+Iv37kH+IBRz8aAb5/LHmXtMvvyQTP+o2ZzYQY
ZDqX8AxSxa+IDMkECTSP+IGLDYjoAs+xvycTXMpM4AfxMxbiAg/N/yaZ4K4Zhz8/DzzpWZ6NA5aZ
y1T/DPRJBtV4TtUt+zqvADpWhWQHrGnnvoldHe+027L1rK1wh9EjLnYiL6hUUAiOIf7LK8LLFkxr
/NnBgHmzRkmAFSZAWfQbLxxdfRCl1DeTlcQuV6QOaG4HVnhbUt53JuDZfFkSmQe9QOpN7JyRm0XM
sS8GuAXQWWlWjcq7hEGj2zRRN/gBpmdMJgXfK9zWs4OOLhyNWCi83LlKpgQ2ag/qhOYl27gZU539
f/bOZDlyJMuyv9I/gBAAilGkpRcGG2nGwTmTGwhJd8c8KhQK4Ov7gJldEhHdlVW1qVVvUiQknU63
AcDT++49tyN129O1DJnT+MX131fsx63wMwt7MrWmpn/SzbOrRiHdgLtZAHfxoHohvoonmsweSfIV
7dMQM+1H8DNCITTmdf6cD+WbXszsGsX7Me4XHKpJNULC9voP8CLp2bG79B5uuUfG3imvzSy3D9OI
Wmn6yDQ4stLTyHkRt5x5AnNX7lmYLLuQt25nsf6mRQsNnSlf3/dsk6MiDK4DnABn9L4MImbxk9X4
aozA/Un9ZX6qLfaarj/O79PSeJfU5YGACZpcbZRxFCzZWQhxVTQZwA5MM2A+Odmyvm9KNzgbA/0i
3KAMbkBlaeHNaSed4y5JfTDMyWLeebOc0KPLMsT8ltnw9ug+uy3Eel8KiIZ+sLXR3UlD0jl7SWJj
n2x0fEvd7uof6QJOzlWP9HDWrVVSgIknhtIU3+H5t7RJeCdHQD6RN/hOsK/Zzl5BSoK73ZYV7WZx
0GXbhG7obI9tmYOnLnLqZaV9k41G/m6MykauQZHH5tesL2ks7zt4TU/tIN0dAtt0KWQ13g6WX/JR
hmuE35kCbCm27seHwKJ9d1Nlwn4hh+k9N62Fa67VvfUjdEPv1rMdYixuHzdH5frlkUIbvUry4/wy
mHby2blZ/kPipdpRypV0uzyb5+SieUnjHj92g/emXAtSPS+7TwnEHwe/MNcH8bSnhK6ik7AYm2PX
+s01dIuBKMiD3WcqcvW496npbXQHvriYxxs18B5b1Ky/UQSn7tymZ+hwUGcCPIewDtBeZovQ6LT8
KPA30FRr8JYZfRP1tNoD6eFMdmC9MnBVz7S26L4HY8sxHkJO29s9O/aQg3lkYF3bOoapf/l5/EaT
IQH9TtTXugsnags0PqWcDrujkpVzoT67uarJztCCYjO15Zwu+029gu/AJOCetrXFbqw3M/9HnZXy
2YLGO1BIW/rXMrT614klJJ6jvmWz5lMHeHbbWE0kqm2paN+msmdnjiKY30k3ZeJBBp3eSsbqnxw3
sdVEVocOAHFvnEOqLzvysy9Gkk7TKc1R7YEWjUFHytopzC/hxXF4qRFM862LYMpH0RQhfG0f4DPl
DWyvTGucn1JOOFtXDTCK7QmtLW0yBHCzKMALD1TZIIpxm8bfKsxi57uqfMGrpA8qpIIvIin5rLpQ
XywxyBtQ5fVT2bPTwtTs4aMKysn86fu5f2DTWF5TEFTsR0BP+3HImSEI9Yjbxprmz5oMzFvZT2Xk
94N7nLiKuMO2CfWlQ/uoM5vYU2kupA4AaXfNz2QcGkZCL/6VG3I+FtQ3/uwxBWFHMfmL8XJaya4U
UEQOE7qzfMxwHgcIHzJIOKc3wXQ/yw6Pv49i6+39jj96SiiZ2A6ARPQuA1ntHWMbEOS2Uroqr2uc
hfaJphdV7Vw704yCRbI85spB3BcpoF/wyxyytjJwEEmpNUrWMqawuJ7cxuDxkoh9C4SJvaNC08GM
2RxmGg0jM2z4KMvktpRVeekD0v0GbPJpg24Bp4gHz6bSsr1SXr7AiGPvepinqbrG1q6f3Iy6nYGD
TrpZOLK8q56XE/UFl8RG6onuCF914pwYBmyKzq/IXKP1+PmxSBCEojir5i8TXNBMf+YcfqadQZ17
+72Pbr930/P3npoOTnbW5vf+GpQJ5iIwxuW9/N5wUwLFtjv+3nyzo0P27b434v66HNdVqptTTo7h
pFvb0dflukMX6zbdkkZ1JpsD5jIGkYnsSlty3nCbxIoz3PsTW3lZ9uZHNyz3Dr58sYmLWD2YU8Em
H12GyAjUIp+xtx7Bi+Ht9j767/V/0U7eC8gYTAGO1wI+oCh0xOb8ranIb30FgNUQUdI1/0oAHT65
1qAfBipLCyJ16DOeoCSo4xomf2Y795bsnBcaH6ozN2znCiwheIu8T7Zaz9dLWDpTpDwOFYFbXJZw
ubK/9SFplcShvlUj9a0g2QtLetogK0nxKB8lqZ1vxUn22qgPTumI3wxODMTttz4lEEmf3FSM69+O
gFVYlZccYJaLp3zC5r33TW9oMVliZ9z1VTfcAjRCFTNWgQw1vDpaOGvpi3LMThzpOh7jKP5W1rxv
la2q+sLdykKyimXdsSpxUL2HXTDKkqrpwrztv1W7Sii6kftV0GtcNtFbc5X5ulXwU6v0B98FFRCe
oXyQqzRIDhWV0FWrYqhW8dD81hHTb00RG151y6vuruIUcvwRXRNVrkiV/CVLdMAt1LEk2MRB6PjH
BstAsOkJdaVRYHQZjY9myg0bZc+gYHio9LU/me0SNUQFSIC4VvuTGK5bcGgjx0yIRrSRo7svsrTl
sSUm86WAC7Hrm2L8dYNNoVXEk2nh3AcSC6XETN5YsQIsJJL2YmQIphtzlvn1aDVPge5cG79cltAH
4/vuGT5EvsurMVc02dc/TceGZgB463Wpm+bUd2uAZVSeupkKIhSbFL/Uhk7aiXsKRsNNicd93gPS
7+6wSC1c8vFgYMgDEE9XddfRjKAKtN0EkcfaJ9Rd0fpS2eWmKCj+gvNMx4fhBMkTkMn0lyoHwSU9
6rLZNaqhRiNbagTLKam67TL0+OsTmxps9i3sM5ByPErEbA6co1LxM6ZgTu0ixR3pDfampQ88gvkC
129ODwykxwJgCsp4ntd7fGmAo8yFUG8xUecigtViUuG2NCXJhG1GkO0FFnyxc5Jhinju428p+FZe
JYGIj0NStpeGdNkjZApCgtT/boXlTHD/vbKMZG92nwnRmIy1Qyq+pqohCUtpSNEsb1ihf40k0DYG
cdGjxCcOM2nNjG4cNrukhUiIssqpZjY9WbocUN3tlancm6+Ww9PoZQ20cSqfhHuH9Tw4LSB6+p3o
KTw4JkMLZQmDj43LJKyLzzZxJwQMbhBb7DLwUYgTGCPJmLA99jwuooFnwGnKyva+CTP9HA9TtxpU
bY2/lynTSOvV6UC8ECBzOh8NWQUTAeQaAZ8iDv0YFCXrbbfjH81+qfr0wQS+2iyc3C3oNOMXuEsw
/uTK+bunoP/BHchkcW6KlvN/0cg7s9XhxTFJM25twOB3RV73D+AG3OIQe3Rpk+Kou3cPZBncxjav
rS0D2vwWBFP7RSyTqwMbdEcfmikYDLM65aDvKfnoWqMAdiXsu2qy5FMgAgiEolX4sEXizTxnk9mN
Rmz+B4im05Fvj073VWqqnw5dCNmxWbLwjJO3QkmHAQlcr9dgjc1Z4I3JJR5N27TTY1lW2NUN6Sev
tm97MBw1dO5SlXyAQyNgVzKyWR9hINWV5enkWkOeKjdzsI5g40B3Nh0DAKNKE6PBhpkQET2c5YXG
5Z46unGmhHHBgx4e0tqpfnGTAMmDMnFdBmYutvPU1TveM7OJxiCbonGw0mI7ZXUcEwhp2MLk45mL
lf4jFm/R2ArryoL0SItv4WxSV+kdd1Xwkr5hUym0IqHY5OeCFdsyJ095UoY/E+CtfOipV3xOys0v
feuG0J4zmqrwBvTWp1AZ7HIzTShZKjDlzpwbiSO1O9Kq5z6eWV8vJAlCkZa3Il/qOxYsuR3B6fRI
gbBd2MDeOmkW1MhyuKrDEjh2Eyj3PSvS5XMqu6qE17zCt8I6/2zthq6PqUweKNsuXu24Mh8ynXD+
83mG3IwQS/XBJm9PCYlvE5vnwqKsgeQ6ieGsB8HNZbGbKj3QoGccdYCpra4fiGyxLgMwOf8IAWYQ
tm/FuFV+6J/nBKd9pKahfJapSI/TwnCx7b1yWW24Mv1JfIthsQEA1Ll+dSDAskDxrur0nMALuPNW
rankA3gM3bF84H7RXRLBy2AysshwF3QtQjJivKer+NHWxpXHBxpz/Hrzc+62U+gkDwidT/9a0f2/
dG+QyYCCUNmR6Hzv762kFDl3lSA7cCh6K//Raky0TorRBKalfwXWjJhwPaXbf/1L/4768BDzgSv4
AewQ37bWitc/C/s2xJwl9ovpoHG5XTgWDHeE5ZstZY7pY7v0ijq12UOL092vf/2b/75SWH8zsoll
Enha/Z5/k/lb19U+LPIFVFErGHV8B8NQ4xnnfhbQz8swXu2neFT/P9b7P8B6c6dz/qUUd/+Rf8gB
P+9f1Lh//NQ/l1PBH7bv+eGfHLv/EOO88A9WItxKXegc37COfxPjgNJYFn5dQmz4iW3hwMT+P15e
8QfKHjqdiw04sEz3v1RxGHh/R87zNVq/TatvmCUZiuFfv8WkfCeDo7jcmxVejoMRT5Sf2+XqgJUh
zHyycsAomEaldwi/a9M7MPv1tlrb1GUfGuhcdhKc7RFPkBYTVqouxENTfVex+7A32Mt/V7TnqrLV
JaS4Xfk5Fe5F5+vhQPYYz+s4kv1mbDU0JCoa4EkQwgRhfeGdKEFqQUKqqoJ/D9LuDWcKuC9LTOSy
YLJxZiuaivS7WcfJhQWL90lPm9oRAdKIX2FwtxTWct2RYNwRXCoIVxTNrqWi8H602+4L/pNBqnKi
3N4sY++zKob6lf0MsElKy1c9yiUYhpVNJj9H089fqGmCwYC9D0puq/0iOPhjNT1I01Rgztzevpjo
JG8UMsbA++bpDbv2pDH+mu1NNjNTbavayom21wMRtsK2AQmWgyGWrYe8VW7GivT3ZuzXwqCkFu1t
1UMx2cyWCt/axhLJh1ljPqIVYzaKncbExeEFRfLGcyz3Dec/BeaDTi0GMYqSrqQUGAHhv6pla5Dy
EOdgnCVGUgZjmhyBoUSwG9SLUgNjNyQNyQsoSqfdUPxesbHhQSUGxWkqd9q7Muudn6llTU9kQ1js
qzlmLtc8vK9aIt7UDrcadHip22fKHcrDuKCtMNcr9vj13DEwmItyn1OVDM9d1xZEdZaQpt5ucZp7
y0vybse/YHoe9VDe0TqX/igsxsJ9PA/hMc0GeRDmlLzmybSqLLab+VhUazWJbYDy8KKgbPRXnqUt
I2I4MCyMwulsHw1nzD9cOTI4hk2RiLPFIMS415vUs83WSF+XaZJK7NYKKahhc7uhhYrtWtvIId4M
s48EHM6BfFYeR/BIlXp6w+sUXPIsDIsN0m6sdiPPw5Yv7Mzhg5psHW6sHhDHQWNv6A6xzgVld11F
rTBenPHgQJS+IGbZP2DaBk9FLhmbcX+PkVHLitLBsVru4hwl7H5KWISR7xVHXEHiziLIc55GkzNC
KdnLbNgJ12/E+ouz7xsgq62m976Il/lbq64CY8+5bbjK4tkjGz6tDEwgKruwbry3MMF0DM8UUk7U
KAqktu1IjXQkWrvce53dnwIxDfm+wUu2NxtTsbllOzRDJR6Se9gLEAa6NA9fcTB2Lzmh0U9vDJyz
r0dwLqbBX56DW4ycJnhR9ImWEehBZzMPlvPhu2AybhP8Hh55TV2yE51KddvVi54RFJVz1ePHgkZZ
YsDfi75Vry7VzZ9pngR4Jv05KA8994F8bxeLEscClxjMZs/kN9NfDXOOyRtFpGsTKtOazEe7T+n+
GaPJC4EVT64Cy58VQlIVnrVkCcDfWVu7tXt6bAJmHQzVAZd5ag4zKCQgKCzE+MJ+NI6RgQZojfho
h2n5c+6ox8rDRFCtLRl3fQJAX0Qgmxui9O5hMuHAp8QVSFvFwvnCkZLfUuHtOTAvvay/SRReQ2PB
UZ3XjozIpIaXgJPlE98o4nNVyLey7pdmz8NkfivUXN50IO40Amfn+JuOjuwDwklNV4o/fuU9apuf
yC6a0xm8SToxeqncUvJcDdboXWgsWB642bjVIxp//BHkdC+Svcc14PldfyUhTr5mbAlZqQyBT3K6
rIyXDh7STTGG5m/QzChgQU79KOeprqSxwE9o97Kbn4PoiHQUXWaTDqWMKHh2JiMfIHZUwtgrVHD/
4NQ9lxmAJtCoQ42gdd3783D048Z9DKips7aWVvOmUlwpjpRDvZN5k56Fm71jPK6OoszszWC36qOc
VPug9EgdnOScQtLLeHC4nVWM7YiKkS4WxM8EDPyKrRw/0EyEd8wmUd+FhcHCANLTCC1jcE9+2S2v
OGBVuyN2EuysVjQ15sLByR5Mp6JCclzi7JnsAlRNlQblHp1eYCS2KzKCztJyO9Km9RNPu3+Ldibe
DfyBd/ZsNayxJ/VcJlOQ3VXpUHFDsRN3XeHq+j2nTe+IxjmJSOkW2AfyVQRoqgl2UHhCTkI0XvqP
iaFG1uOZzVKgqrp3t3d8Wgil7NMoxu4ccT5lkZxNsctSGnfsDhYCp053nBGi3SW+Uz0sjp2fQcLY
BoPPXcsxLNZOxIV4cBcxcXrT3NsVQQsnjPVDEfrT2TZs+5jA935sqhWxYwXjrmX3Q2nOoN7kLHW8
SaoGyjvMHVzu63VooDZTMu+OvbjFPHWvSjC2wutemgTRNU5WGk7OkaWh/fickQmmFVw6P6c0N09J
GgaELVFIhrGl/HbO3gt2qpu4839Rnfo5JI5BSrYELxonFYUPsPtzfHyT8zIUGQHApuVOzHlQ4gy2
G2wOJ4cjuIhmtNX2pJ0YbRDNsHEiYXjUEyYsw5FjkNEws6P54npNg58AXxuwLtZgPadtYCy4J4fM
PeqiDKYbJIv6Z8zCDTWELrzISUscfuztGihIMEkXrP7Iurmxs8cu47tSjmeOXMEWhpwvtyVlw6dm
KCmVzHP/vnCtcu+OMaQFUpJfiC327yCLh7cyEHI7LbP8NDpaNuiZcrKtNtFlN3h5vRsfEvSmDumP
2BVgu0BW4YMncJs3hvHkpFlJFasesyYKkLXqrd1l43LTrYu0XcUXhsZfrAXzLokHYe3GPplOLdXC
Nx1MhSwqJ6jtO1DjEE/9tMhP4SLkr2Ct5Kq8tezaWXuvq4ooQcQdYSQPPpnB7fLdk7fUfXitlza8
mN9deoOl0s+qleLK7XuDPBPSJoffwWNQwcT6btprLd+Mck+iCn2cuwU6pn+ov6v8BhMp6QQvnrzZ
d+Nfwbt8bfU4fDaqECvDZfKuioptFwfqALOuZ8tnhijWjQVF4V+ym/tXRXXJVUmEHkC5vTpyeShN
N0kfoqOUYY/tmkwJFYZSWPmt+i42FJ47bFvPSJetVQy9dxnXfkSXCAS5eW52e63paWR08buSx+pa
rsiuerl2Sy7TaAqDgMg+AXwdLs2zQIHxUQWy5hQYvv+a607lR+KX3Y+R7Dq8G/aX805l/JWXrPHn
7BYIQnI95bJXkSCp/YG5qvtht5V3H8seQ3VsewPNknCXW+6VNt8T8EG8ZkEgbz/KfNsHFFWO352V
BoPpDxq79VnFvD0RyG5KLrmNu8/0mqyZgCadW7ZNddHtgu+izMTNSYH0FVSb4rtUM4FiR8EmIIz2
EK+9mwwK8f1M2iS5UGgsQQV3a0snJ46k2hUUE1PH2uVEjbhB0/EZr3WfFF3T/Ak4brhV+JfPtRpB
ulll/4tQjnWvizGVW2vtEE3XNlG7M8Nne20Ytccw/KUETn2M4vocrE2ksxmTao3XklLd5FheTItx
wekG28GBI/MDSijCrwZKdDLrZH5pshlHJ6m98sUDrzdAoXJADySlmReHZsiolQULRrNqIlAgmZTN
wjmZRskUI5Gi+iNsBUpav/tamzElKCVtr9x3JpmtLQzfdcebpt18iAX1ylfLQB+sqxxq3pRj0Rqb
5SXOLhWW4e+xHqsv2QdBt0KEansnOUs9O/mcphELjKm3DiYbQCPi25tiuWIfSpWCkeMKcxetR1zt
FO0YHw35veOc2+VKgCLDk5/SGvbRhNuL486azWmCV3LVVnDvgnKWh5BvGgS3YrJcUG2x+oChTH8B
oLS9HigsHabSp2jYaYzDVDveSXA98cVcWIRcYDaANGaFQmkRK3QGVtH4iE+B+whtrVuuingGlBYy
E9yVylpqQvpLmNiX0qHy4JBWWpU74Dhqh+3S9EQkqnHkpFJi2ZizTU3bRHedLg3jEcE5mHG21VbO
zQBMGIeZJcf0NtC+Yj2exbE+5jIbYFq69Q+2252Bj4KZhDA7HOJDSMGA2MtpSbOTCwUpf82Stq+O
rNTned8WwSzfqwWuRAjvhRaTWbnxO3gIWnP8KbF8hiSChgmfu2Yxjj4oGTN70FuRZc+gnkFs2Oa7
8EbUuX7oNb1Ba5otztw5vPD47vSxCCx15cyV1e8Iz8A4orXhMCDEYwCku/UhrYeqOs2Zl5v7tG9F
QBGSSvLrxvG1Hy2V1Qz4JW25h7w0Gtsh0d6BJvAwhh4HM21PkQvPLkj72O/qTs2dTYbHNsniNV6F
md7wSvk2rXnOtpvm6rqEPOpj8sCngYCOatgSm6rn8MiKZxXu3MpPn3lIefLkTEPNmGNqfRm1CDCC
Z5kcq6fUA3v1aXENk0lSw7ytvXYlUmFY42gnvfEu78LwLWe4W0t2h9bfSl4OnKE+m5ejlbAxP6eG
s5S7IHZ9Z7MQbNn7UIUgtAW9cWZj8RbmRsxEbrXJHTlEnolO3L4bYgrhfZjLXQ6OJwcyorZ9VhBG
RXpb4wFizA/F5LVsPWLVEZYiUMA3yoh/k883yHlhKzC2SAz4eIYynb/mpBcCfc5KGFjNEUZKN6oH
xWY/AukvVqzbXJ1G0RnORjvlvUok9yZs+8U5mbhimVqo3QMyDeiCbGoyfko/UCXTewBvrvF6kEMz
R+HymEl6tSM5UjctE5HweQRLDqyB9dXt7InSvg7Neky2/LQJOKYeTWPb5U0ID7NKJ7rEenNdn8MG
6bj1k+nvbPkES4YTU5G3/UdF5/bJAE0QlZ4fX/y2lCvbdbG8TZkA+d8ulYtZr0zEfZc1ziFr8+qU
27O5fAqLt4OgTI/AOw2PvPPh0aGBiJ9vfGwkepGn1qynj0RiH5znbHjBwDjkByu37CsoqGu3EETz
SAWIvEkx+i3dYHDsI7+xzGqrR7cFK0QPTnkTKoWpZBFBFe4NXhh8qCI8B94yw7QrGnI2NQ6ubtty
2Cc4HnvddqADmkQhBMERh2sQc8fuQm/336turjLqFygZTF3pIP9NVt3S9/eX/9h9u/9+qF/9fP9L
sgX8X//zH97u9U/+Z//P//GfMtrjX/fwYf/7HILHjyorcdj/VH9WLv/5Y//0EeKQR2UknwSLABvh
n2z13h+ozzZebjTIv2IILPGHg9UdtURgJbQDF8Hxn9Jl8AfAADAENMWykhX44v8rPsK1cPDPrnIf
S3kQ8j8uv40N1eoy/JOvvgcBprwJyBC39TsrrhAUje69cuim65kgjaG4crj7YxeiwOVP79T/w9Hu
kQD46y9nSQ1hIUQcDiBo8kL/+ssRlsxcc5ntrNJYjvGAIcgY0jnqJ4lHmvARmkVu00k3phBwzQxn
iGV+caulnaadMDWmA7TvTciq+WZ02aBRfeGeOeGznnIzcdX1XPtZL8NrkUny3v2MWStmuToDBgLH
2rf+D8Zut7hu1+0sXqRHgbIR0RnOX+gvDeF0Hvm3TmMBN1KevGZ0Ja+ZFQMUZayXK6dv2LhAy258
GJSPltkxu7SVWH7QeGVfaLc1Hn1cO5FHT8ItGUJEDdonMbuskplhzE95RgFa50M9sADzb9LSUwdu
Ke45RCM4rByl07JyLKKpNwxGY5avxdHxO/vis2aV297IlD4ZgIgEAXOgNAfHF/EhyZhhe0hiUKLT
OXgPaAjCu2e39j3STdJGsgoBP9HJR05OzMd5zOVlSHr2X0WXVj+ASo6QxGbzDSVFcipyjXqOTEYR
svu21q86SQiYMkNWD7WQL6oz3N1ILg3U9HAOauccQjA6UkUoj2MfAGXpjHdPmeG1qZzJA9zDZrlU
UlFOXOQQXlgyTgNdttN0oxCH+LCK4jyyUzyUbBoPNihAFeVd0Fxq1g2ntJxQMMZUPyaUCB44aVP0
2nP6lBKFelF83NIqzA9qVqiMrFsZw2etpkNhEB6GpXBBXU/2BfS4a2EwtFJnXbPp5vntGzI4WkRP
dyFXDi1Ng7Iuc6bTFgG2wgyX67jF0FLy8ffVAqgVL1DiswevDRv2LBTHLfFN+UI3SfCy9khft3nL
dzpxz4HViQ3xZDxbSVYS+Q+dazH34eOIGZQMrxq2MIPkTpiTRKAIsYkmXUq6F8300bcXilZcIEsP
QYL7DriPB1M5mkMiXVuYxZbaSOas9zxQwtq3HpB/3mKzJjEnx4yrxdJusXeWhUo6oXFG7rFlLjdB
7YvP2omHe1PUaw4Zg+xhXitvtYj9Xwsnqgdfy/BpFbW7DVFz4z1f23MzVTmPogCbvp2aqfPZFgLJ
3tEB2fQcw91Y7y3D6A5e6ObAv8F9JjygMFOdsBnoz3aeMoo7ctu+5L3VW+/swOfD4rtzFNL0QzJz
8fJPOfXlna7yYgsGsXyUme0eMQGeZI2SAIPn97JO21U/aZByQvxGtKGrGAfqcU7c7BqueXpaemxQ
VtyisSedGG/IILRn0814pKrJGp48bYdfeSzik9F46PsuI0DNxpGtt6xcnCJd3m1pQZXXi4W1mpV/
/0IYiTZupa0bs1ncj3gZ673STfbb9ixrp6Fr39fUnTw0OrQ+qmTx7ojrq0OcxryFUyCfOMc1h3Kk
c3PA0fKa5m73TN2HeGJV6pxSie7d8giPt26x0kuVKvShlRKTNzrFJCPaN6z+Cw2vTs6p6BMJV60M
AC40WUO9ID/52i8xcdc5/R3HwvOPzmyqZWcBil2OLJUXMJBZPu9wmOyDORWwaZloA0gS/WRGidlx
7HCn2dtAQqeYesrH7INv2jRvatreuCH5YWZujYy7MZZgbH5p0SAw+y0Wja1YfYXK7/zwMrRzdbWI
2WICdwqOKYFhB6e4C6x3YuEhitoynuA2xC9SwEHd5saojW1ea7L8cQwb4IwtI/5gZkYhjYdQn7Fq
6GeV14N/olwri5nyiuWHheEJ0Rew9C4GD/8BL6O9GfpU2ldpFYS70ZjfZnxp9nZOeGPqsTQeaiXa
X9BkCXssTbrTvk25makUJq0Z21wHmbiqX/nyU+lULdS/RAgeoTgU8cDuSLkdcmmnR09Hld8NMlJD
hxPW0a31NrUj/UeUTlurjaReaTDd8GbUWjo7Hy7oCwUv5muXgbM1u8X+ytRgR8JZwm04LP0erKm8
1SjsP6VYmhsTQGV+gDhgwgjyFtDM5bI6LhPObRF/LCPM2yGlJa0vHmm6xUCpHS76TeMMHQfbnn8A
JvmCPWO6oDZqCyMqKOG8MjYkN9uWeyaYiU26zFl5wLFMLjxOCLREtieWiUyZpre14hSM0WV97mCJ
a5559IDvoIqI6sNmovq1yCiBLXrqYPnI6CnLqYh1inK6dGttbIY2Hm6gQg5XcLoxaJSpMAZadqv6
jpEc27TD5dCuZbRA+t07CeY3Jb/gi9t8HL0bRvU+SmhAuFCNhHiB+HKuwo58d4HigwGZvqYo8Bxi
OuFai2tAU/IQ+9a2XGfU0Am0DUsN75i9S8ww+JnPFd9bNWch1vMilL97GLHIb2sfrzlMxp5pnUmI
/EP6Wjmjsw3MZvhhFLibBm+6S8kj3ANbTp6tgebfZu0AhvHCeqxNbTSQtSM4XduCZZqkt9LHGM/b
SZswiY3xa1wbhtPvsmGbtkVwfCnYYHxowtwIx+2vgyW9YM/cIVnwQCYNfHDMhiJj304fx7XbeKTt
zQew3BU39nf3MUC0G2eyiMlpqifup2EwiSgP5jmNwRJWNCiP2FxZ5sF+Xg11zGT7bO1bZoD9Amjq
bjnC3BZrJ3O1gkCdvOX38YPefowr/2poND3OhWdHVdumexwxel1g1MEdVHo4mJ6EFL4t7LUUugE7
dAZaG7zylNOc5PhSMQcxCP2u1lZpUINTeQrWrmnPzj1USIFnE5GLf9DJTiunJ1blQDsl+vGLtQMl
Qk6QDV/qu1qo+q4ZGnsah3x2zxd8ZyNOwKBcK4mqtZ6oRNCQm5AuRH2qM1yzMMkXprWiUjXbjbk7
y3lYVATQWQaMfC7Pw1Zl6mVwpf2iO5NGvCTgiL+OKt5m8BQbQjMInGyXw+r5WtrC/+Fgrn62QLUk
UTdmxeoHbNf8ONPXrpdm89QlJKl3Fimygbc0DO862S43hdkTqK595x8nRdO281tsaMHrJAv6dCdL
Ic0XgTe1J4g0Di2GgMf58LiBt9G6h8k2EK/7X2FhZ+kenG6FV0zn84NLeJQlgsSXH9VzbrpHc2r6
izLCVO7mpGkuaV61v8mD82vYWU7j+rmw+4olVOnI8hxuYtmoXXnpO13qW/g/Xrnp2ZsQeENlWrBA
GjOkVHMKCFXiNSZ+MC+8QXkRZiV8/BYMmYtL8WHsYwotAM2zHcxH6CBXodeNwZ4KMYYOku9XavTL
gLHHnJiAPVL61uwUV22ck+kHxRbg/9H2i5+aHjojzaxXltOLc0Xh5mXhplNwSy/8JxwCI8l0j50v
SHHdwf6a8H1sA9bJjKzgPs+Q6nHx4redIPEvCKq+yRi103YtqT7l5DBiB/NYTvOZhP1VOsfxS1mO
+TOJPUiQC5jf4OQOOjmVDY6ktO+MX6aVxwh1Fr4Ok6fKaYbpxXo0SPNXVrNkkpBLhhc+7faaGkkI
oUslhhMt7BxBZGmfFwdvROjGw6Vq8jID+Lwe3XnpO7AUlMpMnjPdtDAb0q2fEoAkBSRntYUB4z6S
XWEb+x+cx6y/53k5ZYZYKX26nYiWYY/563GMxfegyswZdrFlluxWks86qx8QkF5FWD2QAODB6qdo
CvJ/s3cmu5EDWZb9l9ozQdJII7mojc+DfAyFhtgQUiiCM2mkcf76Oh6VDUQlGoWuTaMXnchFAgmF
JJc77dl9956b/NBpP9/++/sgbpz/chV9fHtpmj5RYoJ1JO/+67fPQm0XGQHSNYBfoCWzKp948fPj
f/9d/txo/77xPr5NQGxZ4Prhv8G/XDonPfc29Sr4DKIHA6wH6UlyWhj+zoln8HpZrwgu2QFg4ZLj
ySayROnNwmJ/+Ea0w91PRtk9SWgT9wyD5OnxktGdbtrERdT0hhFFLZOHArrsOBfbKwJtFf7/TOf/
kR4DGxKUAIfRX3/zh+rzTzXn/FH8+vd/e/6Vf5TRR/nxtyTz11f+U5ax/vGnIYp8P//eHzzB/yqe
8uAgIJoi2PxJcD6YBv+Md1oBIARcaDSguQ9yo/9XvNP9ByNPgI/QJw5AVv9/JssEjw/b329T6brC
ktChiNYT8LQfws1fwkySQYwT6RAxgrR3ifK+KygppX3Y7TaBUQy/yIDDM4KYsMPEPC29MddkkSQx
cR40m6DCBLzueV9iy+fed9Mo1RtrDst9S6k2OgN7Oy+M5EmApt2jV8KeQkv+auyw2lC3mXr8k6r9
1BQT6lP6SLsumgfKiDtn/NKqUp/qquGi19kt9R4NlLujN87+PhmGlvVv5NIkTPzgkese6MPtHIMe
yXL4SX1zwyPOPzJS9m+wXsnBVcomGkSD6swZ5zm7RvoJcj1HLBB1p9lzKU6/k1iCvlfC82E5lo8E
xsgKGOWyZE92AQPhVBRfgipcURjinrrQT0osI577vWzM/j2gsgCGsJe0exWk4TOb6BGjFrkwimPh
xJ8n8ke4g4yRFEsbi+TScgK8NKWbZGuCqPSqon4s+mE6W1iddlwHh5+VWRRI6jnPK51rfWmz0YhX
A7wcjN+W+xKag3hqhTCe48wz34yqREVjhdnvp7ofbj0I8XUjIqowJ0JHy0iOjx88J1mV8bN3MZJE
5YORJmb7ZFJRxOV8zMtPeOmw8GOTEYlpyeaH9APcJYILZWam1gX3AcM3FJlpBb8SDBa1A490vEy2
NvMX+0Sr2Ttx6K+gZx0A0ptru7NpbaGP/d6NibEYSN5ZD+owo7bhpiE9LfPwEcV1ehgmbzjxhurS
cEGxvbGVRe+sYS95q7gJVv2oGV1I4rFGa+TOI5j3onTV4tA26qNlMH8ahkck3x/ri8cWbVsV1YTu
N4hLHGTmOgcDvpNdYUKDqMK9beh6U8yZ+aOe5/kQO1F4hZucnqaUN2pTDd5nm5XjxhSj3mcVFnwK
jZ/relgOAeHJMO3iK8g4SKJBo77jRgk3Uec7H4nVTcfEbByWlPR2SKYc4TX61TTVexEnUO08hiP+
TC866PEGll1LHgQgevKtGIddM6ZXZaPXx+5Bqk3kzYwdJeicbsRURStCt3PLVqkls13mLZSOkmc+
B8QmyTzdg8yV5Y4bRnrIWa28ac/0n9nHV6S1hCV8GrwpuSbJK4gbJE0+fWODW+8y3lNnCmIIhzHa
hwv0qWRfwA3DeFdJ56VMfefsFr7YWc3DTjQVFZh6b0h+mz1QkoZIS4v4EOpPnEhMH13nB5TsWozM
9Ojw55dm8wgdyekaO9RrcbGQK/Y9Jqac2Y+uaqwjbs9oV/fR9ylbH4jvrFGw+3eVpPgyE2c4TGbp
njEHciEbRD/zL9FiDAPEugd27e38uYZ0Hiq3f/YDOty6wht2EkjCZ5AnxfPU2lWzs2XqfPL+Tn7H
sheCGJpVs9ab7PjDCnMH5QyHKiaY2PMuKcj89WQWFPiItBD1JqvSejtENfa1h+l0q7qsvGC+EM89
HluKgV37Gz3b4qkxMOYteFHkNSYUCgxE1nSVgy5ztp3ZRZd5SK0bng65TYekfWpjVfxMeQvzVw2F
/YJS1z7lmRYMTHO9I6ufUJiT++eyLLAFkEuBSYgYax4l3v0dF9XoSA4lfYJPmnFvcl0LWqhhWc+G
Kwe9ptXKgJhheWcva4sbyUnzTj0tAExlkUY8MA1736O8MPE4sUb5OUC3W4IR1kuPaqp62bgg3Dv/
kLKz5TOf4iPACthjejOqbEvHdK3XWeLHB2ES2B+C8mymDcEVy3DBXQlqweOgtXajbxU3mbbD0uWD
u9Ykd7eQsUE6DnP5TfcIRa0muWYlwYVCvuhErZz/MxNBchqiMNtYdjUjvbf9MZKFTS2Ba35mMyDW
vncJRJZhywbb9Y7c7vkb2pF8CoM6QxFOERE8XR5hO5J0B2I/rL2i+AQWXq1zy2h2winlKwiWjfS7
11SC1OOjTyM3zddxbccrA67Ml1Mlv1KtvLXUxkTFh0UfVIVyDticmLBTb93OdcjcJxfbcLwVHiDj
Zhkl2/85KveRER7MqMFWVsnRXMNTnt4m9ZBFQzA7Nzt0BK0VkaHWDYgT7hXPlHyPhMG52FSxestN
WJi5aq2VbJLPh5SVH7gO04OhcEyvqBVC10OGGzdt6PR3q3fSE2wBhcCi2nNj20fPd390o9qhHqhF
SU/JAtmgwwlORtyv7CfLaWdcX8ScqRhqwB0S8KrYDHtderQFrdvkouYJ2on7KIyOTf5nVznFthbp
oSFvSjTfhci7mmNG8JXlt6wNUQwVMn3+UUw5xgx2EO8iVzrA4DIlp3Rq+20ZWzXkV2HU97oF8TfX
g8/F0AGI5vVjdyzg9hb43siQamLQpIIN8asAEJ+sOeJdonOqjRlmjCgnn98l2HOV5hwASEDuf7J1
qWGnpvJnWUFr9GQ7XEj7gDIt6eHwBg6xAJ4/2EL7VFX+hV8LWmrkTumz0KRBl2FAL9DSCofxJQzj
r4C3+/vsyhVjz8mN/W6T6Tr94IFY3xPJ/bliTy/+bJr4par6AUWwb0ic87sR1fRLwgo+pFRjDbg2
55pGRrD1ImjIZ/qZ+6lBSv9gl1svIlqN1n4gKKkqDG/TCNV8r7y+3GG1WudoPgc22N1VpWH0kgFG
3hb4+H8LEqdv+HnUBm4wmwc/L4tkl7OA2Q0lnJtFz2bC55fvsWM6TnnlDCCjnmf9GXcGeVwGspcE
V+Zh1MZ4qFmPrPDrm3tVuC0Hkuc+IUhX9hKPlr8Ht0kHCLLiT7t2zR0cOL0SmBk3uoBDsyosd5vF
7nZus+8wKmG1YcPxXCpYlGhWtn4U18Gt80fcERAjunU3NL+EMzDPVbwVcQvgQ+EazIN4RTtTscKl
ssLtcjNELQ7cap19piYXjlJYfbg8z6h7Z6RwdcES3i/NjWqTihPGptoXJ89Nzob1FIX0V+B2C08l
WiXUjZAkWV7SB0BdH8s9+xz13dG2p9+WBaCfPUJojgiI0v3qcr12yNYDX2XUOtO56GzK6IEJnaN4
a8xc2PXAqRI0Vv/cAvr4Do8kX47J2G8GC2p1xLLcC7ReUZKdsskYS8LnkVhnIbTDyVHBBsjqGC+F
GN/5ov6Jmp75k6ZOPPupmW6cOCqfTJWJV15vusod2ZX0d6vE29An46zdiJxZmTjxwQs976ZwvC9C
FpxHDCDZxQZUcSYQEN5AtfmAI8vsCchARhgNNOKVTyhqJfJb88Q9pLiVke3+mrHzE0AIy4sYbevs
drY8dE3u/qJrJzjJjt4hNljJNxq66qNrSgelgTT4u2EV7YnHZr4nkgeaofZ+YlMNdl5JZ1XkpN25
dSz/HTMwTWjA0hGfOeiZi0SqTmqqMeGCDU/2VRFpjV9UTTw9MJpG81hu6FPtdkHjyb3hetOdzkQ9
Q0rvDnjIw1VpBKCtxmx6GYQuL2MRv1XYLq5mqDIsaH69E55KVlMm4GYxg0+kGjZeIq01yx5E59iq
zo2XctKpMCLujP2yJGmGLUwmIAYy99XkKsPL7BPP7njgMT9WbzFrox9AnbMDdZG8gRvtYBHHYLOY
ow5AMVno+BbZLICKTuKvUvP4M4RwvZQJ515IicyKTGa/0R7n+Oh50bHy6u+y7aNX3wiZMgvqn0iX
vzdNtJ+jbMuaVe2tIv9gK9ZfOVFH1F1G3pVJnhzDjLEyTeiSXLNaAL/DT3KZHXZyVRwImJK2Rvje
g96zDvAD8rWtKX4ZC2zGQ+wvA/PBeq7zFNv119CbZDOJsu3Tin+KEdZEmMqbnxPZjWPe04cLXTrP
NvaAJy0sBnPNTrraEBPg5XMG52IAQdvOcdZccdKVy1hW6tPkDUMZsNVjdGkHOn9Sin8szThRBwYI
jqk9FQB4lmOUTN/CMNHMC2n+AYd95ldhtV+Uc/yTy5i97/F8rjAPOZTUtvV3eg6He9bPWDDrUljv
pVcZPwqUr02dmGrH5ulPIiRXwXIeCy494IeuDakhIuGg433iSnhmg2zjqwnd/cETmbnJ9clSaf5e
LtbsNwJJA+8sDF8Vixf2Vh3bXoyBNUdKRfQdlzhB2cT/HTDw923wNJYB/74CcdKXEHoxoDKemodM
NiZ4tuJXPYw7qi2ffVTopbT65EoyhQ1KXk477XvRZnKaGrNT1e5Z37fvtVn1H3OPdS3wQvlioE0B
XanCnwYzE7HfrkSAbtxgy5/HYdPReydip+pJtk7x7vlhx2zkuvvKZKTFEm5wCk6jgV/CpvcymB8F
rKVlsF4pSx7xdVIEW5s+M8jQFZ5p6C7+JmxS/6dJ9a2DyOuCLM1D7wfUPOktDNPPXhQj0loFU3Bu
hzl/q8c+2U5xmOykLcYPCaeWsyMrLZyIE1Elp5xv4Df6Q+bO483Qmg2Ai990STLOJtPuzfsZpeIe
kLb4iKYw2cpmUG+K841HvKbpenKKtcwG9hu47DD+tkquu5YebBva7a11WypPCXI0v8w56p+NUg7e
QveOPkmXhAuRBgEBYrL9d2wX9ZZOit9JVtJmGMf4DLFWiasfWeZywCFOjRdWjcaESLVSBq1Iozfb
hya07Y0xTcVb52ZMrkBeryUf90Xc5tX5UQh8zpsGG/6s52lVxZBFFg6gpGvmterCcE0UHl/3tGtS
m0dNzSF6jyrMJoskdvO9koW/JSzXfEsVMyzFsZDTCxugXsAt5smOLJYFeam/SxPqRvUwNE86e5hW
sUnQPICBMZh7AtCltBeuHuZDwXh2qOnoecOl3D8HTKG3zh44TeZUvBT2mByC3ko/I6/jLAqH+ezO
rsKOp8zoiZ5t61RqKh1jiypNN83dval67Bcza8dqWaXS/egdmvmITQnzo5BWRscNKN5X4OEeWgua
NMJDC3RjHQVAooxZW2tRsXxf4DiZNxPrzBPnuHqPx1C99F7tPopeuRj4rSbablcXwns+bPDMgxAM
PNDqelZNhl2c2aAyYqWthvflpUn/ZnmtXAGriC9UFNvbRluzRyQkk++zFVKLSEBw0So/PxqZy9SZ
pB5FYZ1Tr706TDE1yog/rf+hBhSQODW2M6LVxpy4g/N7sPFiU9E/cFWhz9MVuTmjf/yhPVBWDF6k
xVbRGIQYRW7WhwocOgge/MefBnWYxAhSxqUggwaFTaQGfiEsBbEwQezlt2a8NfCjJvTFnRLH5Ye1
KaV2R4eo2B9B8/9akPj/RaudQ3j3v5N1sZeAsb02H1+/dPy3tCv+8yv/Kes6/4DvZLNGkATY6SRH
N/3PoLDn/QOmrW25NJeKB8MWS90/ZV2CwoQ6EVu5vNk4fQRfxGzSxv/+b7b4B+Q/k69E2bWwedv/
E7fdvybsLboOoOuaUhLGIOzOj/C3qNvSOiqbzu23Km2DbwOGtEvJ509xs0iaTyOYs+NgBrVa/vVC
/W+cdqzp/lVOBjnoYDzxXYzHaHwPP+Hf37nTgOQo8Oq30unCTdIIV30U9sCMkPQWmFhIgVm8TDBg
v+XYleb16FSor76XU+BCjZcpt2auKLnQjcjfQ4zKKEngABaONUXtkkYP7kh/WOzZHy77YD8iseT5
AIJaQ8snQFX+9CmGeiFaqPMcU8J7L0iEfUyVHbxQhlTEa9LA/W0i3KZWWYuakiBT0yGkQtrvesvu
3krHSzauReLIL4qjk1QJSs9mGmZ8wXP5iclsGbdgGmYab1c6rKjrbawncEQ0WHSZ94qlqN4K8OxP
TaEsnhBcGGhkj2T43ejzJF3PkUH7GgjBJZWxvxgSsi2Ru02ITWkPgjgFkBRf/bjzNv1YzND6K1pd
rfIlSdCxB8V5bA2sPgmnkGa1H+RgngBp/lieVt2D8e9cSgWddSQ6ZQsalaOh4wub2t2USubooBg8
pGrg7o/2By4zLEuBg1mJkSeGuI1YuS0pDSUR3vP0JSyDnLalJVIvtTtTFBVT9mRD1LsMTVc/sS9u
9zQiN4sQM/OmhfmCh9zpAK+BnseKjSt6SLx1BmFwBdOM/mOXXg/b1NbGSYS7d3BwPvhL9dpquu7A
LoAm6IHK5Rm34rJz4RxnaKwb8JGg1oqMeLubh6sGG8l2HhoK9IhAYP+3opw+VcP5UlYf7TqHudcz
pHHmiVruLYaV+zTnEMRLoFF08nScqyCNYm6EqSlSEj9xEa0QG5zgsRfH4jMIR3+Q/cyqpZoxly+h
43jvUef4J1I/1id2gOKL+RRZHWnFFQs7HjqO6ezJpHMuXw1A7c6pHdT7FitAZDrGAfiFOsRzUb0W
mEh4rdMGZdWkIHNeN+5AuQvVpdwATbOSkoe+rK4FvMIH5dB95MSrjHwYOuTZ0RlI6JE+lqdcF9Z2
BPBYYD2M/W+FazQ1DbWOuaplOdtrKFaYNGbqgU9mI4jV6XrqbzZw+Y0TxVN0iCLFKIL8671TWsSl
NiSme649QUF6TUz5Pg2+uX+sM0oGWzoKZz5Q+8zCpUji1o/woefOc9U0XDKpD05o7PIfgXwxOQPp
FxruL6Ko+peAICtl8IFHZlGO9gOy5jTD2neRUg/T0Fq/qlph5hOF9ZJRK9Ft28JyfjOehcEGsM7U
LISuhUmGYHKNu4+CsyFqhR1I+ylXcdduBNsbQvELkcP26GwS5wzs8DaUiV2R/whInIl371BEBn6+
Qm/y2WAOmL5klH3qIn5CPd0q03A2HYT8RdHb+a6PA3GRTpqsaofMV5tBXkHFeAraJFuA1WLsNOma
Kmaj3aWqPpdy1tc6Nb9wZkkKvRoYU20e7ah7UKfS87ggRfxG3kTvSlR4yTUOjfZRYOFTcTza63YY
q89ZNv0GILQ8U44TJSvcMsNTSAfA76IISSaQdklo6fDxw1KARpB9LvEeE+VwrU8PMfmQ211+DJCv
R1yprHm01YqVBaRG/qqrycoZMKCkUiRvFHwujbe2oA2DnCooSsv9DiDG22h6Wm4Ba24mu4RdDqpN
f5i7+ZcSNc8PAiMOTgXwCQG+pFMvHNSRDGUOnmq0frQnsOKPi6thWmG9dEUH1gzu593LnQyp3Jgb
UM5TxkUmwqzUGkV31gM28HVMqpNSk3aix4ki6ImiBkiNlGryzsLxwdMi+vSxE6+M0vV3wocqQEbK
pBxj4NUYbZtuCHLIBBpYW4yYLLFDElkdsnMfktpGQ951uV08iLYHEibeSdkyBhfo/uZ0Ss7EtdQ2
b2pKfCXvFL2nQWVcKppYojUwV3I7iY6scmVMdfOVGAQ5sbk15pMngTKSGGLWXMcNcD4EeCDMY9zf
kynKXtsER0juCaorY6vbco8AlRXwgdm6uFb6HQjn1Fn3fe+f8fgVLx5/p2U/Ws2OG1X51bFrveqx
Dj8nMKzON10XPGbbuQToXbUYetnjyIb2WaYDJtYHsx338YyjfBbLtDM/Fb5MGEHwaHLb6o9eEqzG
pnwzyGYX9KVre8TGmwlvhd1QWMj5HVtHR/k+y5k6aZ8HbFcPlTp1zp72wEdMsgHu1g/1dfLLWyjY
XsbY5FZaFcY1b53wPBrERDKs0YnvbEwiMXAOHsn9OiLQGlFP4lHq5TvNMSWaabhwugWuaX6F+BT0
5lcNnX3i+c561mNUMO1pn8zUHhsEa3YG3vNFQsHhyrbzJwb2EYdh4279nmE5jOwQATrijxyPzjF1
o5cIxPa6bgfeAOHA45no4GLA3g8N0ZjjezEqnKppsjGGcJ1wR9nQdWQ/xaCtVrnRWjASvORrjODt
hl1PCZUGr5gYlr2gIA7kkybVFWmKapSH2sJfaFgzC4qltuiA68f5e5iz8ITFpdaF5IXN6zI8VT7Q
9lCr74Mbw2qqymbXBm73GDXI/Mmm3VbSt7Y8gfxj5CpAKllDV05nZyuXzN8OTztQrRRErjHx8S1s
5zLyd0eVIe1mNz3VBUYGIjUbvYgKYzbRQjQY6DS3hyPjgn5P/McfNUYD2JDR1leZqGCd4k4nol2G
wztQmvzuUQR0NIM8+61HF7GNI2dv9cHwSl+qZD8/goAfXLMCUULgik5EM/xtxnO3k+7ks/rLbbXi
mA23Ru/T6FYlFs0uRsDJmUW9eUCZIDZlp+IjYK341Jv2eEHVgsP/qD1PeL0RG6OgwLzX92lxAMqX
fIsCyz2afm89k10Nf+UagzRytl9sWWslGQ8miyKl1nQPES+1icSTButIGAnLqVEnCwyRPathBIpt
QWrlRTgQNUnD9Q8bHZWRsZ1HXyz2TCj3gJ4q/gglVa6+bzzDEUp3SaynI1DJeVuaU//muG1xRAQs
oacxPpynstQbW3dIkK1pZgAfYjE/Z+k0/epSWfAxZUV3bwC93IO4UtyHE4nHvgg7fOxULqQhrYT+
VJnnMC7LQ4xjajuRU0czYD1OnqyR0Vvi1M6qKMz86I7G+NwPhbPry6S/GQFOsNaW4VXoyj+Ri7WO
cCG9N4NM+LKGUvImnHCvK8tdyDY6N34qyZJEFOnWhtvTOp45BZN7zOqPJ561gCWUQM0TNB95TYPY
hYeGliAAcF7NzWLRoTrm+EDguS4ymnvPYeDFWxp36oXdlw/VcsJk0hrzHvd2tiz90vpOJrOnQaxp
8ROHAxXYs2Gn1pUjgvMN1F4/8QDDXls8Whdy3A8s/MtgI0VJJkI6D9XQSZdeHnykibLW8OQynjNU
Pdp9KjdQa+IvhhYKfSXyP3i5nHa9bpzKbeEOzV7VvX7nQzvfDWDRS5SuEiwZ38Q3TEpIWcKs3aKK
gHqI6FpRQ3cetNmPH5Wwx/pGsqDOvxnw9cDwI5KE3ES44C3Z4aXDAiTuGC4deqg4ZTsiMPgYemPr
Qp27F84QPdPNk/yeUdy3yGYE+OeByp2uMfVNTbb13lWB89yNA+DKqbGDt26Oghl0NGa5qDDir3GQ
6cGQjvioHfvRg1UntGcNVADcTQbUX41gQUpNKEJPkYz1fWosnhUzvmYGNm3xVHPbOtrWY8Yju9Gi
w/1YmB/0ljrfXWnK5tnHldmew6p2xHpOsTGuLY3DPSpIlrOfTS36JCLMgkERgbdgtz3Rq2HxJlx1
LDhT5nbdrNtiksA56S8kXZv61qriPDxWVhpI0u+1ItbvxbhZDFZutaE8i8+7R91f1atoX1edeM/n
Id6WNKu9qMDuPgiYF8uazs174zo3+hdXEaakldK+f2yniL0p70NyptL8gLA7/IjKIN3LxE1e0rk3
3ixVUR4qg8l5l8k0Hvp2mDaQp6qLPQt5izBeRQsrGsOdk+brelIZdRx+/ITXddjVmjLEjpfwo/ei
nqCYIa9OrJoNS7ktTZ7ehbaN6dBKsIZ4/tJ76RgUgrSi+7MZM60ldd74g/wajdPLidRXzdzwxPHC
UxT7P7oo/gJEMt5Y04SQNuqm4GltQx8lrRv87nzlLWMw5xvHlnDmBzt+afygex1SPjm5UbavaR5F
q3CU4lSCzjokYGNvbKZ+R05MewkFkPeacfaKybZmukrUL4cwACfoYO9KncnnGT35MEemubbmdnjJ
LEEFpZHFZ6ro02s1N2I9NbUu14Wl2qcxdAaUrEjtqS2Pbz0CwEpQIUM5STqoK9zG/JNaVucG57Xd
TDMEBu1XzaVHy92z0njtzDGpVqNvT4wHAHPXYwVThJWEvcm6diaOkeORGTtzmeWCGahN7bc+rmy2
/KgYucyCtwRJ7kfI/mULMkHvOVap0kE3/ZEwi53LNgLGqsP21BGS+tYy5bHKpul9M0MEOkBzU6cQ
/Or3XvO891TV/UjoBVmHc5t8TISbXMyyXKmtEtEc6T3FDDXx6Uo4VVYxoj7gTM4Uf3jUlk/csQTe
hFnF6akUffhC8Yo+QCtPX4yK95Wmg4+bIOhL1gnZqoiFdfVITB5Crx9WYOrz53FS9ik2ivK3M4x4
jaE82IB20vZsFpx5sNhD8eVHGTcsygqaoxlpzNEzWJmdwRsNyTTvoeG2bQYmrM7aaFUZjnptR1UH
3LtG6xslj+rZa0Dyp5BWx4X3BzkyBnX5RvAn/BhaExxJEPF8OVIuKa8zT7+X+Q+wBMA38BLoc06z
STNoRFE7cL9yu0R89rIEjW8XM7KuV30QaaQzmC7z10oi0rhFWz1FTGqPAswp5QdK8fCXoHmS3nPu
gcHT25IN3Ba31+A0dH+as7796IquP1oPNou2/XCtqyTfTZ2A3PJguLANsRZVlKi3xjOTDeYA4+5S
yos736Q2xVu2POKrJfi08qvC1DeeATfE7s6QOKlcstDTohsi64WsFwwZRbva796kYQDIyLSeUhIu
i5DNFWwp7CKvGXfIVQQ1YAejGYwOvzz1Z/0fTo0da6dAAu6bp8ns43c7SKxnL6UgiE3WzM9AN+F9
qnwaz4woKl+cov6t/1Bwam8qP2ZIB78rZtB97Bo8hlC8V3FRVyu3NzC/QdPJIoQtq6IS0ZtgKbnT
quVoXg5tK5bDA8fDMPbC+r06TI3+ZoaDvY3A6x+jFHxPEAHyAWXhUv9XPWWdCpnS/XubaOdCIq14
MiOH0Ap9w6gAY5hhQy/LIzhVuaffjrcDbDD3MBdNV62I0zyOqQILFNGlwMvZowSaT5oxH8du8k9J
NMUrRI9mawWh+Rnz9vlUmL1nvGtVwdfn9VHGpnvquUFtZC7aezp512mOrS1nM/u60GAH3FoC85jh
DtvcCGBgIEpdXNu8PDShd1OGUO8KNVhilRllemGye0BzeV7RTOID3h60GwMpw8qHRZqLJ6bG2UF/
m9uVoFrgxcy9XC6CoZE3RoOcVtI4Cy92mqD8D57etVBJlynrnRXWD5O6konPZU6BSJuT9qBCFVcQ
h17VHJ0GLZGqPzt8raPe3uhG6fd0EuYJ/g8WLBkbPMCd3r2JpKtPNd9tWdV1eI2hhp5MZUC3wxnr
HTu2WztRZSlthJM+woRTx8RJfJy5GOvKAXjzih6k8o3dcHtBXNPt2hWakcb3YEjUvTENEO1Vuo6c
6WfA5mUFvEosCVeaXwZ74n3Pwv+b5Mm0kF5HeqNWM/vJ2c82UdrRcu6a8wVLAoWgtoddxUoL/zRm
rbrNxmjy1qtN/i9DlDtZDTPL5tw7KFel36Vb8xQcK12jN0rAa4hXtB9gvrlwJ7BfZDxRnG6aPTMX
zluhOczaCviVRyJJZCBbGtv47rc9AYQJg6w1FcQ4TfpH1umYjzcvtLHjTb6xb3OpDkYFqRaHfP3D
TBhAjKhKVrpIEx7Gesd1ncVYUV96YlSbJgOpZbHbpakcN86+dUCj5KM3bARNsd6qjFM1AesN27Uj
Yj7jVY/cIP2JZq6sbiiLpxr4TLm3foEiZb34QxnhIptoekK5IpHTy5SGxxwWD4m8RD1TJFKYm8TV
I+4n9vflxsjR8o59HNtIsqrCaVcgfgC+yiLjFdS8PvgmeCn2zIgDyzhO+zvWqiZh6S+Tb9R2A93M
AwyZC6xG7rBK66T7nXrFvJ27Qf7I7Fne/TGorI1HAoV6kRSf6cYVFc+ttI6DhsoWacPfwgJ+p2iB
EXlg6UwI3w/Ua0fb7mdvmNMMRm8wnf34oDkcZqT+58SZy7daQDY20rK+jISnIuxQtb6Bx8AzZrMg
vaoBIU70Dz591r67Fljm0NcZnMMg+GFUIt6QwSWoIjxx0L5dvKT6kQosseZuOhnb2LStHCGl3fMq
zGz21XiWCXgOjD9B9a1t+3FlhtP8jHzpHvza9q5iAsS3SgdfPUXAbvSihTDwhWog3WUEIjxbmA2r
A2McDQeQJq3JaMj1vGyianxLfMkBgYQ6ndrC8dZdfEuU13WrqJTBc4a9hRJmcnWZbLKVDQ/tBO99
GneYaxUmNmI6n8RvdLWMpxFzxQjQtF+gOrs3bBEC08ww5QFU6wncEWx52131lV9mhFUrupGnyb7m
TtDexGTPrwjnw83AuEMs1sJIRwx+22olvgvcxBdSTs468SkI2dAUPa00xKALrIqJe/ngyx+tymKs
QTI/AsDvr41hZzUSpBU7x9of2bpY1oMIHlOud54Spqxl6xn928SqEfmf4XoTu2MKuigZLzjdMXp7
Dl3ky4wX4lbR82KQ9LSjr9CKiV4mjmV9i8JH7jEpzOJbmrCKH42QC3QgZ5fjVLtLQs9cpMZCuOem
svSdHLZ5twdRXibDLVMYK0n9PgPXO8s5pSW4r315MimlQMYp9X+wdyZLkiNZdv2VFu5RolBAMYiw
ubDZzN18niI2EB8xT4oZX8+DymrpTM/sSJILChdcVEllpUSYGQbVp+/de25SHOK2Nh+dyJcXaD+w
sOfoNMg/7+h/IjbFHZhMRvAep/n8WsHltrcIjjh79qJe+Fmk/WGmtTjGzbrPnnna+n5dZDE7AV3P
8boBeP4+GO2ywPESoZPNnl3XkkfLbOezkIV7YsAv9mGdNxes7WxAjS8+GrvT0cYn03aPQdV4dIy4
uoVn4Z5Imq8v7aHtj7MVdV9NZyNF4LGtV3Dba2iP7Th+Ogmsfp11G84QWbJunbY4FPbsnhTr9qZ3
y+zexmF7MiRQyZlot48iWSIYZgA++yoTxSGx3bHYLJkEr2YFr3Ibdm55xxGJ7jcmice0t7xbLJIZ
hkHXvYftzn9p1qEmJCoXECMSYJSwjDtitzFObSqGbcc1vMco3L6zA+XeKnEH/8GYTYskolzLeFs2
0Q3C6eYO855iesDaUqzszoa6INr2Jrfc7KIy+UMw3xcxluPeOGNBN0FMefdzpq22bMi9PHtd0+wC
l1MJkNwhu8NDR05O5CeyQs1TzrcAZbgjFDdwKWPnluFWccyEGd01UlVrmY5A83tCfci6J7JDm+S2
RIRH5f3knPhj4TVvt/E2QiZb848vUdCnW5M4+leOzN5V587zzTTmH+SZb/K0QxhBls2aSf10dhCm
3seDNex16WLtiPz7CU7YNnWyRblD6/LYNgLbrTWMWDJRID7gRqWucFxenmmhkmW81wism2HXc3xl
QtPR4TCQIR5byvafblQ6N4EQJvIOa9R3NgU9J4FM4VTxQBev+nGsTnGvSDeAOdLA5SFimenqO8Hu
xINXRFRdR6F0z4NT2rcj7YyfhevZapXCnGs57jK+iTqepoFsB1ZVnAtxQZaQoKeADk5+VUUANBcZ
Ke5Ks2yMeE3bHZVUqoYpXytKhIvOcItnK2TLinKfkiVaEsVMOQA4YtqCYcWsnpintsec64sMui0P
Y6S9jXCFtfWwM5d7YSmb3TQkSSdu2/ynYwWYd4K525LR7H1hxG4uEEIg02e7/yHwW2qUSRl5IvCc
cGkGikLWTZhbWXPHCUaa0XDRgArdy7zGZ8k0h3ZvpV4rZRc2kuvWIAEbe7dNjySGIZDO53ZULHK+
W1eQXZroXhXMfCCRDA+xO9of5TCNbzFl6wOMT+JCSUpf1v9gcdr5iVfCpRrHn3XK/HIBqACAYs3j
hJdzxkMjx2Lcd57LHCZtLTaatI3OgyHEW2YpL98OVYAZQE9sXFPhO8cAgtsFP8qYedT1uI4qC0eO
Qn0LdgA8hW5URfxlKAvy1oNseq69VDK3iZaQ+4o9v6hJlYG+VwbrMpBGsGndeD53cbCwGAeZnlzf
aU7h2ODLVenkvsOyjOnlCSZ+6GVLdisZVwHSe39SV1UeR3pFow2tUhKxi62wJCxoa6ez6kt/HPmY
NLVDfKNlSeARhOrHrNfMUWSRAjB2x3LVBoZxpMmeo2jXzfJ/DLx0qEpj+cjM1sowVkvoJXmh1Aci
ueKqYoJ6y+ZF7ZKxXZJeydZ+bAUZChtQI+ML/Wa51WliPITL6Sr3AN6QhjQSJst8cDuQqbUhKkSc
Pb+XH6mN2ril3bczAkLC1jYan2CnUBGsfZrDF3MuzBMK4vEKEzMIPnNpkudRicUGN77nOSZvVi+3
RjLc2gadUQgYnK6bl44i/DQFBV5xEOvbFpL1Zpjq/tOsVHLuKCeu5LI6E9SAqs8VxaXRVxKRIP8L
PBieKYi94kXg/r1qYNac8XnJbdkKBJSI3TAAQ1V4ibpqvtV9X1yWKerAJjKNLek3+TEzXfGeVT0w
v8rTl3lXokya60Svq3iINyCs53doZNEBK7R7BC4MT68DJDuUXaj+v+3zf8n2Sb6wiaDlv8ZwPX82
7b+tPnF9Zn9QBv32535TBvnkUSMxwlns4qn8PYfLw7opUejD4DL/SeLCefwvZZBcvKAslb5w4VSx
svwuQsD8hyKIBoemcD10Nfb/ljLoz2EUnuVL8jeUNF0XCsIf9TmujesgYzy/11GX7mqR+Ks+dOIN
7kOPhvV0/N3l+StF0BKr8Qd7KSQy05QgxLgi2Fm/BRaAEw0sAGT0RmH/7UOZJku/sb7tTXJaxome
Vx7MzMFomwsiaKae8UsSqY5uU5AB7JUWlQ1U783ffK/vSDCH7yUx1tpCSYBp7jed0nLCBd6JgJLu
+s+24HuYAw16TBIH2donHwjsvqThuIOUOG6i6axwnp5+/SUWo/n3a2OZNCwErB7sxt++A8dSJxiT
zttXdOf3THqCk0fN8vDrT/mLO27zUykkLR8Km7/8+98ZfF0uMot94u2tUh1UOjx7aJsOA9lLEGWa
4W8u7F/8JmXRY+GOK0mk7bfnS0ttijHx/L1fuM5u9PC+Jh2gzV//pu8qM+4eKGB4cvTweYblt6dK
BqlZDypw9yTO8jNSmh5F1t31efz+6w/6i4tHDrxjEgjiKqR+3z5IGTNXdHl8g5gOUG4kX8hzmNJB
JLeS9Or/4MMcC3c32BWhvmfPj51d4kuz3X1JEO86A52winq2r3xGsDUmzuHXHyeXe/Ht+UO4iOLK
ZkWAjfftXsWmZ8/kK7p7kJnpSvdQ7Ac3EHcZgBicFgQ6VTRMdxGVxmEuk3IHITJ4o1tHhETBPIn2
r95bRd5vrNQBxiwUikLH8rKNUtTbrazyauNFBdonIErsfzl7+4qIEbAwBJaSn9rOTElUAkdGJM6t
Jlfvb1gP5l+854DdHelLmrZ/fh4H+NmDmmJ3HxaRPCbK8I5Tr8Bd9urRmEiAT4LmWOjwy7Wiip04
lQ9457y/udR/9bz6rNxEMrtCMUP+4zuoE/A62OT8fZZ1tFds1CXCIW8C38/fSDD//Ek+sEPOq57l
Ka71t0+KqgXolfiknJBRuR47bHrY8H9i4pbbXz8+WD///HYsLEfQkgxJIHf/89//bmmpc9MyXNkQ
EUBltk17I16k6uMNZ6TxzjF4EGTdPnCaybcJ9Nl003oCADSYPEzMJe5mv6lAwLmYMTjfK+ceu556
VXQEDoweSIu36m6695vWvqQHVF6kERbRQpOSsKrMLhl3GeA8Rq6EYYjc7Y64D7wDqcEO3XsGwEbd
1Buta7m1lEaTXXeCmDoVlirYD62EI5+bhNdARLsulDkiZYoaZxv2o+RE7sXXgciTV2QF+dFG5bAV
mT8fJl8ZTCZr95jWrfsSW7N9PUh++NygKTICxt/K1w79PBmczWRCxd1a2yyoctr6sQaHaKLFR2vz
YEtdkVxTVK9eKLwVnncYtdFUc/YuF5Nu0RNxiIPoEIs2uTdEVV97IgdXNzI7x940MjYcB6t+qcY+
OKOQCp4if473PVHK79h8qc0DYf1IjeS5yKSPVgDo3EXS6mvshdaVm0cberkHyzbyQ9GbUMk1Act3
aHvLZmVFjnchbKu5noEBMeaonX1T63TPzyHCsOc0BJeOlutcdhmQrRi3EavUdOnTwUZtlzK0QRES
dC79+zreZ/XQf1IycU3oBF1GESeeEuQ0EqcAJKWyZMeo126eTdRmT8r2AOHlqmoYvmjhP1G2TfAv
Mc2g6crtY9ehxxhq1JjaUfZl3Tv5tqwF8JoYZxJT+Jmtn3kBbfpVQnJqt0l7Lz7I0Ne7wuN+y6bn
8pG1DVEPjwhIcawQK9Gb8daulPoRVXK6cH1p/0CBKDimizS67jFsKtLzIMhwbhfQnFg8RlZOe9KM
svPBf2LkQFibZSGn7YVI3muFU2DlBoon3kerdp/Re0UkGA3VNqLEOeWEzyHjcr/mkJkYjt2Y5rIA
ZZ3sPVklM7ijbrqUaV6fZqd1yk2cDROvEOSsiCHvXs4UOCvWg/zNsVTvQ4ZHCuUv7iAN0Az/SNod
eiyLZ2c2aKAldujvS8ZMei3SPN94RXCVdmN4oFkMWpjmDd83GpAO0DREGr3OEcWRMWvE86UcNJEg
Zn1CJ7QAiIv83ioG2gTxtBsRaz1I4Y9bRsrkz/LdDoNRhju/JgqIILyc+zvCbndGno+MwZ4PG6Qj
Qrhk+Ebvyr2wpvoTJUq9jTuNExy4+E8/8Bki9KFVHw0TcbFjkN+Xws7DJD4zFjLQz27qDCB4ioKH
LlOBYmecGKEVmnaWrUK0onH+KgidvCLEccA8r4OP1JpVAIt5AI2RAGjNuMX3gWuJQxIb2XaY4MAa
I7swpah+7xlc3kqfuGR/MHKcIh1xe7hrdhDUUBbC4hx7CsRxNu2LQA7JdlySazThh7hrT8AhPYao
Xg1/bh6wEDShBy0ieER4RJNWm+G1gcvoAt2s/0pj2nqUs2q3DPEttYJs1S0yEnJrhCoPUd5Ck1b0
tckrDE9xCv3CqSiOaTET+Vf1L56nmSWUgv6+YrI5dF1HKMpcnFsy3Lt1ZQ/zpsQRCoJBJxnmEpqR
NpmqeP0ovPHqXuF1irZ94s73UBSaM2ED8dsYs+IKZDnYWcx4X9fpeNP05YBXD6hERZ9p1QGOf3Rq
G0G/noxNMblIDv3kpXN8THFNPq4BnwPqpxGW5XdIoYijiHLnOHQWSmOitsMZ00DWkX5UWs7wCdeS
NFVw4ojfPZpBL0ynrbOdNechAOvtEU68HgcxraU9mZew30nDJGQ02+nM5cCflcOutH18lmbLgQL1
8YqGV3+HyK6Id9p2m1XW0iNJCuNrJJ41H1z1QJE077uakTtjh6fBQWtlmo7aDkNpnu2iva1ifWkl
dOpd06A3ywpOZGrxapZI3tBuj5YmWyoMSwK+QNPgyd5E8WxvRznQiOgG66oeuuCuEEG+BYmDbsyz
z3aJFsBfQkvIuhkJqejqn4EfQIojimbtTPMNkzVvl+DSGlYOkp+XwmUmRvD1tEP3QFaKJxhIr+3C
wChdTkX1SF023soitg5wg4O9jgeIayw2VzTtScqqDf8+4vf+wHTe6006Zpqr4eTOyHJeo1c1s650
N+hOA7FVk077rVNyRUiYm92bTBUgTEIWr+c+0s2bNJjwIxD3dUcQOBLbnVPkBF4289eE8noVxovc
wu1emSuXR/46bN/e2OwSGyQKJpoaG392x9q/ESw+V7yE9X5O0IpKy09/wFOqT+ikad5388xQcBGS
ZmG0i2NUjKbj8RoP+gIA6XiNoPipl6BCQ9/AVzXgdmGTv3HQXewa5BEp810TQWXgDDy5aQMpzbXr
e+mIezdu6kNZJcYK87o44BJLTuPU2Ie87rpjB0KVVb4rUKWD+tr3tWSyXmbgOjBFbgNNlsZAANfl
1ObypquyeFOIqPhRenazrW0FF2NKwEWzWoyk9H2xIdFIpg1+mB3RP2IixCESj2r41NkMiL8UZN0D
NIaISDgNNaOadgSRl2Boy/w4xM1XKWV5GofAvLdMv94hVbiJdZ+eplmBhvMt2mymafRPfZqGX2pO
9Tbi3lzX9GmPrqqDnVH4+m4GMY81P/jQft1dmYUR7rIYpaLjJUjaoSWnB1LLxj2pfUhNyO1AyiVu
yX7z1o0VyR0Us3E3B8qm9W+HxSlRPAneKMXOtLp2hZRz3pVjnF6QC8TIqM27eFgzSwYyC4TuXY4y
uwgKmba7ouWK+E6S7YPCN482zXnQls5Fancvkx7L81iOV2NWNh+QDTogn1a1Cc0MzKMnrzoLkrEf
NM2r1TgKGWfdH3M17dPSeMJcg06/m9HMIrQtTiUBXduowtcddk7+ODZje4UTgd41m+BhrMJTAarz
0a4iMDDI6je13+uPuhhmdm6KAtqpZbym5TZsKsnanJZOeEU4XXhLmm2xZnLpQC6QpObAPik3NDL6
G9rkz9UEEac0ustI9hmMjWELWAP7UEs6MNzHjS4ZiK36ct6jvkJqymi2YY5zljNDAxnH8S2FvSI+
Jgk204wJZlVYHuE+Y/HULIHmlVts+xRmuRMfusFsj8ynmeUxiUNN4CIYRhrC3jfaB4KRUH4bBVoQ
pP2lcneTg5kVo7/hnfwS55G0YjQI2UM/4gkgeBGh9qDIBAirPaV8uvVCFNROlBAQwrx6b/H5K52r
97ZWwYubE25dAfwQw+SgGZwP6G8ep7YBF9KjizO6Jy+R/U3UY3vu9Q+/JZLSiox3onaepJWeQWje
A/PA2pCb10zpP8P0Uw9ev0fc2MFdDB8gZEarvK7QHbiXsTLPhgSvSRRYc5lp41LzBKFR9QlyHixG
KKOb7EJk/uxSCE6rfm85df48Wx+04rKdJ2tzbQ6keWd1hY5FTeRh5U380JWgZ9qmeNSz9+TUCf+p
X9Mq+DmW6jIiPMGWqr1okEERL6gZ6+bRYyT9g8rzh8FLiPerjwxvM5ykxZXlpHx3iTPDqXrmbszO
V1CYhpU0umRjK/oXUS0xLg31bnCyu4S36si44422w9EhXs/warVC2sqYu+/BEEfBwTFlfw2TTF1P
ldt8QhHzaZqpI9KZ/OTHakGpDoQwDcEban4O5hz3H9oaZe5yyOeVBQb0Hs1mtcsb4FRBrnbaF9lp
SjN0gsEQLaWUU6OJQNoSZV6HP6RINp6JmsAvirO0mWg0xUitUgU+h/sBlXnIEaEZ4pRTvUENww9O
JKacUXaYguCLYJjjfnNuJffccO89J7y2rSFeO1L/7IGcNy11fuFQfeYpUjcVsOZXIQW95d9Fs3W2
kuC5nYqrHPHPqhi57yByBIPLTB+jaK7Y9ItH0QLC1z1WrDGpXhLCTzY4DCroM2+uYT87mWjXs2bP
nqqGm6bTp0paHcCLPn8aaYauJqWyg0YVdiAxkfRR6DSrqibTKe47oEJ2hI+RhsjJLZYJlktGUJ2D
I0ED+7NgHLG3HYdfSuYAqOz+Wpn1BHzUQt9L1tOXCwL7mskk1R1ZIrsJZcjOYNoBgUKcC84su4Tz
z2koAoojTINK6hsSa3BUV179EmEvh5ETdHtaLPeEiZZY4rDV9OEV1rX2uqkNJJSsHVtS4Zxz6UuM
jcnIuTlGVH81S2x/Oh7TnUAmSfWvn60UyUUH4mMnY+gDBIyhghyc8UFiiV+5Be7MQaM/AHhevo/8
qJOr3WzjjNxSaXbVQUZGt2e/FVdVHWGwwZ52yutDMc0JRHyUmmKqs23IAP+c4s9+aszSefJG9RmM
JtRLWfT7KLPEMxa39kDWqnFfVb1+g08T3rQacQAWGchh0O32oH36/ZiDRBmQ44AfafKtTRsHcmnk
AnyOyZMaqObhqJiN+ygW0yTZpdZOgBMBcESPD7JPg6a9i6ru2OSZWKFY/zHVlIroV9P3IIyKbVyb
EJ00pVC7yJ18xGP0qhNqpUTgZqgLxfzOcU6VbqcfHd59DkzONuP13aGr7o5LBsJ2SBDq6Dwcb2Km
x1SLaXVy3ajf4L26jWhErfucOz4D6z0QTmvuRnopKfGbHSkBTXy2R62PJHRuCY0bdz4vOmcp5J6Y
U3pE4Jq6koHx2R86Ctwii9YqNQf0D0R+V3Ov0dFJZ59nLVjzPJ22HZSj/axkf8Bl653IEArouZTM
WmOqeQ5g90MjLeL7EHU7Y/sx+tbwYqYhk+Y5O9djBKk2nj84jus7H1Ip2kdtIAkxumZnprq/METz
KKV65mObE5Fyx8jp7C1EavKIifVaa0j9jxLPRcON0tGVFAa9oQLd+TbvBL2g3CDgNo8J5/EKHp+y
rHYqKgN89om0n7uQeTWPYPW8BLARaLjAR4gjI84U/th6Spzill5F8VgZg7/WflS9Jmlk3cWQC29k
XVvbaOJoiNQt1jep9N+Arfp39OOcdQW1EEFWRUBgMCPOIHqZBlPnXqZNoS8RhqZbxx+Rzo1oeKo6
cHBHlPneQDu7RnRerCzXjE9ThKoG0EvprjwiKQGQzT+HxhaHkByQl6jUSNKTRNPhcN6YpCYUB/60
ti0z3DK+ra4zKyA2EFj3JePJZO35VnLk8bsFLFqZK12E9WFk/ncZ9gX24bKMLzAxE+NkoEmdL4jW
BMRnk7h2O8Fs+uhJrJMnAynJvh8wm60tZ3ZfMFILCFmDO6qt7qL4C0eDdtdWNSXVZRS2E5QxzILr
TBg62HrG2NpkrmkQUo7qtmgLOenN7fwgJOi6qs/YHafU3jA1uU+cjjXT1+Q/BRAK0PmPG28JfRaF
06zTplKPQVpcpC1kqdzUp8xFv1Cm7B28q9l8LnSO48glgntlu3ODNo7h94pBb/nEB+nHPCvKl3RZ
O80yvyqLNt0lReVeqsg3d9isQDMBgS/IXK6sU6tyuZ1trI0bu6yDA1mB/eNQT/N9GvT1Q5xa9lnA
k9kOBuRvURjgSoyELnuTVdnBrPyRsE437mD5BDNM7slkTVz8QeDMiZRDZIgLO3QHYxsjkrRXdmQk
66zF8V67Ib30qU6DTQrMBM1p15Eb4dRNxsB6qF4RrEu13JP0wWX9uepyjwSiQhn5KuAwue+41N4l
+3eU7mKp7wJF2LeZ3jmen+/9PoI9Rf9yVfkihI7Z3dghkhY6Of26CXpSuXrjioY7rnAgQQ05lduQ
OcIODS2T/xRfrQtZYoEoEpplr5EUYp8c0wUEBhvvrNAyrdK6eXLrOIk2UUoIbJNXzqvDUerg90gr
NBmr2wHYELOytrvjSBnw/ueE92FZJuqq4lu10cswsftJ1Y1bw0zFntbHx9xg4SO0Y16V8/DUTdGh
HlpUN8WETtQLxE0DJntr+Z4Agmmk+DjRiRZtkZGLm9Yny4uxDhXdFnnmKbBxV695WuDf0RXe0tXp
zm6TyLexJDN1kyd5blKDT+6eNC4ygcnhaS/IYO32rkugKIuX8D4QP/h7HL7VM+2P6rbwmvYuHLz2
hXyl5Jorz7mY1t3O7LV7TS03LMZnb5fz9m1ELz/bCI6aP5vjtZqJeljhjQve6MFS4dMvry4KK8QM
bbPmiVXfuK67w0m2pICHNaCBtPTb9gv0vDlu8cbOAobcyNgxVwVyhcaq/Ef20g7IDmGCSCGnjmMw
0Rd6Prb+VOHyzQUjVa/FDEaC7LlVafKYOn2wNSOvvmxCZ9gEYpm4BLHxc4IROiKD22ZRyd/eDc2d
Gip7D55AXNMWcfmrG8gyYUNHT7lItUjMzXMf7UIts2sgY9s8IriBSQ/MAg3Kv7L76yDLNkTYNCj6
ky0nIEI9dfXVzfqxaEf/ESxSwbYb4o5H99XkG9ecX/JifJ4bSId2m8odDoqNsYQ+eVUbrsspjk9h
SU+Igc4xzGLjqRmMGEISvUva7li7ojkG3T5ieItsQAOcumqyLw+e8DnMwpeh8RJp60gFC/Ux1gDt
d6JlV1yVjQfGShGUUqy11yYrMp0ArnoG0qkVUxXjqiShqNwJI6ePQ0cjukewqi4o+sojyQHlFrl9
de/04E7B1DgmTKy8YUpNw8MJABHK9qaxMLaygFnOgwir+qDTkEOk5rRSbqzA1idMTgKihZjGXeo1
elWHtDXF4Dov/K4Zs2kOKqHuyLyw5h45FCeWDO1YiKEG9qf1Mcmaohfjig+hvYCTQWexevSmZbFE
AkgLObUC68t2UiRmAzbFfcIMge2NfskzCin3pZ0i95KJVHnG/+veMfh0j460rEehQABsHGVECVW1
DW+pzRr/B4nE5WLxyYsjCuFW8GyLmHaaQ9OuUyAXV0mPsWJjEDP4iS7LekRlLEASJ9VX6ha4CVq/
ya9x5CN71hjiCaH27fQDh6EgdQBZrWAych/DUA03aWQ07Dul83NybfcaYXn2lrlzsIQmh9fdWNro
dCzUtk0X5q+J8udTRWAG6tvBpw2RGRyY0J6Svenj8rr3cXpVGLxt87VBZnUYdNvnGJAi5yYVAd0I
r27CGxJq6O1Gxk6Co3oSjd9+lYUsnxgiBc85eck/DN79rdFw5RMuZ4rFyFWHqYjn52AqoxfQeAsS
aokBltpwXukC2z8z4pbXfUXESrBopu2GEh6qkrsteEROlWHbbCllsiVEYvwCezusDfo260LY9qpB
o52vJ3hlTwbipaM1iumsh8H/kaBnWgu3gS04efHJoc0MaMhoSYoqdfA602ThBSiz+odXtMFpptam
qJ4BaaYUgEji8ibahb16YPMqPvuiK2/w5hD+LamCVkppXGQxRZCZGj9j2j0I8ZFR0LsRaGuBa+x7
slyu0HEgdGPZr7cWIrMbxmXE0Ywh/S4VZxQlhcyr+6kZYFWlU4bviSQdgqrJxT3LdsiO9jB5x4W7
cYpRbn3Aw2QwWMImqNeJ6eITkV6cPTT+IMQGE3x5ZsHwqg2wYOdGwqQt9xyTR7nuZc0pGgd/Qh4U
0DnqbMeV72aih1sa1sONEEF9rxDYfqq6y84EaKawCwLny7eVdw4gJ1+GtmsYa2n21pfCkvCJ5HKw
oQuU3Y8C6clLonXjgnV1tUPWwyKhnAbbDpD4EU7Oo+pvIgakD42q4Ud6pYKVYgeNuDN0az+Fbp5/
FKF+Mn26okVDRdJPOEXx/oUmxgdVpzdo+KdXspkjQr/onXbUU1j3XVrv86Fpaespv2/yHccALnJX
9RQYhlPN4pREtZ1vIphmzBvGIL6axlZhGGLqyhoRFt7OIgLxAjuBdklLUe1umGsenZww22wtPTYb
QH8MognNFue+tiFE8EjIK9G5NOzcFhapctzwtQPvkG5C3byA4amSDSFE0bHPdXkXcaO8ne019mPD
gHDairx2PyiN7H4FG3V6T9D70lzJKjc5VC5xqGsmxkS68jQnzR4/89IZREnorF2/cH5iJCJSqKLk
vwgDa4B4uOxsvjPsw9mga29gAz2F7vSmNQBRJsfDuOJozXtCjcQvYJhgSgdzDVsufeyROQ60lmzO
PnQ4BLQsW6JynAmpiGleEq1HEIOGPODsLehPERDqaSSWVWkGHhb/4sFs+74jecQ2i20VLpjsznQJ
eiWxm9ZZYybvQWNnR9eOlVxnYUtGmYuCeZtnQf2OEhR49WiDtO8Z3UwXaWqQPT20zgtJJmwfBHv7
K6Kw8/Sgs9T6SDIydCZtFxxw58ncT31e7K20d9ZZAqgFRXLJMM8rjkPYMShzGabdOEQUhswgO3aT
Jmje56QyKfGkoZ9xvy6RnlQTIIO/rN70L5Rh+6cEtdXNMFtg/vjZzWIX0+dp6owNs1rO+BPpbQ7U
DINp356zTRkRg95UX7XXk7PqZwmwEk9dZ8x99zKsw4cozy0CTkDEHhJiU/odc/toVzT2qyrFdGdA
tHg3HFo7UBAusTaXH52ykkfLjTJxmIfSp/lr1y+QD1BVhqV5lVWlcReS3/U3QoxF/vBHyYsvbFRQ
bNwSF7+9yCd+p1iIUuFCNK295UzP8JQT843roLTM2ipm36ZUve5NI3kUfc9W+mvBhP1XcgkkKExB
gXIhvPkmJpqlAeXDH7395ITtte9U+tDrhikCWeTAjghDCziTMRgXSf8xzGwpuuvyXdWnJiHYzXta
Ya/wAOOus0rghS8YMBVI6ncDZTzzZmnegJ+1aMvkDiBodtT5oB27PA12gjK6QZeKF301KHqDFkqt
bN0NKSZ6vLbkSGewSDGryX0+pgb5waa3cRbuU6c7mwpFPYwdhwM1TOZNHTvvSQFZynD79lAbLPhJ
CaJqxWEMqdQIEuPXl07+WUYIFo38JgtYBt1B95uILedR4vLZVOtoKDk3iBvbHqcSX990LEwkSwNx
xZMFaYAZUQdwv+mmnZ9tqQIWjcGwJD2HPrLkqCdyrcudbeKjxRYYHNblaJC50HHezVIKYCsh6D0h
GuzXP2ERkn5/9HzFQMsGIo+ewVuUc7979GL2kqr3tb8Xuko44vj9nK1B+UYXs9HemWPvbHo25zXY
1+hkCtF9MvHqjlosaj0absqE7SubASNigW7j19/uz7K9JWvE8XguyUJQ30WCIT08x3SgesKTZA0d
rdC/xH+u/+ZjFireny6Cb6N45BVgaTe/3ceKgbHdBJW/Z/w5pWzfLkGgEMQ245g5b5IDPGtkSvqG
GRQbACvOXUwROm5ojIOsa6V/jfUpRTbDy1KpIr/GWA+JJw1mZNSxeKjatHn69aUxv18b1mthKrUk
5AL/YOH4442rs3qmIcGz1zeSRWGWhVq7guYgcA5MbBxDnvz0uhRxCahgQSLkUqyjPotOkz3BRSFK
+0Ml/nj5z+/1f43N+PsU5P+x/yyXUJvmv/+B2PhbHPJ7SUH1/05WMtNQHlIL5OF/rdM+vxZx1enf
a7T/84/9S6Zt/8O1LSHoOCOFRhvIbUd90f77f/PlP9CVkrCBdIikKM/lTf4Pmbb6h4NEm8Ae25QW
IWc8C81/AhwtR6DaRMCJvhox3H/kRd/8tgMRNf1bfvS//vnfii5fjDhtA/7R+/ameMJRfIwrFcwd
Hr/vywUOy6IyIMYcEh3nhylC0kHW7gkov4UhKJQhDLPxIcXxtbf7DC9KNI+PedOSNWnGzzr067NR
e/Mdg53xwkWBcMfh+NYscho8+APBB9oIosZSLCyoELSXDp6QEVNspcax0Ux07M7rLoiduDMKfEYM
EaI3ZVB0KRyta8aYN4mXeB5NzTyFELHs7nbd0WqCKDVvKuUAkJ3g/gD743A8TNVZJ/YYbVQ9cYZc
mhCzQOUUE293YBxtK9SA/nifdQC646r6TGfCEjY072sNMj35CRL6baArcIhtGy0PFXIKtfFi8PJ2
01g2W6E9fQl8bBubSf0V43QSRUmmvyOYpj6ThAI0gFpzwHey1jEJEbMezDVYAXoaUfw/2TuT5raZ
NUv/IlQgAWQCWDYJzqREarY3CFmyMc9AYvj1/dBd0f3dqrupfcfdfHEty7YIZL7DOc/5IOiQbDmW
lUxUS4YDAIdx8En7YIo2fUtdAv5QZ2GQtgqx7nhEUDX0Rf1kjun3KDtMpozv1viH79mgJngprzN/
FmIq+FYhK47ZgiJD4mr0rMcJV+hoPOvBzW86V8YuR8xcBrUTmjc5uneSOwk56BNKoc21aO/f0xrN
sIX3k4Hbzcn5xCbZz7fQIjySpR6IWFm2OhgMfL77vI4jA49Ijjtvyvt0Gy6sgdYMorLwBKWm19vY
M/yTJgLhvbdQGR066lFIPTNot6aXDUpEzOPcSHJWXPquqcM1YRc5o07a/y/V2NNbWU6QzT2/o9Zw
3KaBUlYUvb+Zjdm/9rA2iCpoHOJfMKxIkiJHxAyMxtPko+9Ue1n63qk3gtwgqDwidHC4lYUI+hHn
V9uzmElYr6xoCtigIUQUNxhxXrX2047lNUVe7m5GR4SwLlsxjk9p64bxnl56aI48YaRp0nZGS9C5
DYlpxlj+qeqkODEBjKJNPzOmgoXdIHZLUQcf71xgfzWKVjLjG/1bp6ODl2FJtSQhphGxEr3ZY9Rk
Tca0n4W6Yz9gePggeOE6pYR254kJszRp9zHUALYA5iWvlwjqMh5NW/8Ka+d5KNVmFs78kPg2a+Ls
UqD1OadRiHy6Oqj4QsAR9wk8cSxhy5r4LD4yi9U7AJ3iEJmZfU1m2/jN4xxgJ0ZPyGKjTxBbTd7N
NBuWn/dmiCNq6xegtvin/iEgvOh10Hn8HkHAXoGI6wbM4FCrOAlGmqh8FbsgQrtUBVVmfDs00c9+
bYAHMLqrp7AcU5CsmpG8DS2hPObQP3FrxC8Fqdi7LHPJu8ztaM/gO8NJhsneZ5S+EkXVrWegUZsM
Rs6n4+D0bdzdVJJ+u9j07Lp2715FVnVNZQeukza0/r5dBaEoq4uZpOqnP0fPVl4kAXSyYTeGec0r
k24zh6QOYbs9uUKh+7U4S7dpxbwRyIrOlsXFbIdkUZR5eNDSfebou0SQ31Y2HJojuTTbvpCbOc3z
rTOzImugVBS1N7C1Nb9zN8LPrWZUB+EjlEyo7QtyYqfz8MVq8XvsvewXHKY//7id/t1x/9cX8f8a
E5TpCBlZC0MUtl2PSfC9cflHdVgi4jV0Ivw9KB2knUVqrfwlLwVooxrzJzKTu2dzkPWGiUF3MdHV
fEQpCq0VuRDo5ws1xpyTveKtIwfQv+KsHSA1TRnZlF2SUJK3ArIBGF6SEKq2FF96JuJoJWjEw7Vb
5y4wumJhxjFXA0C/qW5hr4t4iHdxpIz20ArJYVHW4YnWSOut/HuaGH9PlubvKdPdD5z7dtY4DP3s
WnveS01YF67R1WA6xtYjHempT42ZcUpj4mJDwXtoRxV9WSHzbBhW5Fao4ZyH3Xb0TXs7JAmfZqrP
poMVVJrlCTVBfEIdm+LERVTIIi9mEhz5awvD5UoP9tNSCGiuHGdnVYYSsaKFvk7T9gsUHUExhVgW
SutoD27/G60zKyyNTbaxaUU3ZLfQcHeZYHDAVJN0TNaF8w6oHG+LIsWIpxs8VLV2apFmzyA6xHi6
K8Tpz0cG9RK/4uQrtLUN2hl2tuVb3PhI+EKo+AQcPSRVm57mSDjXAcA9aEiS2X5wKHTIT9xly3C6
IjFgaRM+0CZ91PXgfUc9u7ekTG9tXllHZUIirCBwiYtJv/pQ+ImLmKTtzfsGqoDPVniWOsVskx/B
4BksfGLny8P/uxNG3l9D9HorJEHRVwjGHxIVE62fs+T0Aj5psfQYzFuiVR5UQvxy8lCQ7MqWHaVQ
E9FYttecyC4mJNYO0vC8E404ctuhNRoMffIiPI1qahs8+QibOytIWuyzTT+f615+xBHJJfzk3nMS
YsErsKipIn/eGB6OEKsWL+D+2IGixMLmzSSb4CV/sr8jU2Byb4yvBvFlvGJ8uquZHNouO1SRnhlj
o8MJ30PIXx5zqUqPvxKQq1HlP9DH39MPBrlFK/JdxGQbZY39u0IFfYGBQy6Ra7ZbbyKVk+njJwmt
3RFYAss01krfrObHo1ZedyvIXD50kI9XaQ3xqSgyb6d193X3861LaX9r5+5ILVq1hg/qBYVIkpOT
Gj8WeMK7YjbFQ9n4F4AKpPtkg8UQ2JgD9sbV1u7vgvUBG7OW7bJWNRwKMsPXPh925iAn7hl8UiVs
q7rrL0stWhRg87wjpLBbF5P13EbhBNtPJAerILLaELOi+BDqIZpcccuAMlxlGbFY08nB6L18HY0m
O6OwdJkf+9K6q5By5zebDL2xBsHUXkeI5zPi2h1kLoD3UJhDseBXExkFKYKRXTNOCHDzwZp/TNLV
EG6m2Xp354G9oGYv9QFtrX9reoKkV2WSpn+YrLOQgFkbAyGNetQsSAHqncEWOkK63xan8H5Ht/fb
Ovt7cdd/L3H190KHMxAle+/vRa//XvosdykAkAZRDCApvL+Sf4sEda8X4LH1/2cC8f+7rZe5Jsv0
87vg2Ei6vk2++n9pm+hl/nGX/bcQ1P9Vfsft57/D5QO653f+X1q+qyRlHo/Tv3piXfUfLl0Tzluf
TowvYiLwn80WIahC0X6ZQrjibxf2n62WsP6DhRTmP76dYpjg/086rf+WRnz/I4TyQdF4bNZp+v71
5lVdbmjMRHCCUHV2z0CxPDgzBglQaJ7Vo+PGHjty0OHbkozrrYMbZ0OAlgz+8WP7dyUAPex/GY7w
13DxNLJTZOpqe3//pv+oAUypFRxhH9O46Lq3zINrFCqfKiYqrJchS/zzpNgh4f0n4AoUMalHHlSg
jUgnuef/SrYMwbGtshD/KWPKiJJwHm51Ih6DIgrl1ezn8LBYHMucbMNDnCYo2VISvjdOY1g3jmwG
f9yXB6Rk7dogGJWAmigPN0aLR8YmXGlTRmxPY3NAG2Q5rrXtlSw3qTf7JzWAlWNtq7N1ytffzQeT
OAASApZplBajOuehSGxj76mUMKWl6+1PatX8Iu2czqZvctawk9mcJtWvE977X7bdL99oiyRJJCau
ldnWcEvG7kqNyvWAKJs4L/iWv3rX6w6D0u1j7PTcRxW6MnXPYlO+018jRPCBU1rsJlL7mFf1nuRR
EHaDigjk8kGbpQ6rOuJL1IcYaHwrZVqv8egb24G19yEtGaku2rbODW3Vli8xdxMpO0FFybVH4eOf
I8MeD0BtCfWYcwg/ESlQNMOnuTeShyFxCD4am3rjDg3bu4G1HlkmI7rw3gGALFX/IsFBsuS+V8JR
Ez/n5Sg/3AXaXTtD0LRb09zXnb3wT2uuaHpmygNjvER03i/DOBnv49hodIN3o4iDoqWtgLc0CNrX
9tLq76ZIAV4WWXlzCO1MUMAbw2Wsi/aYRDZ3oIJYNo0XJ272gMBPXKJqG00GClLTfXTtFPmjiTBx
vSCGswpsaoZs5cYlDWeX2fT9XafYzdH67gGdBWW4ZOuOhVynOsJ8ErXK45DUFa64YCSKbW9rNi11
jxyxzrL+I0mjfld23PxLRMQD7Fzjl7s0pN3pcn4oWH4F/nhPz+Wx4kaCDF4j4bv/l/qOcM3sRnTb
74yH4ZoCQZovkTOW/JmVuJmTLQDY6OnRrIFwNDUgqXGpqa788jHJ85ZKe1h2ddT3N2T2Cq29s9zI
N0s3zQIlpbARYGpqwGs2J2SeCYt7lFtwU7J2PcQN/DQZN1HQlvf6ye3rfTXW9VteknJAXdbgSs5i
BHzFH7IMog2knOIldNxx5c5s5PgeTLDjRu315C/nCUT1oZK9tytZKG/scvZZ3BQuBCTD9zekdDJM
IfgmaAk93be94W0gAqLPd1myEPFF4s12wAMGaEMp3jU2e4FRT3TnJQ0ktIjcRqTmhnRvk3pMOsN+
0tO4NsvuYaqXBXFRJS9e5cw7ciR04GglLpEXP/ocMhvm2Y/mQJ0bM72IzHI4YRlMvuaqjf+gcRzW
ft7DlvGX8DyLEUSfa0Md4tTf20OujhAvgN6PDiERpZbMiFz12PHXvksdwqcI1cCnVd/32Wkv9z22
pa/WyZsnTmbvkLtV+9NqCJRExRtC+VBFDBRjGMDZO5HKDkz4sEfLtiGDdhhmlLHIcQMcD5S3Xd0Q
GhFn41Z2vlc/EHQ4lsxkI5AeYx3RnRjplhBie43ngBosvFcoRIq4fWA1ps2EftCoA4U9MgxJQvjQ
RvjoFAmJqIzuKgubwr1zAqbWyx+F8IabYVUYZEi2aN864HpAdMLoUfUteZfMxC4hI6ItZxpdBalc
R/g78Q8SQoBUeRHtBQsKkkwmvC8wRAHNsZemBD7fE/mOLltnZ4Mu6PecqSw61GVJoU1e8NHLO/nh
JH6/X1LUDiuUIzjiWaPsCDKZULeAefuTVNlcgzVt+z9u53WrEBDiRyH8YV+r6rGMjfdmGrt9Cah/
xeQep2OZ4L6qc1bXq1kRWLaYi/MDfxUbY4Wu88Mp2vzgp/NdPjO6h3BMvPVcIBSJUd8AdLPCCQ19
E+ZXSD6sEotwdKaDSmftn+siFNlvZchueAIy6DxHROuRVlob9WfHq/AZhlb5VhFbfGki0sFWYcUF
vWEYtvD2LuNrjYPI4JIKWbJr/ZEVvnGaPTmF+Fbndq3UPaxF9uhBzMQeSWK6P/9R3dpPzEsKDwUv
SaA429QfMVvyiauw8w6jm+bpre+66tCz+Hwe2oaSgHYQqq1oiNzQhd/8iYrONjcxeNl3QDP2F8kY
8wEpgYTmr9VJQbH4jfkS/35omene8IQ8h/fh58poRhxHsVSXcuKnmmW5u8NRyVitMxoF9lI1hNWo
5snhtH4m1aXZY1HT26iLLElad+wBrHS8ifS20N47Mok2qN7Y6zuhu+pRFb7h9M69x06EbnrUGVRr
7Z3Q4JPJ5xBcYKIfQ0vtm435Xvlt8mOU6WCt2jpZMMGxv7Y3STXIn8rEjvyYYge7q55K9Apd7pGZ
TToulA4G10ySEekbwohu8SjHj7ytxattjPZz1Qv8B6KTW8ueKhRiRvQKTY6+jDg/lJCab0GtNaaB
fZ9Y5lMy7prK6k/CxVhElWbcJMNSOsuBFAqyh3+7yWRtIWcbuP0ihJztJDAiZGnD+FGV5MvPWWH1
m2W5Z3UAFyiYhhcVq2gxDsFIwAA8o+lX7BpjULVz/I4bpLsAdyrWRhwLUGeOvdb8gNeL5v4sSDhG
j88EqZiWx6EHbd82GNXXhGAa1GLebmLiRxtKkBc5GVlY9dOpDsmcKVb5OBBE3E3LeCRJPj5SzlQB
+25iSCgb1ItDQNy0RtJVjmygXXHNGrQuOGV4FJYKnWza2u0Tv2srGUvuWuDf8xo9YIBnwT2NUTeT
ijFHBRpytBh1SBJhmMr5IAhN3IJDYikQ2/62bO4mdXQ0O9Bq0aNeZrntHZ5RB2LXWRloxZKIGQMu
m9r5jWb/HgChzOEzlOQN2NnRcj9aPdooGnQ4IGA0ul/Ul9W2F7JmGQdS5J2wx+aat0QZ2VmYE6vM
dvGhMrgsd7M5EGfaZf7OM+7OzszPdyk2sT0aLrWTZsL4rlS6eajYOkEQH8RKDAU4mNAU87WbTMxt
VbXIi0Jme43JRMCqTZbLKcn87EUPaPksgJo7qbv8kHZQqSFr2t0mrav5t7aKnIT7akzfvd6/x39K
IluYGrvEX5g2GVijsCvs4oxJps1UEiMZstJouWqZFsYH8LzJGpI8E/wwLPBFT8TKLlVbM4Foy3Pp
DuZDOtKmUt9mbxNAQOuoI23AohRuuPfDsMn3bEbKM9lgw121B3XFRGqmEBbsmQWLXwMcp6szWh11
dTebz5w2RCku8TDUQTwxFCFCZ1PokPkba1jwpVvbzfINRQ8OrLCMzmzwuxXBLsbnMoZ9xyC7N45e
mn42tuE/NsgqjNW8WPnvoXSjx4xTkdufZJdVOzl0D8MczgG60/Li5gnVm6HNNwQF/pULrjlV5gje
zzf6relYw9aZIHeloMH+yJyk4YzB6yMWZIsC2h2wwo2u4BStjTdDLZwhpL6jD/Xr0txlqCPBosrm
aRkVeqmpt+yHNjT9NQui6RMyeHhDTOQgITFgq/REQhQCtS+xur9bhzASTO5N4EpRc3NGIUUntBAp
RpITKQog9jEHxEmbkrm30TDSXmvLdTaKi2aV15gViyR0L3Ocx29iaB8aS2FLR+O6Y4rWoZGjuTm3
MspOKmtdDhIrH/YVPUbgR7F1MB0535xJIlrLy1Ne5a/KKn4boffYa8xLDEYJUJgyMK/ENsL687iZ
0o5ccTRKCpLkY940BSPWdnisqL5WPVXAOV6yeK+8CAuN+JWNGYzu3tlmNoq+aJr3tuHE9FLLGOAl
KLaCCwk2ICjllBCoaK8ScqmRFiLmOUyJPMazwuwWnbIlUZfIjcSp9OBgEkBPtMJSS3ztQhuUjMW3
NzaRwIA3vtS8TFsH+BzWSbRJZpMlAU7E7IZGF2BdGzknrx+cmyMK76jNWm96QP2Ba/zNjEzS0zDD
oVzZVSsoQUvz/hiyDp95NIypZWoop32YK0WIQnL0sh60KGglL96ZruaZntdjKXPGY35yDAtB+hjz
+lNrSTMgS6miz6qq4SDcAheUkQJbc2TbrousdYJlmfZO0uwbkxpicbS3ljhNMLKn+SEkCpTsNM1H
zSCZbLZiNu7wSuMUR43/YaJVZog7i/eWnJO130T5sWYgGAjycS65IZ2NHH29X0hf+wlYxX5X7lI/
UQFjwQgT/ZaVYXWwWcg+CT3Ip3vKPGclYWHElLbxue3T+AKre9mYFG1fgnylgydqwPlOX31DkMC7
58DKb8CpF6EMZjP8ZU7cffa8Jv5BrqF0vzTpYJysGQ1/PcIwNubcPUzW4AN9HP3nO/89wAOSopKk
gNVuaW86G42OdOszZmNMjGD0Fcjz2HboIk32nnrKqBPK9lOokoAQA6wnKlS2u7a1h5VoHE07QTYp
xv6h9/vuyObpSZL2JT2MX5bTPlTWewM5YshMdjbe1urVjyweH8vRFPssnp49H2ulUZA+1+IqEvdr
SUUI8Cq9pjS8L6E/UJAHlk4+WwYb67yFTou7J35Kp6HY+z2caK6Z8uxko8Vz3FYH38tOHlQnoIbO
clJtbGxc6eX7+8DVmQlhy9I434dmmRxG0rR2th6eTbuEDDuXem3lNHhYINCJS8rwA0QitWcEm33Z
Vnqnnrvpsk6w0gfpwBlpEY8dV6kdAO2A+OoD9a4yNzxNuSw2BiTOvS/o9MEwpjhNEfmSFecGS+fp
A3I9YL3uQQzxSRTwkWy0sMR5yNe6dnv2Fa79mqQORt2WvN+NtGYuRmwaBaiKcAbF4KUMpVG11m/4
lfLAs2lRFnZuK1CT9SmuTP2MXPJ6x66mM1lAHnEssZUe+6L5XU6yvWDqwjMSsUHbcMAfzdoLmlYU
W0ZM9SH1srtpcgJfzALosqBuDZRrmV82/z4m4wMISLec7mpqjxxh9vjXaSjlNgSBErCCRLOf1xvd
TOZWaRZtNoumDK6qrQzzSYdpR4cz+fONbaNrIaFX7bYHvLkbkxJn52jyo8/IaiLTwMdjA+5+Vbfy
XJSOE6hajWd3Dr0z8cXEUrHBWhCO26xNOxCmvv+MRylIYvs6J0Ai+uQXYsffc9TCjjXrikLcYt20
kgpDVCfaasu1aYC7ANOGusjcVEYxkgmjBV02XB5urn0m5F4glhsdHYyAQlb04XvWOLxQbrHhtv2t
RpbEJfnInbvspSFO0sOnQq21bbT+QQYua+zJtrNDw3XwDONsfrDD+MdgWyCl8ZnbiS8fi3TqPw1p
13t+fVVmlC0uDcTBbujGKFGMZ0x1l8pugjpFv4SXTZ0btu+rVFofHOAYY81GQo9hDW4gUg28WbwV
LgLjVHkteoV4Sw29bnFkzlX/GwKNBZN0qla+i+8xGzzMqIVCdG+xTU4ORQZxdCxeGpVQXrLYThod
rRou8G0RkoFX2DvipD+M2nN4e7ClJOPdF5w7ef9Mk00onpNc0pCYZl/017HNKfXsJL7Gnf2aVnjX
3IkETJGb1IsQw7auwLFrd8l2wqq9dhLc/RNLz4cJwAbwVjAXWYt9HX7ExurMjWorLLjwl49OdjZ8
81SPScLrWD4PKf5aXR5DBCF7lHyAov2JPLFh8IOhEsULwUXTh1/2x3SBMp7TcKyKesKYmU87hJzE
1OSIAw9JTxQlwVcCeExMfmQn9LVZdPQzygQZVa79Scv/YqODHBGVI+xtvl3mXC8QFqqDoPQ9xEyG
NliWzoYihBjLJ16SyfX2jgU3pRyHx4gk7dUwVPWbLfC6E+yEoyQxPHsj6jpdlT2Ajaae67PlMjGj
bQi3GnX3M/BiAq3MZbpUizMxy7RUc1AqHTBaTOAjUIsZbsGOf0wnPih8PrUVApm33NlfNbWdvGo5
OQ88Z6xs5vOswu6chuS4VKnJ1OuwpJaHA3XqCPRwjANaWGDO2KEwBC3uV72E3R6k1bMfps+FVcU7
t0rrXevX2Ru5C3XQyPY62MC6yUIgNgxOIfIWjMUR9zx1MizhNMamYOX1EwQLvVqoE2ZoGtCeIUQf
lhoJXzOOP2SlJ0YHbXxQSeRcchOaXaRjzF1pntXg8iM+s/042d7ZjWqJ6N1VEPllyteFNkOouIyZ
UDXy22XUteoA5VxB1k63FMkS+OL7PJwV3MgkFT+NZUXv2SIzMkGq8og6f6o3XZKGycoIO3xI4Qzq
fCTk4SfZNP2uz2y5JaQUwW2cDUEBgDtIFrMF5ewin+ZcmHNx8VlvRWet5lMpU+MttOr7DpDWY9MZ
Qryg3oKsbZHihVesKtLz1FGSuWEt9noU5onEtZKnsywW4EqzcgGckDcbRvBG+C32xrSS/kwvb72B
yJAH0StCQeKa0jF0ujOqC0Y4hm2Cc5GAglRl7xqMyTvUYRRAQjViExG7hDKlLuTZ1H3QUvzZ5AO3
q5QpxdlvpfU8FFZ0zGfLeuHgLx8HZcf4OBosHCYr+J2VFnaznUwoQuzl62lN819z9bnLenYaXFRY
J5iEVbMVf3qK84L175i9onC+DL4sGWaO5TVtKrUWk/M7ZHH/yySnJA6A1IXfYZ4UL5QhP1JfYqvK
2ps1dC/op3Sg7wOvYRn3/TLXWzJjutM0mTyu7CvXnir1fjKW8rOWACm8mpQv9n3mRlc9TxHjwSCa
s+UK5RdPpJmz0pyJ69ou2T2bz3QY0Ck4UUXlgs5P6wePwIV13Uw4AuP+Vc+4Bk2rfU8EwhMkdsR+
WVI9LH1ERKzRNT+dCGcYkavuuLPl4DTrwUH8Xksamyh8iWPfPyDqoNwZoDqglEOjlnLgTelxttw/
CeU/ygW0aRkjKE6CCYy5HjxQ6XnBZUJYOyFZvSjPagmv8MmvKgK5H7vetAZJj5ant74gkPAwysS+
TAW1cZsu9qmDfv+pFSKmsPJ/+r3w9qpmfU6V5KxnnVOE+TZxskWYp4dJW2LPrUtrbB0TqqbXNCcJ
wBI8fqULQmqYPGNPYzeCbcpvfaJA1LCYgizUnwWFeuf1ADMWppIE7C7dAUe08aDvwXh8Hi9xrfjj
SKsLnBYNIBpiFGh4l2fMvISv1ute2I/G0phn1uxwnAiQOgovoinOMp/JkMqIo5uehIXfLmxB87jj
KI5WCIEd5/GJxLtnk5doZcpx22qXeJE+f6ny9GGG0oONo3bukBmE+0smcC3LYTH3uJn6rUWFw1nI
aNTZ9L7mTMZvW538yu7ZP5uQh6p5JB9SKA5kgBb16+wb6hsaClPLCvIFhcXCx0uaFNFFOpgJ7Yhp
qTNsVhyLlz7uwishoMtx7pUHmBpWYUYIiozUTXWpvx0c/1OlAlt2dPaYdu8cCTK+ne2bT11E3vSw
bsHnJUX7Ng/ph4T8sqq7mqRd7ONGdgs7HQcLC5bnFpP/2sJ2/GSbJM1g3+kDiL3xm8SSuM9aFDbj
1FUBpAQYWsINmrh2NmgIjR1ivFU03CZ2TRf0hCm+j2X8RAGThOBSasruvmX2MkjegKiUZzFY7MUQ
E5obzJjHSDteQO7oAcxSBWQdY9POwwFIt0K1AHNj5jrB51KuTbi/jBwVXpUG//jKRQL9ZjbxPU5i
qOUBCmz5i6zZnvdnsKoz3zQ9lt78ihphx4DQ2lacbxd/zsmCNODOfC0ZhRn34XhLxkUforrEvOYj
cvkAomgQFFjY54VH+W0qcw1TSISkJg5x98i5AE2Y9Lv8p5p8/RW7PX0dQwNfsxTKMrmcuhLYMdNb
Z3iTmCIetTHxGs8ZHwI7pjF+IO8pnfG5J5SZeW37LwQadod4qhaOK9zEP0ZUH69DLOJyhzlRXspI
VsSDTo5TUQ3ilo0kDPG1nROpsVqiYsSp5CVOjZzPTV5BeZOBY3BJrvFaJVs6amfvkum2oNyqLb6W
zIq1n436I3XLL8ghxhosyhdtOYEBTQI6wGysr5yCj4XbwsBqZaSMRLrB9E4aRSAnRcX/goFciMuM
vYWS0pQfmBp4l/hls7sYtup+2bmVuIh0wmpbD1riwrOr7aIddUCWpC5sWaeHAXoo4zF2wq0a+22d
5PI2KIcTLXYjHpTG5dMbYmXfg1jBA7LdWOP99++TLmIGO1tD05YDhCfcei7iT+RE7ZOaHNaQiIvK
NZA+A45iml96Q03PTNbibVMV5E1qH5qU0SBtDTN1p7KQ4R0FrkJD7IpQ/qrgPuiNk5vNsTPy4tXq
fVBFTGX37pTbjzlRA93aDb2RVTQJrHajqCodsUYbCiuknZItG0WULDzA0eJ9lrEZbb0mTK88+M1m
MfzhUFmV9Wjq+NMnWxo3MTXtahj1D6fGYNc5UbPJnOU6IPYPrLrwUbktAO5ja14rpFhBM3/UCcG3
JmH0VvXARrDi9zfiNaobbIBZu/MTb3krdWyS7EGwxZAOI1YIAaQsb492Kek63KXd0wXG284mhHuo
oVG6g/qJrDqeoYiRbWQCUrqkHsOviRHYk5OFqDrTUjovLJuWbQyq6TaWY7LtSWb8EZKwDX9RrjMf
0W3ZtsVbmXB3VBk+T9f3k9sw+vZOS5UXa8hggBXYoqhlDZTIxwwdarqOLE1f4sHsn1yLhc/GKpKI
AF3LTE5ALSgJIo9838jmTpY4acLFnp6nORP7RA7gcSafBg1+BxvEA6lQrE7vvtj7Te3SeGzcu1Wy
RhCwqkVjvgFLhXQ6dDPTFE0g42KIIE1Gvalk/UJnRpXSO+3OA/xwScdUb4sZAtucWT/Zv4UnChE0
YlSTBMnQ0MxJoU4SE9hap8Q7kqqtL5CW5LtL6mkRmeM2TewZ32Xv7rO6bk/1IpJtNnTmUzxaeseS
gTFnX49kRlG1NLu+HMPnWE/orXgt+a4sBd2mdE6spsWVn6pDfeAgfxfhgFbMMAncqxbXQkZRe8sZ
FaD7Z57LIt+xfaEHZOs2HceWwFvwzDw9zFJfosUZHu2hvhoomkumeQBZenVwchd+O06C6hSVEcO4
xoQKFLBWGba4ALM1FPM/DSBDgM2KlYpb2cN3jnRg2xt5uLcjKJPY4mtrR0aLOMFU2OcktH5mGhnP
xtfGiG1flskbn+9PnOfpbmKIwNXFXh1cjqBtm8JApd2H6aToRJ0E2NAoYkBlDmM6hjvs78wAZZYx
4H0e1GbMFCvFltzpecHy6TXl8KOf7fmaztyPdYOauI9pDOCPntzyDmCoMaRn6MtH6v9mjpOnvvEa
xsVpZz8SV4J5tIIckfnbZOT5hfv2KnKZfS9GkeAfbt1vNnD+WQ7imAypXa/ot8kK8WCZEqGRiHzd
Tkb1YbCQfaxE0yKjLwVPhTACBNf1z9HHeEkens6QxCaKUTA1wxczUDoPq7EfIwS9G4RBpH972JFY
/E+HCuQ15MnJMU9RAY9wSjHyawPDJgl5P8J2an/6MfXGWlXaPDF95rbRqcRKyrCSNsEZsaOOIt2j
2YHbWw3NO4OhH5APfo2Tn3ONq/bVtuL8kDTA/VZcp8mHoP9872diKjiFzBmrO3U6vUZHNwWUOPPo
WSAjwg4iV6q8eTMpjWHpqce+KNyNVefjfikzvayZ9PVb0UWVs4XTjCZjxOgEvXbsjfWc2+u/DU7G
WGK7uO2NjRdy/aS6G0Sibtp7huWzyjA86MuTdascU5+hjIJk4Tx6QuRhrBcm/WSjTtM1l5EDbr+P
PuK+tF8JD8vQOqBaYduDMNwwHL3rhvt8HMiNeEitkbmT2RYeC6+eAO82C6oEVtfKjbgJEpK1ipUm
GApzSxT0hHKfzSGHRVlaiHzKRSGKrzxUo6pR5cZzuz+pSPqgr8IG/nSKnAE5/LKxbPHiMttfJ6bw
d4rTdMN+tzgbuXWVmtThDhwmxoDFfSAItaLfn6ZfOrcbqATe6N2I8wC2AmYP+Wnyv7k7k+W4kSjL
/kquetWQAXAH4LBedcwTyeA8bGASKWKeZ3x9H1DKKkk5VZrVptosN0yKDAYCcH/+3r3nGukNQ1r3
Ft/bcGaAPZvcguyojTZzNVKlD/gWyF3z/aRdCpiAt3JkyjiK5qmmDz1TJ8luFzOwCyVNtWUrRe9C
4t1Va6Y3SPDi00DNtYvcWqxkrx4gRAWrmnw4Skk1RPclep1z3w3WsNBbGT0MJfyjhaYmxE1hVywL
MV1U3BDLDDKOIPPa2ddBvA3SPjhYKaym1FMKsqN1iQM8XbUiVaCZxmxPL6NbTuSh8UQM/cEoEM5M
UUV/s3KcdOmBmnzCQIjqA0/no2aLG1V59+5Q9Oeg8iF2eZzi4qr2V2lvoeEeouuAOSHcumYnlcPz
47rjcYxA/JDAkF2iXa/gjsR7cHT9NdpV+gYcok7umI4YDxB5XRSOiz3a6F9VDV5bH4++z8BIadYh
K1OGNrry213kDfpTUJWYtwFAbS0p03uDZNhw0TCT3mdRdjByuz3SE0ATIq1hFRpm+YA7e7pQpMgu
OCaXQNUZVMPFtnHkolcql6XdJxus0NEOGDiyDhCRS0iUxaaHlJCyfY2wUwqfuWwg9eSaZRphMiP5
Yc3OkW+YSerH1uy+FgCBt0XtWzvwFLT28FoXl6xbFqQpMR7QE+C6dXF+dY0/XEJvBpzVYvNCYpms
p9CjJeUa2U1JcXHTN6O59klIeAZtR1ph0A4d+nzCvGEmqXd7EN5DV8fDAgoge72KvDLmyZ+I+Qst
9xGewrgiypeuQZBrJLWaZGFnVrBH6p7v08Axr43QDi9FVtMonwKit9xeNGd6A8Fr0jNPxsJDTpOg
EYncwbCPo11LmGL9wHo21XQNB+sIPs2FxAeFFt1WyDzBku5r6bnyQKHiv9IkpIaI5laUKKPrkEN4
ykGgJQaweZpbQY86hn/SuHK9eZ4823yguxE+o0+bruhtiLXvetp6qtzoa6BJ44Y8VyYHXp7cwWAO
1owFON7P/CfhFs4tTjx9G7Ql4YCkt99gDCDesZAgzpsgit9zQ3S3Gdsrg5nRuyrd0oLiVyTpLm0i
SaSQ5x3aVIhNWbPXcHjO9HOSjP0zbRb7gpFVsla5akl06GV9xcRA3qYtB3AtH+NbcKVforqCn1ux
f7aJdyBJixwuYVVXfjkYn62so60Y88wssrzR2RNDDWFQlSKxmcw9zFrQlbZGdOTEuHhh9m21wiNe
bKaKRkYRuQQuuKbxbkbKO6LQKTI4C6TakcjXBmeb4mDDMA4kec5z2Fdlym3LUZ+jM90CplHmTZ/X
3k3kuvka6FRxl3nhLbsrNY/FWZrtV+yq1HGYpQXxsY6T4R5TCrbsWeAu8R4ws6asXVEjx49uVMDA
LDUveOrAMkUzVaCn7UB/e0JXwxIVavHG0YU81qY9fc6K0N6qgOld3aRi6XLkxApGoCPTnfGWbliz
syxnVvfNvfdCb+t3xDXjUuW+dTuVxrQntJkUDRMzE4cu91DEvU1Pg0kMj2q5aGTa0z6pHfoKo40F
DVleyG3JBDsdLruwuSZVsUEZh3euBc+8QU1GzemH2jZjdHNbd0S4+V1t7XRJPuWyVgaGkJHZ+/uk
2YQvVlN2HwdcA1vWYhMmdj4bFbzLKmqrK3ghMTF2/P0+Uef08h0iKOg+IspvtIvOG4l5tRNNaQsr
SViD/jdasSiKzGSEn9RbBl63GXCSezABveQ5IQWdEQqS4Xs7Yf5hob46d5kXvcRu3V1agqELfVrE
sGQ2YACTUfYtd+O/Wy7/P8h2jG79by3H/xe+cPqjcv7bD3w3G9ufdEOYbAkou7EWz8r4b2Zj5X5C
Fc/vttHlznZjvvO72dj5hA3Zwh1p88PktCCN/66AN+Ung9Qil7Qyx7KwiRj/RgKPy+wn5bmS0K0Q
5xPHarqO5LV+0cDngdPrkJfEzgsmvHmw1QJj3RqeIBo0R2jJYzQlZxV6QYBCS6hsiSyh4ZTaROg0
gsbBAVJZulPBd20MIhZ00kBFarWEBGqtF6Ldlgi/3QoPiWHIryOknx6fLQ4UaSUtPHF6GUs5O1Rs
rCrR7FmRYWZeu3SVoA3haAGqnJ0G0w339ex3aU15q2YHDFdw3OqzKyZHRHaBzmdTY5iJZucMASkH
+Du42/DUYPfFXUPyOj4zFqSpUvnGoYEM4BA/Di3eEWqMe+H5mnHZaYRVySkA54qPZzQxHEZImxBA
1u4mx+7DQmotewxAqMAUShc8Qc3sDmoHb9yjQ2qup9k7FJNc+uaWZFEnowEVE4uRM3uN9Nl1RC6S
XPUur6lC+6vXOcZlUw5v0+xW0oeR8iDSLu3SYaYzfeEcvtcwODUYnYZSHDkdnySlbDO2hxRDVIgl
OODcqb3KXPUbD9sUzJ1t/eGjssddm0DLMHtx57s0i2mIT2tr9l+lsxMLcNFjEljDunGcJzvST9Hs
2lLOinyoahm2Q7l2fZxdavZ4GbPbC2ryIZ39X2MotyjFOXTgLYurgkHkNPvFJJ6FXV/IL2Ovofeo
bP16ErZ5NbYWqjJoNS9pbaLPze1udv/BTwuYnp7jFsorigT5WlUtvui2VFfY+wiHwJT5XrlNtyBf
VZScWofpiMKoP1VBfKUbRfguK+yaSFzFwvCBDKd1znIZJs1bEbecIBTijdI9xAihloZvsENOWiWu
KNY9llp1jnPHXfX2dKOC/Dp2dGDGvXOe0rDfW10SEkZL/AY6eM88o5QuV6E1vpLGO2yUlrykou0u
asfea2YyQfsBq3TjOC0ieZRI0EUUjTsbHVdU9MwTxbSEUzwem9i5MjRp3TR+XRsnx/Eil+FLZpQE
KGghI1oZp+2mSan9l1rS+4gh3ARDdtTxZlcJBD7Ssu2WnZ1RR5qs5eSlzCcwz/KGYSjdVErheY9E
WjNtCQX80sSedH3ZdkS/sU0O8L5qR40+8poA9CqGNM9ZeYnXM+yLDI7wxCIGwwKCFVMwTYZps2sN
t2iWgRnXmEdiGRaPqPyqkClbRnQjLEo1n8j0nHzVTmVsNwFHaIwFCBGOoEGTHr+dRRAP7NdKMX4s
qSZjK9Hy9yIOJzyrMNZ4AuogcZc+HWmbAsXLJAgcV/nrkSB7YN4deRjbQNijucCZyFbe0HwKNl6q
qfotN7sgRSijsA4YOYQ2FByu9QK1dHzMep4Yt4no3/uVGlcRiRblArtJkO8QV+E7NzuN/hOlJRmg
Vp7g9KGc4mI5sYaYQ67B2/n3kIB5QhpG7iZ50IiuCEOpMTJ87b05yyAMcGSgVQmN+GznURptJgyf
ao0Zu/Yvgzjj06cnFGx90oaaNYFmTKF1W01iNfqcgLdpGzjGHslhk7yWgHbDjevEyFrMlKzKhewM
SiLXCdGgtcGNm+GzZorDC7YFKUsGQqvHrAiIRBq9obIWJWPYJJ8OtmaaL7EdBhcAF5rPfZbD9kmC
obxoQQHQr1VTtE8H6i1FV9YKasg/dn0XNc5d0AxPKouGVZ2V47OyIJWjZkuuRWSw7IU+jpEsa26h
CeabrqvVs2+W1JaikdOLoU9vvd0ibNTb7MHTqpldCPWR7FFQfc3R5vcS7gI8yxIsoX2Xnpqqi8XW
1TyuKCq6WQxInMyCsNjyaqwSY60FAxBsvy8ac5U7zEHWZpYl/ZFV+6Fr5OBs7KBsbqPUScQNWUWE
hCbYrlc0Em1KykySRM08YbixyDyYdonExtHp2DVuE8cI3hj4G9aiD9M6WKlKhncVyNnuhQNBU0HV
oys7kyvBB5RErBvAFXcca74MtFrVgkotNxaKeR565WLaGF6N0G2ou3PTjOGV1JhudmIYLpRooRqQ
COYFdnStODFxKKVO1CbdobeWDM81Y8NrOCAu4QB4tu6wWI/Xo1elyblz8/xLJixrR/ZKv/e61NHQ
pKr0s+2FxrVG84tJQuNeDU3aUeAakfriU++CcUY6jWXFwplTidaLl14j1LtKpvJUjG3/7lFTQnZ2
cwcEn1ZSzDoainpT2EGwdqBTJe+hshEbR1qgX8b4z8mHNuzHtNfgeXSh6WxcyDfJyUAdz6owBus5
b+Iu98vCX9Zxn301HZW/dyiyn/rSRPYKlt4FPQlRbkFrh8N4OHAM1XJGn35Sa+kFcgF5hyKwTE94
5VWMpieXhHWFWhetXT1QTwQJgTmOYIhso8LDPGsbMYG/WtVd27Gp7vQ8S05ZSM+Pzqzn3CeVYb1M
LTtIOH7Q7tLRf7I7jVn7YPgYiMYEdQaes5UyHXvn0RRfG75lICk0m31HVFyHPJFOhtX2usYaQVjz
RtFOL9H0jRKTlDvV9wMBr5f0Qeh6Dn5Nn8kGRod4S0NmP4+Gsp5VskwI59Yx1jE/GJM1wcb5oW6G
logNIWrruoq65AlKCzdd7vtiFlJ2nlgxKEXk7xIswqzSaxsPHSrYN04gOvsfpFo7u6aTq41Xls1Q
4lrTR5rooKc5w2g0xBWQWQB1q4IjlL/q+wSCQ6rFPegwxSl961eu5Z/CDHLbssv67tpAg+IfZDFZ
+qmPookJuoscgNZEfkN0BAzZKdLG9gZnuVU8eOjwB8TraD0i+q4uloks5pF3mZ0jwsYLE+P7JImt
dO+8IbWvIyoXuibk5EEgL8OdJiexcy01QLMLzR37WXolJk7btO6wX8uAkeBIi3mlRfV0qj0J6zZj
SnIMkUqXywItAxjuuqteB2UTXI4miPJB6Jf1SKJuWHk3Og/8sqpDb93YNElr8neflNGWxzQK/fuo
Biwe1wQ8Izyz/TvipDBxUd1kfMI5IpsR9uqJDoWKt0LKyN0xclR8rHjdBcRSzIhnE6X6lUJ8jsw0
EPeyb4ZyC9YW5kJuxyzLaWPbAD8iUuY05Yn70ejgwObjCGTExbl+O4ioL/YG2KtDYE7+G9sci6VX
9bT0uj4AvQF7BOYv54/PhZG6x5EG03mS+bl0jGFbIw9ZJC7ZFlU2WSeE7GqVtdaxnIDaZyYIdpsc
qUWYeWRzW9NnNozo1nfM5K0ANbkt49Igk0JoMdqUygOvBurlzfczSjA41CB6QbcTnMAGVQyBw5g4
rCJjrUPk2ZTCmXtA6PWqLTNq37uwAux6dd7TI+4H3BUxetQldID8tajH16bU6Lk1Rgh1ONdNq2Sc
mCDhpzkV/SOM7x9OPJytfuRtQFrN9Bznxl7CSm0WwqqrQ5Zo0d3fu3qBSBU/Yj3mg5WSMznMtB0H
GfPPL9NNaZZ7ONv3zlAxf8YAES3LsZTON3v6X/KifuYazge4+fM14OPpnAj58ufXMVzNbJArtPup
zdrP0bzD283EicAfFdEAgxaHX5OOXgkztNRU//Dq5ny1fn6beLSBKkoXdolr//o2w96PNZxVzV5W
YbFBt9HcgpKCmzIXBx1d+2tVIjGKMRc+x2NOm4NqotPdu4nqQn6UGTArk7nwyGzq/mk4D04OFEeU
tFV03QcrEE0NXWGN4NqruqpYqnK4wLS1IOsvLPcbXO0vr+cf3xAnYR3WGxcWXIb1C45lQo0Keb4t
9lNY12gi4hDVCrjLXl/jM3bZ4/1Eif3f3yx/fFGh20A7DEVlajv6L/dkhfdQdnRoeFF/OglHUEs3
9A5JenPG8vPfv9jPOML5juHFQPDxBvlNJAT/fMf4rjAzUPbNvp9CbW1V5hvYx02qD80/vKs/PgII
zilDFNBwUmat+fs/uNrxWhkFONZsHyJDa66kUXhsnJlhtf8EF/yT6wdekVMkZaKJ8PiXD82PiXS2
CLXaN5JmM+QaF4TgEPgnHlJBBKQpzHoLnp1zXhH09VXct0KeMect2YiCt/aj+isMRAboYrxpN3zU
h9VHrfj3F/8P18SAYefqpBcbXBZL/PqXatIH76TCfRwEcHCgDzXnIQen9Q+Jwn/yOoLH3rJmoJ0l
3F+uvV0Gden7bbDPPA4Dq4qpc7jygbZ/S7L+7273XTBBy+v8vfkVM8hz+R+Uwf95LEJJ6PBfswhX
n9PP2W+fs7ff6Lj+2CD8RiScf/hbk9CBO2iY/F9HWiAx5H82CR39E+ndtmKRl4604aD+Z5NQ/8R3
HMYRtjINMIL8ut+bhPonYQs4GZZu2YYFg/rfNAndn3uE/E1KCXYx6MmG5K7VeaEfn+OiwrsqM0OC
mwjfW8e+RNG8LWz3LvKKeKGz6SejQ0mieXdYJa6LyX5Glr5t3Zegp8OHU/RId/Ehbm3yzq2NoWnr
6MTE8ND01IkOQRVedxH0+kNpim08o6AmaxshftEhuAceQp/iiGzbbpmQELyB+/OURNVOlsk+tsU1
U5NL+n3bvsS85BmXqC5M2/8ykBU4Fu4aANqt0orbafDWni2WRMwtY3KAkubLlNyOKHmidNpaAzJ2
2V84hdoDmD8x1bzM5PBQCIkgJTuz860L2DtoKBZRRWST6d1RsdMZ8+Qd3pdd1UdXqSfRxAYuoHmr
2k3kELDvI670SVUrOAmGVvfSVO6drqqnSHLJfF1uhWfvKX/WrMivWiMQjacniT7lhzvvTyAj9IV/
3Ki/f4hsbPRouc/+AKEd08rEIKzJNfa0lY/NJ3XSk9+XV6SFXjkV9pMAY1s8OWsNsQqjhX+g4M49
8x8qBf4Aly2OhjZed0fqkDJ/vovC0lVkUlFww+2ZiiI8qbZCekw7qBstax0HJsOQ2N6y/iIpnh46
YixPAHW1fcpcb+EsvjIbr3DKQFqiQxDiOsADiM31RIzlri3jGGMb8EO94Swz1fqS/nK62tL1gURf
EdmgegJehcs5KLEpYT0Gra44lgMjKNgIbO+1iZ/bQzM2TNctwAs8OjBdTeNRlObRczi1R+2RuIXy
kHOcPX58QP9qIf2vrZJ/+a/m1/qPxRTm6PfXnsk9P32B2CSEEEm4zHjztaY9+zuedP6X/9Vv/vb1
47f8E0SIT5qK9K/XyB0ZvK/B5+RPOULffvj7Gul+0nXFxINAd6n0H9dI69PMVoalzozF+DZi+T5I
EeKTaVlM0B34OqZp2tx039dIwRpJWUKYEiuk8/Gt3y/D98fpb6mt80jmp9sbNqzhGizejFKggcyL
+4+LpEl0QdHTFtxmtCxXoVPD36ldGleFNpavshHVOtID96EvLbW1tR5rgPSaldNH3h4LiPmmMyfc
xR2IHqYZV21K6A9wz+gF6xw69skukCE1cflaNkS5unUJOK4f/UsMDsONmjMs8jb76Eg11RuJu+N2
CGrnhtC4sF8HeiFfPVwKROdJO9jQ59yMbnuBTy1B/IV6su3tZl9OPlYUvOEjtPZNWLiAP/BdFq7f
PmG6ct9izW4FC8VItqzmtRuRGXRekigZ3vxQei8gPdrDRBjPyiJJjAcoD3acWRgWkD63rYeyXflm
gtw3VFewf/r1iDlvlwew88uxtRcs4VBe23o691DY1i7kWQPIvz2iFc6IxJ68sLjvcIp+DSGRXzS6
Jg6lau943N1H1HnqLJxSGkh0mCeZ0BDFgnTJumCxrypnTX4wDImRaD7kzCMs1tyMn+CF6wehhuaQ
xeYrRH5IHXEYnsIAI1ToKJK70QwiPqlRKJPVYy382Am/BIxzHgn/UMcyrOXJRyHyBZQjtr+htrT3
brSbi3RU3VNO8+KCD5z3aTHE8EpEp5YuLwG/gsVxlJXj6UqStaer90HGOP7tAPdC0nXpoYzn03si
Xvu0x8Q9kcW44VTtLbnhJRdKy25lakabBIEmZt5Wf8LcwaHFTkraJ6QfFm1sXIggqHc0UsoVyx9v
3Z993bAFF11nwR0FHB+RDuA9qAoDsoVwCQkNwTFdTWhOMwXieRiLeNeaoNaY2KczPge1dqUCYokR
oywqkwhEx6vR+DnE+vV2tU6t4KvJJfFoLxTWpWF00Z6JDtYATwcIqKenPp/cN6uQ/v1Auki76EX6
QAJDclABuIQewAn2QKKfT6ojbK4vdPO6LoWeoYHRsBLmEqOBrNrirUZQQeq5tjRav9i0RWReTgIT
ddTbw2UwJESG2iZ3bUjexH3iuGa5gjM1bbSUa+ZGhr7Sqqx9mUicO2pKFTcACZwj+ia1GXtSHsUQ
vZVy9nbX1bYYHechLpDnxClk24rSxqrGaNVbZOwhr8/uDYhYl+BDUctbWocv2EMWSVRd5F+iV/TP
YjLkqgkEjpLRmBD5ZT0hLLWgViBEl7RdFIjEw1jZq5ri2l26llbuoC7JDXJFhVljTg3JX2tjwGTt
RUtN71cEC2mbKu8v0g4Loipp0LIZ3wXEU/pGZoKLmcdCZmBrqx/W6j+pKsSvVQWrHroj1mmDaTWL
MDPsH1c9UCNE6NYsB+QvmsGis3JmYAV4GiLEVFawNaPx7YlkE3X2lCDODmbkX3UpkdYiJPWgCTVT
R+M5DWAfQm49ut2M56CbGZ9o62ZPeZlUm9rpQ7HGvCTTddNUeJ0bLBk37sfzHH882wLFOSFjPBf2
vp7XhZ7YLEznnZDZGv18/PL3bx3Ezi8r/jzWp6rhYEtlzubzy4o/ao3EUeoTFW75t26SLpw0Frea
Gl5ow8LBJcFraQH1OjlVC8qJITvzL8Qi3A1VgeVF863KWFtTgM6JZF+a1+acGxkl3VcMS/4dFJJx
75T9Tg7JvhRTOSzNtnpRdbPJkbFtGZUfzMRUyzgOX8tyyEF+Gel5wA265/hfruhjM/AyCBUwkfSg
n4k7ZOtwpPdZVwl7qcd6g3kvNpdeD60DmGy4tdwhxZTUuy/0NrOXsdO7DYE72ReTQeel5Y/lZeJj
Rw16I93mTe880Wf39nYqvPOYht0NXzqbampD4lcFHJSO3HnXbdR6Solo7tti2uZ2L04m6vy9H6iG
0QXYrY3fmP7tSB8OXvTkQ9Ku8f8JmK9Qf11jS9PTxieGSDOBotmwB7Xhuqq96qExga/5iLgeIgGv
oEwy+c5Byl+FTRwfUfaB9S2s6FiQeW0vKfKsB62xzCt3UtqtqHsTsa3rs7coPf8K9WZ4IDfcfrCc
PDtDL6vOCn/IQQcuuxOGDE5eqVc7s5P7FN9N0wUKbGvVoLmsB6DVrTFcm33fXw99Gl/iPGkBrCdG
iEQaG2wykvgcjWV125r0unWTHB5oZeYXWQjvLvdk7i695D5oIrBFzWRhH2nqKX1J9aK/mISJYbBq
ICoE9XDM6PJDfI3FRtlJeEIMwXS+IhhvUxnRiNU7VcFSr7ri5BS9d1VrfXFtO71TbhlyjGCoIb1a
UmTrqmLkSyZFfG77IL+wh6lZBeiqFqkvigO6b8xp8yqSlB7lirNnQIbXJbvCFHibuC2E6IRITH+8
GGqA5rgRaL2zTSzJjwfpwprl26xe3ryOCd8IkFNp2ruaVzhwwgiYKnq+PdxhidaKLn5ibaePhbH9
WCRZKSTeX1bOal5DVRWwziShObEQBHqDXI/1dpxX3mFegytTDoesz1lzCxMXRuZ14Av6kRUdkONN
R7b9cdKN9sVCprjKGQyuYq0yN+nHxhDNewQ6d4QEiYFnKZ73kJL2krZzzCkL0dvNW5DugllfuNrY
9KvYKJ27Uc+tqxmS7q3wCrlvYRWADlO5EVvbmtPeQeuKYlPP+2SLl28FgpodNCt89aUvIoutgnta
sE+FxRFRYccaitt/lxPYuvWwAoar6mNLR4XCB4tJMVgxxOsAhZQOPqOaj8j5qBrGuYDQqCSmuaRQ
H8VFbPdYllvHIneUukOnfPTcoFwCU8MH6iVKEVPfDsc0MQCHuNqw9yyEq4hX021B6bPqVBrto7Y1
gTmrAGpg58plNuTkjblJHF9YMMT3osnR4KD9eARZLS/RxKgb8h29dFHVQU3AWuV+LafCPA8g71+7
pO3OYT2G98RgN7fkpA31ytdbZ9/4gAQxFGnk/OkyvAIk12M7hQpwaWui3dGMiC+o6Qgu72lazJNO
0zqnTNTJBizSy6btGJkWvVN9GaruSbcL8IpKG4NljBUK/7sytmrogjvH541HnBr2lVYgdQ8icgt8
VzEoK2omJCKW2tmacrF3MC3dplFunxnyWMvQYesyAMHdFQgICSfUYaEJLQTTkcKEYZbeKdhHRkFa
jztE9YVNSvzaBogAKiPUv0D8a19FnhVc44n2MgWpLzZA8i19Ydu+g4kNrsTj6ITWlrE+TzHt8fCA
P5rMg0ppB7fs+h3IgeEQORpUHwYv9DVL278O4ek8G4M6T7TZ7wiPTJdDrqGtRrB5QOuLYayXyr4O
RjN+iQTmbiQhlliIKm2++BYG+aJt6rXuSAJ08hhgtg2vhHnZmr/IWjdpZh/NwuXm15wmYSvXw2uN
mBQy6ZO8Ro9BFThDreR5RiB6aCOWlk2iLbyDWcv0VTc1UhqbHHona6LQVoUe5RsVNuV6buw+5XUs
D91Yt6BBw57r4LRrMsUjftiZ9o4ZIFnuZ+OTomBf46OEMOnaB1eX72nvfhkHXNJsYAkHJC/P9vSp
FE87tL9FFpX+DYa6ccvKQ2HtxfpDhN8e9Ez6YMjCfJKl0e66NikegSxFj16tV19jnveVy5Bx1zXT
S+bqD8KGhbSIIsveWzK/MO3+KoLrStEPCbEFeLDGTDWR6JoEdb7WO7gPy9aFK3qsClnsld2w73og
/VyRiN3UFNGa6IHxOdS4T/VJmseh11q61Lb3alZIrHxbRT3EiLmsn7KBQnlop+UQyLe2DbytK0tt
Y8OxO4VVGh6LEaXLsc20/AY9sHmHq7gelmE+NF87Iuyhgsa1OmVlxmrT+SK6xehhw3Wb7RWkecAQ
gVyyrXJhURoXiGg0z7LDleNWNr8VmksSdrDtnKI6mGEGgknVvPcO4D76g+g4E2Vmf3DxwexElcRx
5Cq262CXVc60BndSbwtvGjg4CYEGOB73g+uaaP95fXpBzlNKJRiCKhzdC0id48YqcCYKo3VegjI0
tgBlooUHXKyFWTfy1FajTqRVhtBoUeQ13oT62fXai8nR3+f+xbozPONz04FEd0vckU5xVyOxhWeO
IPfGhLuYYqog3ToSpKuIQD2kTUZR3bK3E/djrPqu6rdKL+FbBWLY6jPfDHeo/oAIH7gP+twA+Aou
vDDHgu9LE9GG46UmXmOX+ztBGHVHe2K6sxmqFstYR3bMHO+kx0GBGo/3fCbe2LwgXBLO1Wy+FJIe
atuHjb2SWHuzreu42q3FVn0WRta/y/iLV2P16osBI5I/BTZ0gFHuqjCmLNKyixTruNSJ8KjqBDZg
lkRbAFIlq4jJGWOotVVqvQGeS6INsWsNaswRq0zvOsaq6LxT00fTJQXhsTFRcOntk4pf8ulmDCBS
wthdlJkZvZOqcBnHaYbsodCvHcsrn7m/2LwIg7nqJ8c/JkFWPEGI6HHJJHQhMPJouB55op8nq+7v
iZwSz54eW492ZJfLRq/lvtb06MBOEJzsxNOWKojm+LMEUpFWU1RE/r6pohDoSQh6A/nTdRgV9g1M
pfEF6vGEucVPCT+RaDwjMo6dDHEZtBccAeynzvCENJ/M7wwx/zxlDna+tFJ4YmO5lnioGO27w63Z
esWWnGBgdgRVbxhGRjs55y4j7JpWY+KNa9Iahh01pI47LVfw/Suhe2cryYq9LNth4yfEn8eQUe6r
kMoPY66FnbIFsSsrd+cnCYn1eTgyevfQ/fA3mKvST6d1VzTRU0k3FKr/4PtLIJwAUllEifXUpg2x
lMQGoG3aGkZ8n2hjASW+brexV1CQxfg9gRxx5ifO8I4A03o9tUV+iFgzsCeNQH2sMHfMZZNoPaLa
OuYJjDOdBRt9bDfLCKMFf0q+bNyUn+iaFCKvRw4paaf1EkUG9BA/E7sgZoXw0BWu6gZ5CAK1dJeZ
GDEa/BELQ8VQ9aKc1azvy37px0CvWsJnTMPzLjL8iJlLmhCNmSgm5pcJrhF4xyr14oUZD2LdEqra
pJhSZ2HymsiR8UCHL4PW6t5wLl+aLnmsMQEQOH+I+LkIZuZD2nfOij7BtA4HC8wi5mbO5ipOjgFD
OC6BZ+z7KjdQ2Hbkb5p1BpWexBS7ZxCnxKgtsSMYBekhyG8y3NJvZpLHz1koq4QJsOnd4L92L/DM
JWfOKsRJ42YlE9ems2TZtXiI8Kst4UcUz/SqMe0XSX5EIhVx/isIv4Q8tIO4lWxlV5WnDNvMrg7x
ZGC+wj/o4NiQ7oSpLjK2PGHivuG4dm40jDtZ51TrMKX3ERChY+i+WDRRfMxN6zDUu1FxPdvMfUZe
tIzKQN2YWedugRRGD6ha5L6Mk+TkhDXSFB5BMK1YnIXdt/+kAvizozB+KXrhDvluCB9+bgP0UWZ6
nhRY/8aRIFgZ2a+V36ENLq1Mubh2OP/iifeRnGTgWKrYJe0iCAoNF2E8fpmZa9U6kVawHtEnIxCd
+5X0dJCKt67egjgLJqkRDj53OHWbkGR4XDQIx9xWh9DKIbnUnBC1bzOLf9WTv8tT/vv/ZmzJKBj4
/F/34w+f07T97X99Tov/89vxcx2kYfXT5PLbz39vyUPwn30N1DcGgZp0vX/3Njjik5iNOAopwzzP
VNwQv7fkrU+GIA6RsSaCkW+2h99b8uYn9HSmQSuffDZI1f/K2yDtn4UOGqIYkqIBMsx36w+6g8xs
faOliQx1uMLuotGBWwRgYbDBhd1lIWMCvWdaZ8hoEpvSoq1lvAZfVB7HAfQTQrtyAy7burQziAME
djurBAfdLpnpoVrj0Z8qNJ8AjxaG1YpCEayYJ4hKyptxn0L/XyR1MD4Oc7XjcEhd16Ue7PK0Kq8A
bcSPPrFb68gBvpTO9RIz0vjo+lBlsgkFnpjrqjQLqgPtFEhLABM/45+wjw7yynDlfZRl9VyhqblW
i+eqrQP/ssg/Srl+ruryjwLPQW3y/6g7k+a4lewK/xWH93gBJOaFF65CjSxSJEVJlDYIkk8EEvOM
BH69P1Cvu8mSTLkdDkf0pjuiW1JVYci8ee853znNfaQlIK6pAKOXYpCupLjrlgqxm2qSaet6wOgA
HvFULZFioVeGu4nykuRQXBOeQ8n5EotWLunIUCgBKpZLdYrXekA7TsVaJ0MVYA6ev2opmkz6B+be
WGrc1I0n4gvQ21y0URti3vpRFfe5jlPXyeFn4AdYxQA4VyXCuAs7catHK50H2h6VFjDOM9bJSw2+
VONlUqRf6HNUXyIJu1pfqnaXI4G71u24OMqlup/pSHRMbGXz1KNwPZo9jPsdZXCqIz9s7cMI85QB
cQJ3UdNyhnqz5TIsmfvMf6Yhix5YzWxmMtOaC4ck9wetkimmX2vw11redRupE/oVzgn/iqzAhK17
s+k2Ld1Z0rZNsYlnxwjmDIhbvPxJRCu4VEE1iVva0DmmfO5CIBqz+oxqhW3M8xkmfqI56MFRGAh5
B+LeglbN9DzHTU8kyocl1PXg53V8bRP0sjaqZgm1r1DTcdmaclrXfTxdh7hjWAYZHVv8k+K64Ss+
9IjZaTJqnY6xALgXZLxOUU+NJdFwbiaAGefNIba0aZvHRvg8VQ7fqc19O6N2xqsOEh0uziZErXvr
Om34wHqcevSqNf5DGYK+nrSJ4/Enn0K8BmsUyq4NdJpiNyUaSNoTPnTEbT/j7hZilrfSyqJnu4bD
oMKyYgQkwZHapcHJOWuajq1qnDlVAJ/vMe2ST/0nvaPpYeb8+snkY+2g1AzzWacvwCsNgAWixpy3
QP8YfWu8P22FOmzAr0c/vPDMIKNiQbKfibIM1ACN2Ldh7G6F5nrWdSxJBQjYmCNoiokigrpGPxRv
MsrGj6Z003FlVhqOyM5uC7FJjNpbCIi9/n2c6vKgoSpeQtLnCNxbVCCD1PTQPhqIOFuaSL5/myn1
JHT6hZNR2k9kP2V7xKfdrYps+uM9dr0ZDPg1F4WuiuFV6rPSkuiB3RSQn4PtuZrCjr4WBmwCPVB1
u6kvmEm1Ob91JoB8KX+4TyrMugvKWHZWe2rkAH3N76vNSC92ibinRS2qHiInEPlG0JkKVKd1n6ml
40di38fHKASg4dThdDXTDrmWRasdu8nOr/Fk2N0qajT8YZYxWd80aEac4l0TTF0+6+UJbb5OwEMJ
Xy9MsKTHOmAGPCTr0fK/pUVabaiNnRPGZ/xkPTg8iSH2BP3B/uZZEeSHYumjgDNnNtaFNHYrl7VH
gr4fiKM3JCJkisADCRblkbjpCmgmFYMMOleEpyRx1X5y4PDGxA/Bkq688GS3BizoRtNBidSN20K/
J2D7gXmT/8kxe+TLbevfYm27mQqE2JFSiPwsr9jaGjjRlbL76s6xB/8irzJSDyxLPpUito49BSmn
+l5H9ktXfgAdsLEJqKf1XqZ7ITU7yPBcbgArjQGverMplzW9gFQc1J2lHR3opl+zqEX3LaEk7WxG
cliXMnmlse5d5ij3PvgtPonYDocA7lN7a7POX9fRANEa5ZiCJZbWO/y11rXTW+md0Wrxd8OlrF5N
Mh02vSf8ixlX/V73SQuG7TmSBRBpR/o29t4aRVFyFGQWG1RjnlxGdj6mG1IO5sdIgz6bpLm8zald
D4TO34ARAVHKamllKz/xxVf2bf8CvTvndZuEyJtZZ0iIswXPS+3rOd7sdioQcnSK9koZPydJGt1y
7grvRKVwXjGu8h+jETGM1jZgDCPRPIywUb9w/GgCpc+A4CWZFRZxp+7KLwxtW6An4awE4v4mV6Z7
yprZAaA7j6eh0Sx8cvjRccwZ4RGN7ZItGo0HhCZyG8Wzeei0AdSJbXTd1tWS7NZ28ahJ/Iyww6q4
+U77S8ZXwh3mB+CNBhPPdNYFbq/SXidYNU4xKSXraAoBa+uedZq9fPgq2ijZMuXp1zO72G7w83JZ
47244kyHrQI1V8Hw1qyuZs9Buzr7tfhuDmVxxcBDETY30ejXvXle1b3XPoUzjAJjLsR2GGvtOHtz
/z2nZ7lAPwdSvtiGVghs0JrTtDzCGkgfMDJj0Sp8EX2I0lin2w6RfYsr3VwvvNRD31sWu0Hl9hfu
aBgXQ86c0Nf0fgecWO5g77DSafydgzQiRm11qEh1jZ0dfLXk2DpezdXs6k/hWEBhZjuBEzbBU1Vl
ezuSVrZFsu7etYkPpn0Y6WTBXQ48Wi4XIGGvGOgXh3ZAbaTmlmG2mzjuyWdffXypTf+vC/R/JcWM
icjlXbvxR8k8743f+K+/8qMo97w/fMSA4i8loedSFf9lOPawIuuOQEv4V6rW3+zGHp5i/qBPDpdh
2xSof1fJCPcPJGNC91B46+gI0av+EyqZsxBwIuXQ6OoQhLAvMxu17LORKVAqvRhpFuwtUKBH+g5E
G5fy0qKqPLoK5lDMiCBAFl5uaNqqT3JMI7yzBeRTvYsDA9bJKsdb+JTErRGEXeXeFnkPd0erUFu4
xGy8Ovv8Yr69nFv/oW7/+ftyYV6fJCg7nE7C4t37EkrOZIGbrcD+kD0RBnrFIEWw6F36uR7u3v9g
DlG/+eizQ0zlWHnVVPCoZNRKnLVdQsOt9raMgcsNwPAymP1MA12LDgJ+5Qc1NDQ0ap/wSVBaa0Cl
zX6aC3sprPNV6eMmdpv4A+qq/iAqrp5jqg+ZGUaXYcecHEAZmgbSjPYtJVpFGd9kcvE62lQ+tQaH
q8o8slaIKaMLRpbJdRnnDC+7vP84mHp0SjGTktuo5CarRH7Mfb28tHtfXmI+Gb/G/djBXK/KE+Al
sQFBVG+bqtvoxdMEA+2QFdFO68BYsI0BKwL9iGEGo42L+2iXmZm3ClUkt4nbPyWN33ZQP0QPYs0G
2lGQ4zOXDNSTqGYmHGMPLUXyCefTh34ab+qkag7tGIyZdm+1hX/RkVt9nBL/SzsLjYF3ddFgnIG8
74hTMkeXoLoZIEWI8L0pwWHQS5hM6HAGz33AUDcHiCOxkvvJ0RzYFcQwfVB6bG9bKEabXueYg9+n
O1ZwjrZhHwpMtfKqhIS2VY2+b6LyLmNGSYs7DKKGgEfi2oQWrcukxrgWIi8ySQHBXov5ibiZrZxh
j5WJZ23ECB+LCA4oIgwcN/wwwNmy6g42JutvY4SjF68kY0t2u2nP0f5m7H3zyFsDmLi/CCcf7q4n
BqJW1Z0atOFG5aoLFLnOwLb6bWSN1R4awJ1RqHGDosMHdsM9IbGbLKg+MjeDaWYnPwaan6L6bT0n
PHiFo+86GYcHiyobuSSHBYCwRM1Ix15TgcpgwPZ8pynSmcmh0YAIrzHpHmazoTSPZbaRHU+zsk1t
O1YI5kClUnOn/UTsSawTMdHJnT7kj5Zb3HXQyxsc+LsaMZEf4+3T/aB1wHxy0iC3b7TsFeaqvWN2
45q8T4asLhUyKgmKcdyGo08I1uATzMHdXBR4O8cmzrrFC2ZOHjGu1JZm1ifMPTSPUXwSqAI0WO16
kHez8RZdnH6hRWytzqgA9gHB4iDWuRdTWaUfExN4GAqhnRotqC4QhFJPaet8imGo98mV4ynBHAGR
VAehdN0lugomTey0kUKQ0djGciiWhOJkhZuL7OkD9KJb6bGD1pO66xSQvYohdBdfDbVB5Jg9ByPp
Cqr9PGf1B3dhqLh6f0tnzfsksK5skUtuCuJdUolozIkaiE9EAOYF7s5mA8d9W8f5E5v1ppslDnGX
/NManfAaLc2VPznxzuAsLpMaGKd/1Brjg3KjYxIW4jJ3ak0w/5jcbRQ6sN8JvG4fUbnjqagL/aNq
JwbembjVWuiKII0IJfQH9TSICCBV0RB8Iwi7eogzgn51ftaBUoHqJcNASkuEEXxYV9mWeQJpo/EC
cKnNYk9cUXEQqdBWFVkqQZOn9o0XgufPBqrnRK/7PalD8XLsb5agk0855MY1qx9hvfrY3zW+x2JB
Ib4yGZXuxtho91nmSkS/hbvAapV+8Ou+ua3DvL8ee+RUskQuR+eUP5gQkTDMZkwPvdFPnJU+IAk/
NsKcAE6kd1ORdMcUSy2PoPW5n+Z40+AdhwBBBAdmElJfRNVcCRSLFH9wSzsro+2NcpxmOLWg37by
ELmQ7RINTZgWSbjf5K+z2LX2fV5oRzecWe8Sa53PXrIvRubMdNRmxOcu0w+jfIY5vdeZe+0QxAuA
qmm6b3351dQaa2PJ8IbRNezbONS2nADGVTqA98W7axzyKimu5sa+/c0+RgvwfAcFVcK+bxvCBDVy
1hkGH0tzuJ3JEsalTOqIJbS12QNq9RbpBVohLZC1kX7ssE7u00Krr7BCwaUCAXpBPk99AX2uWWEt
uXc4INykI9aeNG5Y+VC2FVc2TjAMwboMkiGL9jLsir1QilhwJogY1vVjU9N8d6vomWOEttK6tlzn
TQ6qjdct6rKH93/v25bjS8Hw5uee6eGQ09JlSG0DxR7AJJpC5nqa6PdQzc8/mtP/Q6PaXx/lYhoD
GULrfZE2v65NjJHxR5cqyJq9+9y5DOEn2/pmemSENHZ1//7vOhP6/fxpi7r/VU9Vk+hi8Q+LPbIT
BIi2+cVEsgcQLPrTkM1CQUs7cKhZzAlQzPtOU7iU04ooOSfqLv2ETg53Mmh5NMFYqG3S9t2xD5fj
CrSFQEKbD0gq0AO0T3YgJsRXehLDqUobxXHV4F8rGf3h8SUtkY26XrZsi737/d/5q/vn2SjGaGkj
lXLP3ZTk8BjAY4196Zc3pcwddBYL5CC2f/NBL5GuZ6Ul8pt/fNJZKZx2CuysiMz9EPUcy0P/uzG3
wwpQfgmRz3l0BC5thdycNHgqhQqdZfD+b31ryHi5pVT8xPnhBqFRby2v7qtbmuYooDT2kb1T29E6
dUKdvAGRUro52rUc4JlArMUl/f6n/uqHv/nYs5padLQs9ZIjI/gTloFmIfwjPBobRoCy0bVjMamr
kO7AdbZUOe4ILfB/8RW49L6z2C0xRJ4tSpluqLbKJYI+CbquZUtEgHCJMzMEiACoL6ucD7anU2+a
zjdW/Xr7/hd46xX4ceVff/7ZKtGT8kO7EwJml/XfyM1QV10Rmse8dniJteg3jtblpHD2pPFLdZt7
bOBDPne0kjehNV3p6XvbbJOTMdLRlNDFNu//pl+8OW8+5ew3taZuDhmTOIB4yliN/MBVuzDYc6f6
ze371SctP0UXHv5G8dPCV/l9Mc+OvhisxtXoGV8yxz/w3v7mF/3ySX39QWdrHucPyAoQi3g7K/e7
HLsPCTljO6iLqAGm3vyYRh0zTjhK8Yd6KZRF1VWX71/WXxyZLX1RWXueLhbL7tk6EcZqrF1J5CPD
/Wo/j81wV+E+OUipzH1lqk9l5S/RGpCtJWOgNVSSeu3W0GzcXHvQXIDn5GKxO1BdFBdplH9xGpNY
Tik+Jw1Yo/e/Ls7C84fNgo0Kn4ymBN/YPnsMNGNIw3xu+GoRXqmJQa0RY6Wi06qvQT9eKt9Rm6rX
930LXCgaJd4MmvpbOKeU73bB1IEmX9AMxYEyNdwkpRHkFWcaMjemFYeI56oao4NeL91vEIGGO9Qr
CeplNUwe4g4NzU81k0AB6ateDdl3IQk1ncY6X+vOYJ3atv1R4vy/9aBem7b+pRywOK1YOP/7UfLp
IW3jhz/H79+rNyPkH3/vrxHygrNbesauY8K5Q03/t24Vnlgk9YyPLc/2TFZp/p+/+lWG8YerY2z2
aUphcnYsvsZfI2TvD0yqAPJMmlauWAyz/0y/6qeqBwutS36EThq9wDa5jM5fb5F2OYZxYxKh5owk
m+Z4yEcGF1HefCM+gGmIqweoa6E7NP0uhDGL3kP/jH9FP5XtcG+Oydeegt+hGN2peOj3Xd1dJ0yJ
CCgxZFD2msTu2Vrrxs7uO29BHPvpPYzVwB+mI2wJxnP9kltJzJXAX/rqbvyiuXW+C/HjPBPjhg5O
mIagdfbjYEPHpK+ArFJ5EmDK36bhM9jea91xf7Pnn38SK5hhs9n6cAZRCvhnC2nEwdEdcCAErcHQ
FGIoybanqSsDgxzm93+UuSww/9jtcGJYyzhg+S+OHJYjlt3jVVXDIGjMNbroATmjT24Iw8jNiy8d
wSQ0MwxgSSXnSWdISVJgZ3IHomZ1x4KsH9XxLmQev5/7amdJ9yt/6q4o8kvNFjNLU3MfaeNF6bgP
Ig4su3LwuJWPjconUMqoCGgUnCYroimP424bmjqjqr49mKif190A7tciCzSIw+nBGeavdS2/mbXL
SC/Vf2e1NZY7d3YN8P7TaHUw23LwOt8zSDMdJlPzg9LzdjH6MSNXUHFiUhwY7vvlfZU7TDtIzYuR
XUpikqwh/xNMzff3b8bLB739Iu5CJ6GOprz0vPPNa4qVivIIWU/W0cMgb4dJnubee1HLrMfInrI+
vbBgoOMou2j6+a4kepOMOXfHyDUj7FncmH3zcdHpKrveMSp8mJPoWz4Z2zn73VFVLLX96y/rYqRn
EUI0rrtLM/zsKS2IwtPSTsUbXZ9RbiEFc/Xxzhr0j7XmXCIpuGv78pD4zn5Wzk6STwCJDEyehSMS
nUgzY6EBeuKi4FrPoFdiBx9b1Vi/2WJ/urt8T9BH+P4tXiUMsWdbrB3VriMlB+dBZh8rLwHSk+cj
Ngz1YbT7izZs8Uwm9Fssp7Po6c7fhnomUbrZ0DL5zZd5e4ZAXvP2u3hn5yXU9QbtkywMQogzik5m
6hskJ5lLn3HX/vbjXtaks3sEOoOnyeJOuYwy3r7drhmm3oyJLzA7RNYY/hCCdeSd5CNPhfXRiDLy
oqe8DIZSg4Oeu/LaiaeDpcff3AnBY5JgU4zGPKMZVdwvsQwRXM88ae9mQk8usMiRQhv6NG5teUNf
vw86chY0cz4x2CTG2EFiQWY7uVEDnTzG6BsiCi8832eeWRAdaVn1Kas1Gl7M41YVNde+84hqg1Q4
09QrE9o99FE7c75+/1V7u8T+uBGMdhy4IpBhsey+vTCTqWfkA3EjUORsZisiBeJKJR4cmd8UpL94
TRB1od1ifsMHmfbZtmHPmJWLkHfaTFxCQdLvhW0ghPUgss4LbMVv4y+JGj9a9XxgsnBrTuJr6OXL
lDj81oTemnCHPwGarQo93TcZWqSuuVRltnv/gvzEG8Dy/eZ7LpXqq41AB5EWiapOEZM7p8kYiQB2
k7We5PchG/SKxhohc9Ug0UzHJLip4rJRJHt4VX0fAW/CkzQDYbVabaNoPe6Zmg6XTdvkZE2O6R5d
Y7iLasc6zmg0PvcjAUBV3V0NJUZOi+YkimMYXzT8sFwDa1uTlociCGQEfU0LRNw4dZCYSWHF7d0z
oC+/MOJ5COPF5l2N07fJ7j8LpsfBTOXwnKNnQeERNUwU6uiicMp5C4Px8/vX7OeHiGqHXh2lFQo8
dpC3lyztfMoNs/CDyA5xqxKl2g1rabq7sBLb9z/K+NVnUXO45oInwT16tk+rpVfbmqUfkC5mHvt+
/oLl1ryomin6jLkQOGUNnLOYLtvoOXJRy5Ymalvhs8GOHRFH82Q43BS7uTb86Tdfbvnst6sMSCub
txYoM2/TedmXJYOR27hrgyTPjlO0dW3tYq4//eYKnFcqC5OAjqjAq81AViyD2tcPaCPSqB+cDOgx
ZjXiZdV+Ip4qCG2M8zImPb7tb8eoqh6y2v6UjNONTWogmi6E7VbRb+o5r9C2yGLjtuqaPkp8yjTY
F03oWr+p3371TR3PYlPksWB6e7a4dMg3MpK/w8BzSlYVieCQoE4k93Rh0TKtnNjd6np44eEQe/8i
LZ2YN3cC/7tAZOi4gHEW4PXbazQARZnLqIRWXLmfw9FliUGO4JeBWYhbuO5rmde/+UjjV58J7EY4
ls8OC7/q7Wf6DNcsN7Uxh9fhDvg0OAFZqWNlMRHkNHkq8/4pTodPpJw9MOR6ELOI16H22DUyWsda
WV55qnhOkOwZpbuWyd37l8T6qU7xBMW0T4G78Cuo3N9+P6XVBu6FTiNloA9oiu9CO9yGCa8LBHnA
nukM04GHaFQCn0Z87GfnW1s2ats54deGAfsKc8StGIfnJI63OUG/EVRjsufkNdSFHYAstqoSm0VV
Pjnstxu3j7YD4iAS8dLdXFnjMUkBMedY9ibVA3ez2+9Trt/1k/WV+JgABdB2AIlpRRAeBpOIv/ev
gLvs8m+eCg8wm26SZ2zz7pBc8PYKFBJzjGfEbtAO7p3I7Rv0M3u3IJy0qlTGCKlrNq0dX1YqytZG
yP9SMrFtpqzdwFu+7Zrx1oKiv9Y13NMytQgHaNjgXX3l5fq9i5MuyH0EhYbZnKK2Y9o8sXjXY7Rt
RsdYfN6EllpjgNYHXC4JeU7kMQX3vxpCXhqwutMMV2HCbpBMRTDquBTnfv4zXnSyvaivmn4ZivLV
9PxDlqmTSpJTmqEyxVL0MHRdoJlmRI7XuOs657LU0l3NGWSjSBBcGQVRtFaB0FSZNZHHdDdISsR9
kTNLNFK1ja12DTObWYduHIVdPREl+qHM7l0Ay7L7/ptb8dOdMCmXeTU52i1K8LOVoUcIUbi1ST0m
1jX5ye5+KPc19kjCcV4+6f+6zfIvlCuwXDPW01cXfOHv/MXVuXrIv//Hv/9n8effGWJXSAwfH5p/
O7QZSLH2dUvl7//Sj6aKb/7B3g1jDvANJ/sXaNgPCZCPwp6iiBOyD5USTh5vzt+aKuYf/C+0GJdj
haszp/17UwWZP+YOB8KjYWPu4N/9Z5oqxtmZAZgxLhG+GU8MHgHGZW/f3ratiVGSqtnFY05FbueP
ReWlG1Y7GFRhQwDqnD3TWK1Y7NNHJHCMQFD8rmts0ZMs4UR7RRuECkRVOMrPQ0nX89VFvv6xkvxb
0efXpSy69j/+/azz6y5fkZ6T7tvw1aCoLWi111szug4oaGlEzEdOwa8hcidNh8d6iv3TUNeIc9WV
0/ZBG4l2lTp4M/9XX4AaTHCpXJa5t19AMBHxRitjbV9E3eashjUnrcUcEG6I6BUcUmCr9D4ztBi0
cGLwPd7/Cssu92qNfbkEnId1w7J5v70FSff6ErSkeDdZntW7pid/Dd/eXR/bVxL22vufcyZ0+nGt
2eH5GIuMQXoFbz+IENy2m6ay3hUla0cXdf7W7Sq4H7m/RVROFIsTlswXkX4N4+iT66gXJ02JGxth
2Ak/t7YxNTN8aBN73DRK6LdmioxheS92vq2aQ09q1a4BqL/RKkbLaWoRVIMtnIStoQPTH80U1eK6
1miGxCEXcqqdr5yiD3rTeoEla4SlBWp3avlpR9RDfDmFn+YRJEyc07KAmLe11KiuVJs+G+acbtoh
eyy03AuyJkQA6n9H7nJrzu6X96/cWZ3CHXo5hdFbQ0zHBPisTnHnQs8iWeNWNEMP59v0lRSiAI8h
IchCkMMeI+Bx68H/TXV83tXhgzH7UJJh4aFKYhl5e8fyyncrQnCSnQepf+Ohpzq43tzthagEJI62
BX81D+uyEfZFPvFCF21SrV2v4IZiQt1kcbRF9urTLeWdwlaUBn6IeqysRwB7SYiFGH1jyigMwf37
10yInx5rWC2ei0+fpjMnxLPHWu99a5jcONsBZCyCWrPtiygms9wcUOqPfblJMbbv8PjlV8DGD4OJ
cxANIu6QdhXmzuHHAmQpskBODmCAldciVfE1fjSkVpQfmSnX6J2e3v/eP99rWplstYgzSX+xzk8k
HcpyvRn42iPJFaSHsShwtiDpZ7nQjVP5WEA6DCpWJn73fv7igoklngZwH3iz895tL3ISIfyGtF54
UGjPIeD6i8Hj/d+3HMbfrjaUs5wsmBnx41hw3j5SRVaRdVtn2S6e3GLnNnV6xOPy+P6HeOel8/Lk
UtUzTROuwdhXnN19LFiuSxWWIRDMnkM3xN7ptD6hpYXZorDmJfe1kb2FGmxTGDOzcDt7NiIC7qqZ
UJmij9l3Jn9tLG6gnFExbp9I32ctD3majIJ8TE2uzcK70xzk23TSr4SamoPEHR+kqk9WA56QLb5G
fESM+gkFs3c6Npi1bZCSCyNR25SkVa7a2DZOVF2MFnpMRFjaWYlqzwMUBECBvoC3qhWOI7DSEOYQ
g28LYGCr2K+srRDtZ8U0gXEkyiKCeh7zWT7aiXmTV3N4DMkDW1lm8oylpNy3sHKZOhR7TRG62zNQ
2WalfG4i0gxIhsCkb+JpSQefB87g+S6iltSvKnt0Bp5BK40+caDAm5z5dww4eAK7lO9t3hTS1/Zj
PEB+Et29UfC2Q8XxUcOk7ZdK2SRZaHjslSrEOrX4sMxPrAdDn1iWhYsUbZSPbaS8wKyJVo2gn8CE
sr8VDSHjETjhWxotFA9yZiOeHdJRsuTZiPnRQ9R5QZ7zfaOuu+WQ/d1J2T1HhIvRiM958Fi4wRC1
m5QNJEhwqyEI0u5djAyBFQKj8WPTC5hJheS+tzEIuJmEeFs+Uv4WK3sJB9NaduBsQuiVW/nJzqqP
ieHf1S2BQ2jHCH4PPSA9cJjZWAZrnZncmqIl/FhCx8orAl2HcBe6xWOjt2hTe3pEmsvhxCcKeJVP
LJZNnZCRmjnbus6eSVAQSHuHC1KPcXakzxlujx0CO5ApFj+0HXMCK8zL0OQJJHfFC+g5XKUkIayN
mj0gNa00EH2Nba3iOS+XLXMqqa9Sg4+ahvRZi3DDOdxZbEvPtlEuoILa/jykHd6cyEPtauH3pv/0
XC4S7AI/3YpphhdoMZneGHdWccpOnc35Ix7J7EMPKXFNooL3EQngdk7iR4cM83086Zjq8A3oHRHx
sIqMk5MQwfRyY6gMrloHK12K5hALNc/uNPLY6CQurVrsO6sqlo8e+d8rOzJvTC/zd92UPXo6nu6U
J9xAdLR6eXCbme8dFmrrKuBfRu7AH/TuwBhOCMz19McrkPOEMby4abuGpNSB4hMB60xcITerl0u1
sbBKyryCIRjzBJkGt78F4Yj0sESyS9LMifgHbWOMoVxXHg9t2cnHly/O16WKQaawTWj07ZjrNxfC
7tsvBPYQEd/prNcV6svMjavL0vdrHFHcO3fy081cu+Suc7bGjK+tZEdrOVHDqRwZXCUQ37aqA8af
s4Bp7bJguTZ/h9/Bo0vzaLnBuW7fiKy+LyveK0clz7XDtw7r5PFluSDy8rmDlLLyBlaCIgFMn7QO
xpeMHaRypoSU3o6svJGLyGGAemimnqJKduG7GXsaNqQqQwcLUswr+JSMdOPM1b1NvPvL7uTrPMV6
xBVgQBcehZM8g2gIr0E90m1AakuktLVp2qLa2koErKd/FhmLiYmwPygoulboID+1Le+xpfHvDqy1
WHa5IMreNW72SBb0y3I2cfgEruVcvSxKvc3yAtXjPiEkBCCzcyVKpJE1seWcd4qdNHhVgKk8kq8E
ksYE+5oN3NyX00S87KOONLXNsu04pXv18gvHKX1eXglSLW6WrQD38k1X8cVe7kEl/CvJsBE5a8jk
Yzx5UWIvfkkem8KDASOYCJRGc68nlnGym+Q5raIMaSKPSqPzML6sdB42VgJ3vLtysllRnRnCMcyj
D603dRul8f4mvJmoNGf+lkeYWpa2Iehk7o7SePJAFJ1mIqBJ++U9VNWsji8rMRwNCjFo9cEoPfYM
izJrmr07N6sWjykIYL6Jp7at4v8F1ah46vtqSzoJ5h5MYFelr6eBZ1dsPy0rAs8w//yyr5gpX6pd
iufUsW8M6EBTnE6AjBlvpBMXcnnC1MyfpJt9Qyup2g4zt2oseeiIt67WCKx4TAdWH2/g1pg+BcVy
d9ukucf+bAJRZtXnFFTs6oh/sB44Fbysv9myOpIlVeyK1DBJWinpNySEJC57XOPzAVHMU233vEAu
IbGOw7cWNctNUuF5fCmHsZplm54M4UstzKZPelzTPYI2A/+F4kpX6ePLs1J0+SOWqGdyuu9CPZnY
MBokJQOXetltyKRiY+x4BcKmSy+VS5iHozFZsAZstVZH28sWsl/1VVFvsZdF3NtGXo2Sq8rMlvrc
drd07eJ9VpVseFNXX7FK1hfSiolTGAsTijS0aWXGKughohFFPnqbsiQXI8FLiCh2nEYy521MBdUc
LUTSHlylYcntYACX6TyJYMGNKTWUfC7r8j5sim6rOFk9aX46fzRJZ7nQi5RQhoq8pKKOdpxzJOky
hnGP8BTbST4VVMSmDGIyAQPTnHX4JfXWnjkmMUlfSoNqKA80n91ro4cYMpKSvrZGfBHpYo8FzibX
aUydXM/NlWnE1ta1lHGEz/fYaxkwPFe04JwxTYhxbrfpqM8Xc8PrVBUs9ssxr3QJtooJWoIo2bZb
m4zRva/l9ZW0M0ysRSLXY5l1UCdyfd325AipLLKoUUhljvOUnXfiig2i+Z7MFGzdYFdMogtcuCEG
FARdh86v7zM/x24InXA1AMi4HEwCY1LPBFdkNIC7E8hucNj4xzr+McsAkBLPBREnhtFvGzJps5KI
qCwaQUY18T6vvTAYVRjjeHae0G5ukmh66sGHodJG1RprersuvSFlBNTRBxQkMydpIYGM6iBirVLo
nOGgWwlpkn4DSARQob4ZIiugeL7W8E2h6aNMhB8TYfbdAL55Qvd+iZPgQtIw5yEcPxn6eIQb58HA
ZVTg+9r3yuHhc0fifEk6Epu01x4Y8RBxWBs4JWfrJkoTgZpFP8HeSIMiYsnUk74NANloe6Kl9aBV
OW/tcvKZ0ypZ6TPLkuzls6FKfxuDaaHhykpTFvH0yeysernD83rM2IGswgmfx0QjjtDwss9F3VuE
dsGshRTLdWmB9dHiyNO6eYpm32J5Y8wxO263S0uKYMLK5u2YUjHpnOFSRPKChWtZx6F7nkydfS5i
cUCK0m20ofR3aG/4W8uJHpMPy4HJa+pVFDKFbtyYymtWWSFxfuQ8t+XyiHJg3lnj+OgPPdGOxXAD
PkbbhD4+fK0YWDTZCpbvOXj6jUH3Ydc6BsdCdusVuXKPvRE/pnZ5rxMrSTKuftPOilR7nbC2MW7V
0TBi5C86cQyVG10TWUbolvGNA2S91Qe7uWh10XzqtfRrwp4Wde6uFpN/BFxjrlD/pJcJhJMNmBsP
sHRHdb0spzPW88u0Z8cbvI7Madu7M2X6WJFaToGhrmfiZ6gCichuqGs0wz8B8Xc4N3r4SMQIZ1jl
OMPp0wsAQp3I+K2yca4I0Yyv9caovr7wDgrKZBKI3UNm8YRVGU9Dry0xmiCpL/Ns0W1brve5NIvm
ItLkeJfXZCdBaqXwXJpXMsLUkabxevJY18KWOietY3WlaaYgGctfFumcim8YCCmy2w4vB5wEDjpD
tSsAE9VlU+6zyNiFOpoaw/8v6s5kOW5kS9Ov0i+AawAc47IDMXIWSVGUNjBSEjEP7nCMT98f4pZV
S1SaaNesNrXITKUxkxGB8OGc//xD/lYb6VvCba8U91BXuzeJYI2cb3Q90YSt5Y5c12rCMrmJHQYA
CTUBzTUifix/dgZvGNkwd2aN/3K1WbuWZQIg8j232PaJem4qrp5h7MfbpGVLwa3ly651fWCsHV/M
IJOb0CwnDM50cS/7IYsqk3i6xByiiRSAfUlHT2AXaxL+bX2VDYIyypmDbUKYw1XS8jKlzRqeUrGQ
I+mnP1Q2kYDFaBoEBG5CuGaJ9warKSQI8aUcO36Lqt7MxTRfq3ggB4Fb77z66Td32s+zC5rVN0AI
PlXp3QdTdvBg0dRwVI9dzM2Vt8bPFahynUUe+yQcrl3igDdzsd6BCeuzJ0Ix6qihOBSS9pMKsYJ0
dNhGEGwxcDDTmznjGAOMLHaVb5M86OoLo18yTtyWwNRl2TmSlycbgXoVX1O0Z/ZtqQboGo6P2RjD
3S0iv3DPaueKw22ZiDHn0/nuJSS+YyXFH4zMzo4v7+EFMEb4IshhTHPlLf4KZg754A9JPhcHo6bp
ZHiF1ZXWzxIvGCaqFd5LhlXwKfiW9VIS8GcTvjkW7ZMrv5D09WgGJAGMWIzt1zKj901jR+jTYzEk
d6Y9LQSd+8YRBVq/JcaijtpxuPMqA5uPQFMA6+TzGcg890hMgn9kukrfMEgfGLB7n6xiYUhkaOvK
Jozywmun6moy8KV2h7Uo9emBtOAMUT5OvdiOUXutU59zE9bjv37fBz9yHDMv606GkZOsVWCKw6JH
z7t1kyA+FZY1/ecQORMBiF22DxSIl534/ZHmZZZWCTvlEHe0HIE/xhddDyLh2RRdyLKesvPBC44f
IeVbuySKxg/wnD9Bo9W+38coSKzzp3dojggC6WZ20R9yn7jKzl7SY6eok1JPwnsycgUFazAjIlzF
B3DV6mz0Hq+ifV8DvgQHBljS75+enW31WRH2h0BOmOpxqG9xlLHus9Grtg7xFt961Et4ui8I49z8
rhmq4SFs7QPOGdbz3x/DCrf+sbhNmBuCCC6W9zscuLd7s02bsTg46yGwAgaOZkvDCtA75TqYgnK6
/v0l14/37iXBR/G9ZjxhWv8WL//CrRG1Nmk3SeHE1CfYlXIOdjLhT1bZPE6dwj0uNUYsClWJfHmo
jn9/9X8AC5kT8Abgr55HWb8//IqHKjAw0gcZUIwVADoR9iLdByv8Hx4rKDOjdjcA9/xjTMVtaqNk
X8kYVuZE/YIMReXTN2Pubrqw/DrrMvvgFa1/+mBwoFm4zLRB99dV98tjlTXcsAnKwyHJ8u4SLVu4
z7SjThwJQDlj8JhyfZLdC3q2JtxUUzkfhgnjuinBAK4csh/Lf0gJWhHTdY7IuH0VyvyxuKBhqiw0
W/ZYkX9rWnf++e/it8ip8cpJfhBbdab9/L6yyAvz4ZXhSAD9wn8HBPc2jrZxXXSHIPNvFFFa29pw
6x3W2Bnjei5ga/BenDL/3JpYN5r+Z5Ux6h6y8RpnrR86GAl3drPlA9Lbe94hj8F1kRW7LHW2Nh5l
v38zuM22c4Klz6EKB3CakuLZkxw1vYnytbftU9/IK9zpuy9Cr07PDV+RkeLVlBnNs6UmgCnqOIRF
tr3JmnqmyBA3I7mK2Pnl373u6Gq0wItDCaJ9OMPiE/rytz7BUKRK+hzXsWSX+iA1/pIgP62ZLa1T
xwKHqo1tlnm0RoWg2l17axP7kjKuETzERsWjAcpax3bniy1fTHX6+26015P+969snSTj8iY8GOXe
+3luaA0TfEazPeCjPiFClEnk6wQp21iBi/kkaWKdmgEdkD6ih8E8f0yg1cgpJdkXwZqDFHPTLbkq
LlqzJ5POZEo0rHUzQcPLvquS5RpIAm5TABIK/f6j8+x9OhLfr4+gC8oPuUQMpc13txlYBue8otik
KO02OYbRuDKJcVP76rm3UbGkXnUFHUWRgYWzsVFmUEHwf/j7o/xz5grFKmR52UzuMVl+t8qQGop2
gIhOzAT+uiMPxmYlZPXgffBC9p8nzapqCEI0joiLyKf8fT0zBYmlTbLuIa5BBXPqHmsulr30df1W
Lh0Ihw8qla3ospz6ZkOEN2+mD+cIHSiJsW36ChXvNRuZN/kV/V5BC8jzLXbN2jPWNO/g21dKMJsX
BI8f8RH+UJ+1Po53C48BXoBDNXIQaITv5pCkMmNIuaTtIe0qa2uXTkbS6dTibUrVibWB3Imx/7H2
S3MB/NTL9G2ugg9OrHc8xnXlQItgngjN3fnzmijtvvNby2oPptP8JF1KRjwGXqxUBF/MH72a/Y78
dX45pKmhifEiyt/3gRuiseATe3bL/BI6UtE283YdSy6dTeaHlbgAuBTUKNy5IvDWuq2W5rmZmuIa
t3dQATN5bQNrvib0ejkONN6bwinozCs6e5KEhutcjB/ITP68R/2V5Mmg2Pc40d8TCZQ7+VVHMM6B
KGmEYF0LvQkrQZwy6J+Ass0t4dsfDC3/oeDn1VbdAd6CHNvvd1JJ6TA20m4OcQ6wKRvh0IhP+Hs0
zoQzhgZPTbBZtIr+1AFPXZKJ+emMGYK3GztccM1tVgMhxAyKtppUJoBQYV0ArVh7STXb4vdOdUnb
LVz9TDQAaPqKidSYryPJD4O99tfTLHPBa9fxi2P32aeCjiqqGpEecdPF2hv9VIS073Mp7QUvSoZ6
reUFm4Whwz7112Ke7OmDu04o0TsRKQFOcp5tNKVjIm4Lv6+dsJdpXm4ymVDE34QxTVHbduN+WViG
fz+f/vHY8AQKPx6ugyzmXanZBhBTlcOxkcw6vUNBDChA+7K3XYfsC3BM7kCa3Cy0X4HNQbNdvuh6
lMF2JPBiV3tqvPBnMKLzWV/ZI6PROUM24HStu9Xa/noebTqthWks09qLinH3TZrzJfz9k/xZwAac
rxSvME5MG4+v388/lTiMYPGFO+DYN+MljWi+8tct4aTDJenXVRQGS/XVweRqK/yh+ODOfJ8dwzYO
bPi0As4LXCMCyH5//RD32nCc6uZglkzRGltNd1YB3h+UIOFChs4TsUnE4Ii0OPWYjuBlwQ05GeDY
2font6jltjf9apssLFPuLiZKPgMgnMC/mVZ/QdbuM0HwWXSePwBtWAY4HwnPuxRJ27PbrtMAF5A9
B5Q8mNWK8U0rnIuv3iclR+fJLN1ta4ZXarCzjestLnFInCpVEr7xF0OP0jB/Ol1eHuoAgk3hM278
+5f0D5UFVFc02mu0ELeyt95iv9TDA7O6OieT5CAZUpwHBJWzjoQJoIjajG246JKUgGI5TWTZbMh3
BffJnhgeEJu9jmEWs4c4pfDg57b+VK7nm/QecTbNmIu3X2sm+tsEG2fUANV8+Pu7//Pcg6VKRcG+
N2lT37eIvTawaAR4ORiBc7Bi5ovrUVHMwJFnNKqMqw9OvT+KZxSPnAOCpgyaAxf7u1WFmUlM6Aqd
INB2u5lbvWqCuY7Ps5ju/PX2DIUGzheYHJBG+nUMOOg1mAux805JVexcyCyr6+xHh8f7i/L85uDr
Cvbbyhpaf/7Ll+nNQZ4bmEEeslTiYq14D4R2MAXgeyrXp/L3x/8PL7ducZhKwqKZ+OPaKVoX45mm
OIzuumoJu5wNCiqnY+3QO35UQQbvq2CfM44TBUYnRDY4ye/WaqoGpo0qSw9pmrpXIda9nIXK305O
uGfUhDvjWFCRZDWGn/isucfMHeOjZRk1gaWO/2V0qvAuRyOKPeUt/nvTTnra2zgjmU0je3QLutJd
lkFLIAAJG8hL6gwrcRKP4qFiurnoet9l/PJsUN46u/6UAYef8r629k3eya3R2GhXCDg70sM4aWSQ
ab11EhcatEiH0xSPexBJuVOJdKC9J+ICLofBRKW47WDER7Rt4oCZEs/QUhnuN0aOGXGR3Nb0yfsF
O6k17SDY9ik/SG3j1VrZdtYo+08zhdq+KuN866d0avFqAVVQ0YEIKmD1jDn1ti4qcQFB1YUHVoT5
1qtkva9bJ7voczWMMC3qApQsFpggygBDNt6D0cZYMxoPrXZukzSzSb7pu8sAnTnwz2J9w2hBHDRc
/g82mnhfqOOYQRGGVxp9ITS81d7617UcJlKFRsktD4MiWPOjmF6XsEbqzmSyTS2V25V520pZI50Z
HdxBZ+y72vULbApnGyjtMb9A/YEnm0+gRJl+L+2cJCeoh0joRg9IaXB2s4HBD7JKBuG1qvcMEQij
XZ92IBbjcW5G5ypcf33e6Fud2o+uD9tknDyYJG6Pl76qcMPJu+ADwOl98wDtjw3FDqaO4aAx3y11
Tk7LFbII9qlaDiqdN0BEH+ze94fn+SV8GIZraiwS5XcPmC7MBQhIAggDebttSFyIBoVot2gXyCAa
5vtsGB91Re+LAl6UsxNVGwj7emy8O6ESIyCKIiW+TDa+3DH8UlG7mJKxW0EOrGCkZwi3OzXkz0WO
LroPYC3rfW3vI7yiQEZpDrIqQFx+X1WzrEp0NY2/R/NtMJfPO75tQVpUvr5g7IanliC1A6fdI7BD
cSgdb/j891PzzID7tac6vwcgcvwjA0i/K0H815XNtlG+rQxvT2IgCtNZdsfKEYpG3OyWjRqyEMmN
2b3g1Brf8CCdm2aCdVprO3gwCn/ZpoOPpcro5Psek6pns7N5lLKjukvbfYV10/1IRgCWdT4fR6f+
lZSOt0aUySfCTBK8d2syM8ZQ32F22mIEZZQfFF/u2tz+9hkpYB3P84TAkQoDgXfF34x6xJFcofue
XXU1CqQxZptYUTg0w8X5Q4Q4Gd2ZY+JfdSk/YPAYR+FiLltSi/JooQTbCrCISKRxcgxJsSMDLsf/
FD4XNmb2G3lz3dEY8JPpAwwDs0R8IrNC7FqVDRfLQhxnKT0FA2AhC3byB6bamIO5SFJWeeUOm+cF
hk+zzthrY1+1CNDV6gyIcd++ULK7mfg/9603QLFIk/vZIPrAi8fybl7ap0XlgkOov3DHnjdLlucm
kelwTSqGfjaa+sffl8z75NsAtakFCA+n0gcKRsz3+5JpwzDOFvqmfVIosJPeUBE5JFdZMj6g+Y+x
+3LQa2skfZk3x5EN4hXlbhscCzzANkYGelUwX0a2wzbL6yG9xCfQfJFz7jNeDpdLfot3NRB/wkTY
qY8ASf2Gh+4dCnP4vuRteEmXZ0amhrLnItPdSxsj6UrZKjK85qkndW8/TMZjBSC9LRb1UWXzXmrK
E7DoudmxiAbZwGfF9i+lTU7aMqLYkmjzgcubxFnxzZ5IVeXSYgl0ODKTaxLogx4x2BdGhUngIlPM
unWAqWjWbvM0XgONmupzlqz0joxtV2CHhzu8mxt7e2xZmF5ibBXkuK2pWCPYJ+SRlQV51JuBtZtx
oJjmlKQM23kYB/HsGBaxkqH/EKfZD3odbNWZT11W2vCPCaSN66TOgjtNPblLSxK1wqGkHa/Tdlth
/HzwwAYODiO/PYNJFvrASxJoIHZ/Xzx/VGlrL2nhXRyuZ98fReE8ZSkzStYO3kFvqA2Cu3WvKFJc
I0RNwwcwrv/HzUVSqStgqIHk2vigviuQqx6syuw1Jyx0qi1a8PAZYll62S61FRHbNe1J8slvUk+n
lzZxuBumy5LRFQ99GiQVfDDGEdPEL0MYX42Jdx0vbre3YPlMHkLRvNnKmX095FBe+W+jlppwa4Ss
S5Vzfdgju5my/a3p5PLJbiDzWXIZflpN0x17wR5oaQqv8s4kRiwRyT6FEv95HEp1z8A/3lp2Onxq
iauKHBueRuFYQFzeIneJQWsDmSs8MZH9pNHHHMNi5uRYCHmuvNq/UqgrrkeTY7lri2LfrW+HiWm5
FuLDZ3dmbXUD14xBeF0Vubaf7xuSpl8kMTQ3ttmYpBzV5jcRE8EJiZlxdpo2xj5UFbAz4sC95EFu
Ut/ydilYEBUoG2L5oCr4h9XCIgGLWfno6y35+0nTeV5ZVAms2EBBysldnp/C5zZaGqfZ+i4b4j9d
nUwVYaRTYtGou++7dK+oYQYvjbsvq4oCpGU3QJsjpyPPgmO6uPKD3WD9WVjStp19yWh4GeaF70qQ
AHqbtJPE2cNjErtshhlqWeR8ZhWDqHox08spdLJd0nlYefTqqDqOCw+j011DfEPkj4SXOaMfRxOd
M+6rXFTmwFeNalhBSrD0oZV8lMxr1H3VcVy79Xq5u7Hi5snKO7duXub1GElqN15TePntVvkCf1Hu
cg9WaN5khAqDTT7iKNadFi+4Loe02DNleJOY5m2X0X0jpxWTFN67YeppPwfxcgmuZe+sfgJYadQj
HsOcVAYn//lqbQtKLRUk6TOMMrELKwj3hOoKOCLsppCk1kPKErxs0tK8HLWjiZBdb9OqgAzeUpeQ
pMFVW/XLBi0k/sQ254eq+vm1XjjfioF1vkiWeKFUd4RZzN1TcOx2RSufsqzAeLbmziwVb6j1fXxp
au760CCJcpkxK/z3T0vWO7ZfJC37Bt18AzMENSfG9xPUgs283rp5ancnJ0Omqah5YIeN1AN6WniI
U3dKtRlcW5IBfo8B/ynUSXAkurO/rlP+EzOhgqjjEJPEBvI3nG99UBil3GQWLKJaxw33Ah/TcK38
ZjCWhbQ2q9v1ZCBhRhKHJ7siIzksiZcvF++zN/vfK/i6UVE69ondOVyhqRE7TjBWsTsHh0GWlCwZ
ZfR5u4cejw+mKa9gcAu0IZVOSgBFlIZC07TzdZx31/+0ovN/k3m7hWOV5f3dFuv/qr5++Z6+lP/n
Tr38+Nmlvyo5//8v+C8pp/8vzBFs4H6BVSRuLxRX/yXltP6FDgjFrWtxg9Io/beS0w7/xX2KLhrQ
He0n453/VnLa3r+Y5AarPRtEGIbn9n+i5KSxeFdJQ4GAX45iFCFY4AJ+/H4gk1rXzhmX0kllWZIf
+6Urbv3O7fVWxL2eN9PUl/mxIv2j3/itSvUmC0hE3jZ+ap/AxfIdQnx1WtLa9a4tE4XMZpgy/g6n
JPuKIQSO1UmAgmZnVCq5WBoPoYurbHMHnieSm8Z1qwwjybn96pVmWm8bK8Poids8oY/GPTvYoe/0
n7qRI9XSPqY4QTvszHm0obkFzmu7zAUOIbQgzGsJQyy3tZ0ERAGO4fgptPo8O04NGEVkT+ZsH+WE
3F5BC4N5PCC0uBO2xJ/XaVukH7NrJdc1KulP1HlE0BRy8J2NlY+tS76cxMVdIC9/SzOzWaBLBOx0
xzGc+zqNHfRocZU8S/RbcEqCeP4uPEPftTmOLjAu6z4K8havaaGc4SXNu+nkBm4FrtV62Vd4H91R
xQ4X99iYJnMCTxHHYnsnyyLhF/8yx9tAXrW9jUCs8Kg9e35mfBQQt7zYsWaC3GRHEgJoF8SiClCn
Oa/cXdv54tqurPF6nBbjUlQllMTFyZYbkVW99WBzR2Fs7Mwy2WPFKsIvg67laZaY8+/KEIOPaKkT
Wx7myTIIOS8TLBJOsutc8zZYn0uBiYXAfydHBxE8dshD1nqE6W6MPPOZ2SdaynlYH1Z66nVKOAxx
pTt+jXMpQoc8xSKo5lsLEVESVXheWbeJHzB5JpyWuMgxl1srrvE8783pXmfmG8nb864uoFGNnHOk
BoAOgyHZGyUtG61Ohz3VHC83XM3phqAZF+mDo/dZYc2wByGoY/bojXBww95/AFg9ja1hoWw0Ysyx
S1JlnDx+oLRKbkQ5fLFJ2kC4wBSU9QGhz/1hVdWJ6HWSVZL6YBDwtM527GjlMO8EAN51Yov6wmPZ
3FeiNU7eNBSEkJC9ghlKcEBstEqh24veg2yQGE6EaUexWeLgmgYFA1MH0816qLAgSslSsE0n/eEM
XXkInLr6kmm3vhlE4R77YRVRhQ1+imHab1ziW26LoPV3ouybe185zQ1zVObzhbvsFiZsK6HMjD8n
5fRQaDzoZ10kp7nHJ0L6vrpovRSKQYhLhz8JY+M0OartXDxIUoYomBLEuIkd7724xIS6HosNfCpr
M8RACZburyXzYcKCU5CWHNebxzJt74ZWwWwxF/L/0JdQPaf6Nk7Ljipl1tQqMLrcilhg1+YaU8Sz
DPd0Gvjn+cZDXbc/+z67K+BXkFOFPKXUWkd13vm3WrPLkoCEXfJ1yDKlTHoGzW05jARWX6z/GWNJ
t4p/lBbm52Qr3nHTmj9VnrHSmzXg1O8BNT2NaA6velVMb36tL3sGqJEcDb75lgBIoyoWA2JwsllK
wuqT2EXJLYhrEBnNB6Z73VWeGmSzdlUZ0ehP0ej7cHFnd3k2eN97fKoW+jJHHoTIx+uAmEszCozx
AX7xg6fj/KJ0Kx9NRjnQHSp/FzgTmaNiqj+pLut2ll8mG0bByw28pd7B8n1yj+R7EfkJUNtvvRxX
xshx6oRIU2kMeHbZ81OW62Yzi3i8CUNCm7zCL3Zh6rrftVRvrRRia/YEw0xeLPapNYY7mvoswm+/
unNxi0dx19kXE8zQ16at671J78qHJy3hztFmAjkXK25WAiehhsqzc2cZfBmJsPlB0BNU5A+K9/MQ
71ecBx4HM0racmbAa9vwDqdsGiVTsqjSU2B3hPNi7ld5W501822HxuTz2GiHM65BWTAK3HQ2Na6j
j7U0ZtCT0vrRJ5i6XoGyWtau0C4cBhuPZMRRfPuQ9y2uqdEcMTVP/ZgGmgFvhcc9viQnt6+C8XZC
v491ebGMT50nivsZFZIogXe9wb1ssyW4Xpa+uEuDlCNKtnEH1V4IYgFs3b3Ci14Ls9T7UhAWBEO2
mKH0+eiVN3ifBug+fGQKYVx0p3H05wPpy/XlkhjTvkyRnyximI5M3sMLrEvGTWBT2xHRDVoexvoJ
r9p26+H7jgQeIJ1SFhtkTR3CENrNIXVzb+mgAYmHyhh5Iw7Ux8AjAAw6kUU7eoDEivHthPTuqEwy
wq58h/wtQgqTDRM34ycMr/mi62znVCaNXCLlmMZ9UXikczXava3mTtx1Ik0eUHzvFhxi9lmGV7hV
L6tENrea2yqsXLLCjOAWiqz7pTZasR1EQFBwKRmO67rDeoiBaWviaiiwX0ndoI46FKL5fDmE+qXR
1qFPUSjYYPI3bf46DHTRBomIjUV/4wJ0EqCYd/epWaAba3hw1BtR3ZvwqkDWSfMz++yFch0ON4Ed
m94fLrRR39tjn92kxFRD/hbe3ZClRx9w9sS1UoBBeeWT8rFZ3BBmIE+L39N7zG037NoEUQxSgvo5
nxEnmXb7Oo0pycDKQa+0IMG1WJu30pfWQ5a4332oCvdNys6DxdLfdNrtkr0RpB3ByDRsyynoLYd0
nCEJ6x/l7LTP4MFgZEHhh5gUO4N70y7tYHMou+70JVwmC3M2EtJeZng6X3VMl/VAjJ9d8/58OUce
Y42vlkjSm6DV4oYoe+91zEmQBi1impAQ0PFKq9dBc/eGMaot7R5IlCIdPPURbFa59yCEob8L2Beb
wg6rB5vs4XTnM6A9uKTHRKXs3WtSetR13/ThwKy2Tr65VZDcm452rsuc84bgNO75fky2nkOYjOcZ
waME6SDlXuC1hMoKR89kSqzjaMryIsPqE/kcqhpz05VGcT/Wchwjxlwks5mqyEwaoJUbR8Lz2O04
7FoMi4h72yacWDAn1dLLiLlpclPpJORx2jnXPvlzOybI8n5u8urLiif/7BuvP1J6aYz/BCZcopWk
jaGXqdgIfX1sZwKuLqYAsd1uZGb/5LloNoq5EDeNUw33SR6Gz1ieWY9Z5YCXqDi5X4yCkkeYqn7g
bRSP5E/y7cqMq2lxSvPCC8bhMpWOi0A86PyrtCiHOlKhdHeYYnQ7W9lfZ5RSFwAvqCfMuci/ljrz
n+d4fBva3jAjyxqGo2XWe3vOuLpGN3cPRTFP3+BmqZRYHWhROHUH1Qva1uHBakvnOZ58XGdtQhLb
TdLZQbYhUBlyRFCJb0uBjphLyfhKNFJ+n1lx+NJ2cnq0nBW6AnQvgPDtjrqktjC2z82BQEqzJFPT
aop+n4nF+957DrHIRq/Br8DLp53bFz33agNoHDmTnr+ZgTJuYNihBazjXIQbPAeLS8PJ5bXT++PW
JBXnh1kpdAem7oIvdOxKQ9yzDXFJUmlCp2GbybPdjzPhIO2UrZmtismo5rL4Cn5UPbhjUJzGGOmZ
Q6RahA7HAQRz4hpjipBKbDMOYXfBoYfRiznj17RtYlnNpF6O9jftt3NxnJwxfZ3zhqa5isvhus0X
vZF2jIimLPxuuQyosU2rLRKiZTle9rBO/B9JCtc/zrz+Is1tVRyYSy1PyMbsdmdpAkncZDI+1xhY
3WmvDl6bydIPKPoAGdclSfNU4B2lwoRNiKMk4GMgWSMRCZZrxmKLNzhaZfqfqSJ8XesEt0tg6+QO
6cDyqM3MuCXoksPeN1Moc9NSGm+6d2rkZBXx2qhvTfdmCTNAPIaaw7VE6PZ1SYUgIBDNOUYHtvxJ
LEtxsiT+YFHDoPm5nkCusST0E/xWHOfNzlZ7RcA6uat0htBeZv60i0kkIZk7L+STBdtxxDRzqnYQ
Sci/4xIdd2ERzCnVQTcx60sXfdmpPLwFrAzveT71zagtqk6vU18rOVq7IBY1cRcULy05QZL4bd1o
nMkC3Sss2TJ3ZyXjdFKOMR5ExQmwzV3gk4jwXdZj3k7NLaLv7LbP7OQoDdEFm9FJxFHVBAJEGJsO
DHbzQttRmjngQrXS4ROiMXLA3Mb/bOFJ/kofI5oNHrWOs5H1TCR6FWfqRs3TDNCm0WDNany2TfNh
MLR8rAasf3c93J9bnB3M5g5r4PQ4LLb7gvTX50dzqW+yxJ5O0iWZEep399xL0b1NiRlUW5Jbg4fG
RLW1OHnyNI8lN1Ex+OmJWJMUFq0fpJcJ4rRiTyFsXCcNvOZ93xr1KQVhYmQgyKUfPPtiroVWFwU+
FDme9iRBkPEZjDckcKlbP0DWUJLGhmdBNW1QAnQn3xuCr9jqTA+KcmvaWsiPT7RKXrK3JlGe4OBX
aq/lXG2XntWJ9nFu/FtpMX/ZIiMwoyUY5oMpR/Ey4Md8wpGguTHxLNuMoT8jM1LOSOSU01KBpYCT
ySaUxnRnKALMstIdv/si0T+StjSgbOVBpRAeDmvFyjnxQjs7IF6qNebarkckbG3YABDu6FMW5fNT
MualteERhzjbhW1OL43THcksQ0H5K9nYc5QMi9iSCitP+dLrR8ctcwtPCDIPYTsJIspwgJ43UEDk
dWA404Eh3qof76fntsGZ9rYyKo81rNZzs83MWeDGynkkNSOrO5JMqAIGOuHsMElnpr7wmwXfC6oi
iDB2s4O9PbKYy3DZtFIn3xe1iMsuILp4h8xkQWRYJQXWdEweL+FdSXMjRgKYLsZyMJITpjeKnF6n
mb+1IWWb2efV50mG8qdbjMHJNML6i+sW6VNYD/28GWxzPIymYZ0aC0DVI+f5NNdpEC2oLt8Ka5zp
iKFNIn6tajJQZRcMGMzFHVRD1zhwJcktMwb6OJNmrLJ92vwEMAWCmE/MLVz5VdfXuo9LaMH8s2ki
k9C78OE17OeSQRKWIMvDMM3mTQk6s7WNotmEcTeRRTflzX3nhfH3ZsEONXOVfCjNaebO7rp+3zfa
oF/UIrtfAKUYlKflFyc0hhuCfqfHpvVr+GALMiietXmb+TDswrqNr7vSdC8GNvzjrCn9lVHOx8Sf
cJjKMGxsAr++dW3lPrLsqYRz58IC1T5NVqyfEz04l5VnLZf+YsEgdUV/gp2PD4MW9cEu5Kbz3Qdq
cvUJ2ra8xGgB/k8vmmPhZd5Xk2/uNRYEidIDufshcxQR0lZx1fZ1dtf5cwRM5WzgMVfJZrTBGbrY
Tt4CJ/0cQ/o7Om67q1QpYNmFOKHSZ+4Iz1VXeBF8DQf8SWTRjYcwDdWOkRGqfQ++EbD5l5ADC3i5
HU+k1H7H6j5e0QrM1lTebuC8Uw/Y/YWdxtmRnJ7yMg5ywsnqNIsSayq/wQaurxeHEN1Q0CJwO3RH
CCz6yAyX9CZNmBafp9v7mSO28BDDhsvz723cH6wIkxh52PAQTSwHwzzv3bTe4PitRw6Skz1kNmXn
WqURBJzctGPtjJHLEpojmAjWpiWua1/MvX/CWC7+UPH2x6AbnrkHvWvFVvmHeG92rfoYQanlT6dZ
eYd86PQr0PiIN9DghN1tENSWd1eYyOV3GKGM98Pc0P/hOKEZzw7s79QZnjDldMHJZmygsZ0Owc9E
6lbyxXNhBG+dznC/SFS4dwzVefKeKJ8DSXSUOANyBD1br3491XVk0zV+Af4gyEtr8WAPo/FdpTGF
dx8kn31T9GuYZpI960ysYrjBuSYNGFAAw4UvgUpYKFk6fSKpD5NokNhwNy8mZuwpbtpibgSFhEhu
R2S3kYaudO/71XwJt1hc92XCdVi75V5M5bMtGvOTtpMLf7SCyF5BS3+FL9szkokyhBPSgO+d7oBc
3fv2DHsmZwgUspf51p6BUduR/g+s4oK7yS3U/ZIs1heIhFiaSoxogL/Wgn3Sbo+/WBJkRF6V02d8
elin5bm6t86Vfniu+jHipwPAmXr+7taKs5MJ2G1+7hMs3YhjjDRgo9FK2lDJ1nYCNMl7gcJApHER
Bicjtj8zIOlP7aQSWPEgocUyuxsjD5uVr0DPAheB9iVYO5lq7WkQ2fOva59DXotOd8HC/Zw3M94d
1khHtPZGwdolpaTxbFVLZrAtFRjliohGnCbGa3lusqa13yL3ynsN1x7MXrux2QDelrhUzBFYDu1a
G6b28uC5XfHVtcv2hRA0jMpr/IgmonAkD8ltSvdGL/SXh5FMQdiCoWyfVdx69Q8j9UjYTt0+edMC
2dLd3/er/YeWBrgFx0LkgTbzCQuj+t+HAn3t5QOeFf0po9a6bo0pwbwmk9tOieJUV2ZwkoH6f+yd
127kSNqmr4gNegMs9oBMq7SSMmXqhFCVqug9g2Tw6vehpmena3b+2X8OF1ig0UAZlSSKEfHFa4sx
CEUVrqe2urh5FR7jqcKzqtgjDtg+akDTZiVagQCUNR312fjEracqVyY46RuUdT3Qt2w0z+ZIzEOt
U4kXyWTElTtdEBpeRrzSRAmM2nDUMNT1EApT+APdp7EhWNLe23GTPZK0NgHp2xR52tozJQ5IGcMr
EXWYs8MIQYYRbjQ1emaNG2dcwicuZtizFVMd2PFUiqLA6wRHduPauzhpLDI3bAZUzg51N9ROfrXt
VL3i2UDLV5lWdEN6Vm4jYnfWtJ4pkU9n4gj2RibWmc2lubptRyALk0y/ssCWKWoiInJYW1OePcyN
WjSB0Eh04AJel5+O6JBtZK5gkLT6q+4N1EBGY7iqjHRYtEU5CcYTvmuq0MP3GFbhfbIo1QloaidH
vM/iLenJSsapazpwFmm/SR0Z7UrXYsmZ9mjz/bWYGmSRDp9F6FErm9NvuuUmXNLI0HlyEXoiMvQd
MXg7W23Dx3Dw4u8FuT/oLqNkHYal8jSBjIAUJPSZJdbwkKcoI3Q10c5AizNvJUNnnnrTAZGs8s0j
C27NP9fDD7vlU5akrg7OWzd3VYasAGym/kDJKdVh9RBvbCE40mZr2EicZu+DriU38tz1lyZF/Ij/
Vo2DamjYmqYxfZy7fimNNI2DxS4VmI7Tr+kqrXGDEGDixFp6L9UOQ0wW0yDuYy81HxJDNXMuMXZ4
xCKlbm0nVlnXXmoc66J69ryReJscgML+OokQd5mPttJGp3Ge8gJ4RxWhn2KZda9lFhIWWC8kkvbF
J2n9JOYg/OKZ1IVyakF1ZzjthYkKuxxWijb0lIClUv+ufbFWHvyV/sVkdUhdNhDQzkv+xXSVVBpS
95uMS4QDu3e5Yner3yPQvWRnIFuKzhiTNXW9nGOfphinltu37jYMArBt6UJo+3U78X9uBoZ9IrWu
3bc5yXfjaGl7VFU9c3VjcrkWFMMLn2yqLN2lrt3BfwNgWKs20aqDIQzmieYL050WeJdCxLfGrZH2
9tGNoLA3et5YIHoKM+QkD004o+AfPGdTa5VYvmpiXmBKD1MMRdQplbWrM9l9/PuNCoL0NxUgjmkG
CzYpk0RchGsLt/kX0ZYKMp8BiTp7LyI8wrs0WXush8evT/Ifcdz/JYH9W/PTrSr4738s//KPCn9f
AgrwP3//Zfe3X0c/qyUo+LdfrGlW7+Wj+NnKp5+dyPnQvxVJLn/zv/uHf0YP32RN9PDHZ5GUq4T0
s+RH/88UNdJnlCn/dfXTKZmr9qP41x/2v0OKTRzOuH3Rfjn8cP6RULyoq1l6eBN1hCT/4LXNP6gP
x+6nqohkKCrgYPmz9knX/iAP3UYsjFSHj6UT7u8P4Po3RoBn97cH8uevf4v/XWjrvxIHFmmqKENx
b0BpW9xMf381Jq2bSZcqhl05mBVDQVlvR6sptm2qnQ0kN/skHFgvGhfjSPzUQzs8RRZI1V8e2b/4
MrwvM98/fx1w+NhrMUSbQGe/fx2GFymVVoXDjhWR73pH25hGRjxyYAvkVwcY0Ma+hkR1iWRJywMg
9vUoPKXMIH7TGjfREKmn72bOheRsqOXBSLFHJm5vcX3Ck2U7h5oKJoAuwu+s/lEKiVOFclaLoCC4
nvtIYaAkVncKy3VadNcpmy5jRqSFARqFSDjsAEeL6KKkdUGSc3YTiUH0uhF9kKBfrVTQb1qShqkm
D64F/OcTrYSLGJ5t6q3r6pshEbSGkhxL40or4hJtmsU+D7aDCXmLbcjCqJrVDQSiX032cSgLbWPF
USB1ctGrjd0YJDq+KtkMvpo+kxL8QGrkTjechxK+GHsClGDzPE3WOzm1ji+n7IwGW/hmNFjBZFbu
zrCSV7xm59adH+zJ+lnFyc5Vv1FbfAe5htNyTq3VPtmhtqW7cg3qsRp1vfF1hy+DcJVAimy9BBFW
+fCZNIaNDMLQ8DPYv3RvDvedpYPNzEbBjoj0YXLmAzPCSXGxXJG4kvujpjPf289FHu1b9amjHgzP
AcUf5vjcTNEVbRq4IWjVzfAyIovkmgCf3h4fmtS4F4Rg+Kpigok9N+X0ayjc/dSp7zOJGBL7lh+P
9Rs1exu6JQ56Y1go6oEQwmrdO96d18vPLHJKuSOgiy+YsYe1VIdzpIRvYT0fBtt4QqmNKtsRd81A
GaV9VkVx7tThIIYJWF1Eq2qCp4UNQHWsl0EWMndMPXfHPtBNhMwq1wSHV7OJ7TsUmeoT4PxZgX8T
p12sqo4qCZ1AlSLtf6g9lRKhShMosAbg5xpYmxsehTKFdjOLV6dt50uKw+l1mItDl5mP4TQMW1cu
uBHd53tTt+n0yg4EZK7sptz1cfZmi/BnplQnOV9q696ZBV7LRkmIR1UfOUkZOsd5X0fpq6mVI+Q4
5UFpfJ1D5zhMzYqMk81gGRdTPrZufcJxGnRtzDlryurIvW8nhBathA1YO4X5Okp7zlq0zj0wCR5S
K9u58XWItGNZMQx4+66kgZn4aZ/t4JosWa8kfL/WxCfPmf09nJN1OpawhIrWnhpPa1k5WY5gz1hL
uto7lyTX3N002RXKPxhr7ZG6+pVWmZtcnV8ACHcDva1tH48+BtBXensDU8m3vBrOSiXWZm9UwoTF
U0UQDva5EtpDrDsMvvM9GXRr1QjnHeTXCTLAU0x/BLYyZBTTxdG7LWFFQTm7zmEoxzWa8h/2YF61
ECzNjPSLpwpaqKD3Ei/a42/8VmbNPhHWZ5Vp+xTBKy4iQvD0qthkeUmDjjouXUkITR1MfcSsPXEk
UiIUqpeIvJt1qV1bew7UTuXJQ8pFqrJ36+TEuTWuoKCR17bDxpQQmIptXS2mzyJPUSeU9Q2Z0XZA
VxMkVkwRaVd/ryj0MKX9UoDd2vzGSk+zTY7Emg6LCmVhe3fm9hKW/buQRQ1XLmK0gO7LPMpnZ4SO
mjwy/vpDFYX+ULQ38LTLbDTvfW5903sdVCo8qlK8NzJ7zaRTbPua74NsCqlU63aA5nQS/UmaypPn
8ngKBJUATg8A70kgSE30G1LfENC26c5xx/0IVa7rxnZu619GVmxLkX64Eb5F+AyQ1lg/NZDOftnU
U6A17k/U+S+ThVAQeGYNq7qhlAFm2iRVFiFL5ndauXNn70MXBE41ncf716vb3Ea2oKfKXefGvwTK
rllh515qr41XYuHFBmMWogzUovtIM4eFgQIl7sd39M9XsgJvyuge1aE/z7o6+B3Xh21HrKJeRfs5
Mn8iuYSubomgBEk70ldDDEB4Yi7cIDKidI6KJXSTKIgVxXSDuMW+3k7h2gCIYOnte/QXa0iZa1sj
uJJxlJG+oJxM1SoJFEs+0WNsuzl/Ik2WkFIleuxysaUslaY/lyeZrVvbOQnP2Fez+TB2KIfaBzvu
g4zws12FNIEbxYNtvQsju4dFRztGuwU+8lHRBk3FJqRW4aaPw23d2qu6+hZ35bnwnNeh1fZT7q36
3DyMXb8bhxqotFxpaOhhHu29mkzIv9Lez5znJhxXpDXuZHJuqv5VgtaPY74j8ZJ8X+2NUe6ijwNq
fy/yHW+b9CHxkF24m5V4EZ23NzvsP9qMO0RsTtmD3b66XruyctBVApBLT9+NuaC4/jiBXaMQSoiq
ax+V2TjJiZ2rnmzfS1nyiuVcrSn+WctDNDjrylEv8fSrGOYzFjf0JmjdVeMXKlMoOZGuRK4dmN+I
P0t+JXr5GUfmxbD7s2G3uySLbkjo1qqII99qvTc3JchR/OpRmzaSrZM7Zme1Z6uZWITVG0vkpZHW
g5N/G1zS7YbyW4RHsMvSo1DFxUHtahCYstXD+IT/5ZW4WVQs1O8Rqi+Iv5V1cWms4lsRKflKKuZ3
z2nOg9B31SRP3DILStqMIPW0XWF0+AbEh5jFGzGg6xzVBhY9kPTye2HIQ6wQABj65aRjrKgsiovq
U0dyUJFrXZBC/iTPevFgsCnEeCPZlgWGpr7A7SXW/VRsR+M0p+5+1POL6iU/B3dAMxUlcAScnxUo
+oTIha7dOFNPpGPCPHrNMTKzx7a0ica0n0QBBoRCLSn69/hU5ke9u6fEAxiNsqm7FJ1Ct0M0XPnG
gI85cUCdZn1dUiE5plfcVaVwtvk07iAlPwnnOMQJJGTDA2z1o1noXEKnfO9BMEUdJUATNkrHfmmn
9rvXiHDdmyaFk0NMrJmClCrr52BaSAIKBh5HcPrAjjui3VSVwaaCpqgGIyDS9yFL8wASjBgQ07rW
sf0OofJDD8UrTQdbApEK3zHblzard9WYvqROuyalM7D1YRtNDDPzbYA0F2y8BGMHhlU8NTXxNGG3
lZq1dgbKTaPTMFpEhMfTEeSTGoYq8MZfeVwExCb0DSmIuGPDPrmkMLKJXNm5E0xP0xxvqo68r/LS
QIevFHz00IYx50eC9lw8CY6ileSmmo7b2btHjv4ajepTIlT2A3ebcBtNsi04+E4k5nXG0li34jip
xeOgXQuDF4hw0jn5pqi0GzbU3FUCcUD6faQm1B71Y1K3ERGe08PkdQTENfYvr3yJWZuyih4wsBCl
We1Cj4sEqoOkPyaajPzcvdlkd7hm/5GQSqiqnlhZoQrcwPwgFOc16yEUZfPSzBFp0Mpe6AcCaQgh
ZcsyGUmn0H5oCvtZK26DtY4qCQwuuqwh49mxCcwuinuEEC4oB/IAPZzPwuFExps2PzhkK51q1yYt
1Io9PI5ztYcBb5khW69/g3CsXpp+HvDSW4LktF7+KnuQCy9Fut5mxvA5jFW2JjNE3VpWyt1htkOE
HAKAxbUmeg4t9Ydd5vGjaxT2QW0iK0IkZxc7T6+zlwpH6TrXCu8JeJknqfTxt4JpeJfjAQb4RNu+
7slafCCBRxcB0hyqQw1SV6c82WsLOIU6Uf3Jp3R/YESZv0O4qbvCkj3BkKn2XNFtvdGcqL+4MRE6
apkWB1Vx2mfue8zHDGaTP7Rl99gUmXFz+YoDxWs4W9J43KtaVx+qwYTBViC/nDbijJuVaRVKzd1H
6EwgtwjdAP+qm1NZpdGaswbiGVp9r5AwetJLJ3zAZdU9eKiFiIRWuHpNrcdzB2U69djHg1KXp8rV
ySyPpJo+YwtzXtRWBTGvSngjYKZNZM/RxZzm6p0iCe8MdtTcueiwftwuKr67qS3elNywRqSbcXox
h966WV4aP3mGKh+70avP2gjYPpjpdGkrLz5I82VAzQqF1269uZ+eQki/u2KacvDLROrvFtrCzdTU
bGWgVo/t4AiSimfnKDkwv8VW4uyKSrhY1qbpe9rO5VXkY3+1CAq/5EJL90VCcj+y9MWZl8R+XLli
g2oWypS53reNGj3CMKMoCHUtqMy0gK2K6m2xXLDRtiUks0cIcbN8xBgCJfJqQK8FE9vTt9TK9XM9
CQMxiaMd0GOiVUJYjGEuuVbTtykWQZqgpBr6XF4gnTlJ60IOzx1vpqRnuZPFtqq0ciWa+QecLsDr
2AnSLcLhFir23S3ni91k73ayMG3FPibJwpxFzraPuNyeDk2SruFm7bXlWAFihWhlKh7yRc5f1Xkb
lWY/yJT2BM38tHMOMz39MElSQDsU4B3e9CTNkO07cjCY1gR+T6f12Y1MdVuG7eukVze9NPeJ6p5z
U6xMbQ7i1OArFtshw3vVvmha761rpXvDOhr7MkqYKAv7NpjDPVS0Sy3RmIE4+kmcHeWk7CNX4kKM
hn2tNebKUvR8V5SLe3rWL9JFL6KbeVCl5dprYkDtsSMhgKG8SxJf6OZmaPtN2Sn6ql534hURnd9X
3cGLXUS+7ibKy1912d3/PdhhfJm3/gF2YCS3YHSQbNLbbOK38v4JdIEnY2Ky7HFn569c85PDPInp
Mo0wwFgZ5YNql815qqL5kf0pfhoT27ppxLde2rCxR7+zy+HNRYr63flaKtmyauSyfqxlJcXLmsqW
1QWL0By0rxW3rL1qjrLn0SgBUCqWpljWqLusVmJq5od8WcHh12KeIqOjByZTHqKQtS6XVe8u65/U
8WhdFHNzojTO25IXiwSK3iZ3n4aZXJVaS/Y9QOQGnjBCks8uQyPCuI9Cdh61h6hszNG4OZZkX9I6
5vMojvtnNa26Z7XqCmoVbUTWc9tfopnbmLfsdHqIIYzkJ5XHxT5oLTuiElXaT33ZJVvZJ/uYclyv
buI1pBabqVj2VQVhybr42myptBl3MnPjb2XNnFGr0nsy08xbx4aevcDgcGEA9wVAiUf70MgxfjS9
SvsResq0LggnMuqUQ/7rEKhEpm3H5WToljMiXE6Lajk30sSTv9TlLGmXUwU8p3rRlpOGIAcOHX6a
1T6inWANhVL8cJfTqVvOKWyG8X6aqmO1nGHxcpohnr9TVY1ux527+ROQ8IDkwWvRW2ndy9jS3OdK
0ZN7kuT6q7QcQK1C6PJ9pFaDVWNAVtcRAFTGu7kW9lARb84Ap5NW5COcPjtdXp5J70hIatDjcw1A
jQCq2dRc2na2Enso4lsn/DALi+IU7G8zlxtkphv8DA5alP7rMxot93ynQK3HOa04JS9TGcdBV1X5
tSpT+8NtdP1QpGwSW3ukvdmHc2ZSwJhbjj5Zp9l3Q60fByPH2VerutVsYuTWdcttIRDQNQBeBSFR
KQo0X7XqaY2g6CnmtrkbFfO9LYFyhDpwk5iZK2deX4kzgcNmWntKeEvT5pb3cbFWxpQSVaUsUNmV
BA9xYf/JJeZVcVXrZAjPW3e1eUfdygSk6MZaRSjDDotABLlX/uSOtnJ0kylbc9DTmKNmyc1R+9i3
+y59WKqvEy29IWWMD2njZbvSYcwWhfoQGRrdOgON2RvsDQw9PSnuZK5/S/D/7Fwt+SWlkiEVnWOm
4kysdU0eW+YPfyz46yMvBvKt4c0SWvVQYsnelPZk4iCv9G1D6fJKG7zC72Zz68YVoZjlqPhYC6wN
YCqwitp+wGE9MhfqvmpPcB/aeK+r6YV0lPJ5VGquY24eb00hBpfE6IxIK6eOV3lGkg89ZVBFiqZt
jdSuNy4qUZR1Q7cZdNZa5YJrhujJfSWSjh9N3bexHJw9rYwwHnP5zdJyJggLa0Pu4AYvPANXADQE
r1XS+U1RTEGrLeL4GnsBPhSi5Og+CfrUQhoSeQWjRa1ynb9aBK5StMXERMM63StuWL1UYc9PWHJr
JfnaDjpvuPFx1j4yrJxjl/C6e+fa5QH9dbjXa09dOJXkVIXOp0ZQ0S3TlZm3gA1FKdATD/mv1LBv
GACJP9AS3CRKhIy6wlhZ2Ty73Is/iZey/JzuED9ruoIC9BJ7iky+S6m/jfk78v8TYXW8EZQdyNK5
zlqlr2RW/rK7+Ulqlc0oLAglz3ti3xXqvik3SKJz1+rDykjZHDWVi8dQuhxW+FfRQOrqneTUjtur
9mOqVGNtNendIWUW/t9bK1iuuRnXiC4iLT5GjnGQzoi61WB9TS2HBDWCyQpA+kzBn05/nlM1u6Sn
wCDWlXgXjdH8lrrLJTMy5GaeyHf2p45csCDth/lbmGQF3h+ycxyRKwGErn5x+rT+SGNp7CPFVg/x
6KX7vDe7S1g5/ZXK6/KKxnr6HrL/HDS9cXbTMlENy2yFP0ycjWXeGr8mr2UG0xXyP9H4Kavwazpj
xzXv7jKytcvwJnjiXwfvf8RQ/Wvu6Tcm6r9HYv0/1L4JfwgmZmAh/zc01s8In+aHhFn8+UWw7T+X
ssi/f+CfRJZOPaaqGzZGTEwzXwGHf+OyXO8PV7MIGqHXzPnzT/5s28SISfkX7kkSOOnxtT0IsL9z
WdYfSyIdEVJED9OrSEjBP3FX/47LgtmAJPrHXEXFNBG+8JzUgbqYYBzzn+UYYdxjFXTsXeu1ZrTT
mwxKnwChqfU1L4k/pyzPwdpR2OwtwxbPpibdaG2PWjpvcIsY9yZNsa31Nv0mNV6fyS8ShRgEa+yn
ZlsosXH3FqNgOI4qCkgFKYJhlbYROKRWgQybZurtOP5cYsmk29RHVamQUJGNFlhWFEeIeGGFO4te
R2Kr8j4AUFdueC+bgysc8UaKVE5LkeutNTXPgqZ0n1SCtjgz1DO9kYOPVakhuK4b2h8N8n5UNUaH
UoJvNjqqKVUJSEq1+WjFXU0XjskEDYFKuMWcFztHtGBLeqLvQsulB8WaDZA6iRvSZMIpFTnhLMyl
/TjGhndzK8/djlo2coXOvSCVxeAbXLqQ01GwkQsPXVZsB/pg6vXLULmj4KI11Q6Aa/WkeUrtgtgn
cul8R/J21PUwASYox+GxGXKEw1FZmdGxSXrgitAdAD2nMefC75XwQKtOCxfbgkK9HPgCO9Im0iTM
ez5ga3mcNSxYlzZij3/UsNtwM1ebsN1lqdKGzIKuNu+F2iN2CYfRQ62XhtqwFgLh2cagWfCN1prG
ekRVC5itzS5hlHmMYzwAMc6kb8zdIDah3Q1bp1fjT7WqIyco6sLblq3QXiySKluCAaJoSRv75YFN
CWVsrnrp6seqlXWGzUGhZc4d3lBJTpzJ4ZWwC9u3m7FHpj4V3slox1Uhm+SRthd1Y6u0MlSkhgFY
W4hVO7PsPo1icHYVu3WyTUBmtFVeqc0KZ5FL+lWKw0Zy1ZargkzMZ1oq5JFyLuIyEJ4sXHf+3FNL
sxIGMne0ivGWlI3qQXVKdNWdF63VxH0QrVzEcNp8CxF6b4amsh7Q8Rh+nCpblOyg+q4IsqrrnqVJ
+Uys2d1FibRwM2ZjVCCmAG3F+kVDSVXFTsHBzu9vK2XMjxbUN947o8WQlxfHtjHBlFCaJjfeVnHg
REOcruoVvT4U56R7GWVjTWGbWOG35bisI7GPhjG7eC4MdM/PNoQfDQEv0YsDLclxmshBVEZESe2i
Ti1gBZKkeGxktQWby9eNB02Enif5RDtIX6rr1M+FiLqtE4uU557KrZ3iA3K8HvOWMotT3cuflRAQ
vLXUC0aEsN8Rrp9ubHIQsjdUSvbzWDHkBFqcOd9qiYWBadE294sueTNNEy3leGHXtqKLtTU0YqM2
bQMe54zA/RZqJg1WO5+4QZtwBbvcUx5U9DbsMMV0ws8u3kK1A+zuovwaeUbz0NVp+QDS7AH0NQzk
40Bn6P8/Fr+OsP+7umM5Fv+tuuP8EXEqLjlR/8epyMf9eSpaf+goWQkAUx1d526PvOZPhYfxh2Ho
9hKkrnoWStS/KDzsPzj1KOb0bN3kSDVxbP7jVNSIgiNffDlp+Sf/s1PRW7yfv52KFDgark3QPp2j
5CAsEpC/qH9mt4OxQlS7l4mBJ9z5iJzE85OkLc6xKcNjkgMQUeJ7r+oMDUMmlG0Dkf0xmZZzSl06
qScA5NQiYxd19RXBVEy/kXuPiHGk99cjalIscaSSzpsxM4fHAWkX0m6W/liL/LmLyVZMvbaFHjah
RLpA7+yT7PAPuRbyTKpcCEsPHwXpmDZu1bWahZR7peF9ikN3g4Ejp4feOsJq2B9OouVgRVzZKjz+
mevNp7yYi6Afe/B+MmXwVEJUK+64Gbuh9vXU3cyAMGDRojBWTYFNctKcFaU3CjLu8bGJzR0/wc9R
d/yxLo7sPmvZ6U/E0Byqto44FGAtK/2XpSXTgxKHC32UufNWj9vnhGd7qZKiovVNqbcovO4T+Lmt
jEdh8TC9vjaOqeRbTozsbJb0OCgY3oDIT4YloMXUqtgmU/+j1uV8Dl86j/T4rqFPkKrrB1OLcySx
PfY6ucJQuM5xNzeF2QSaW/7qTeLWPJtcJSQYk2vT7ZPeGtDvuC70VevA41JT46vcuFfKnO4UKR4V
3RrgS7rpLpLZ2htOsa5hSVdJVmHMgKCfnCYC/oziZ/KAnmJj+B5aywWvM3O2N+mSv1iYFwtNvQ/h
hN0zxO8vobi2bk9gC4ks1h4piLwZRfVkZI2JwsUA6UuLWD6reTgzkXR9vSVqKbpM9gnr6506K5on
Uru8jq2iBOTmnyLVvMQwbfhoX6Ncopms0UOKydymY3uM2m6vUDKnztHrGFHShHlSWjLhR9Wd27b/
lZXPSKnr1eB4xs5y6jyQVI1i4V6b0xCopMH4jWcoQTjNtK/pzVkO6jGz0KdSyeszDxAIJRdtCVzp
i46ljj5Okswme/nc6b5RFb/Na/VOl1kSuHKwCA3AfLtBhwPB5o7atmHCKy3tw8SZdZg17xeqz5OR
zb6pFjATzdXoXa576QoD31M7x9r7gLVLpTAhWZvCc589m0jQkPY/X5cgsQbpTBeMadYVUxgxDR6W
/ZL0rx+12YgDBXxJH3TSsq95Y9QPRtjJQ2q27gd+kphspDI6KEzuewA6sad2On9NDQqRcB13yTHW
Y3Ufp1G7kxABt85h9OJV7dBPqPIdwS7NBc1YXWPbGPaOU+bfMhk6eLKYNnI1ywIUuvYhtivvUGOl
22j2OG56TVvIhXk6gXsXt7lPpptbF+IhVeviXrSY65oBZ4Df1l770YeDs2q0eKCMy7NONFfVx2xw
x0doceNsabN46GnoetfSXKydCAczFWwgdbmd7dvYsy5zW8U/DXNiHuno4f4kL6ngDoz8+IRsOTml
tTcerTDvD3noasDyw6BeXXdSn0ZjaM70uGnHIqviO9OQhxgFwwmvinM0lFE9FvCdHXJRgpyocHK2
Wq7nZ49vEMIUpWKax2q5+8vl618I4gz1d2Gea7rEdcM6cwq43I2IG/x9184y5DpGN2N2iqL8XJtt
NezTbujOzeIDFCEdGrU2MjzpeJ21MZtXI6ZV9NMYZuBw7/bQKZvcYAQcnHRBWjqtoiIpYdhc4D3s
kBHGaEFkPEnv1tUu1fTQq8XZCW3SCxtvvta2Vvr0FecnGeGm4E26WxjEuGJ41o6Y+yIglMnyY2nd
mMBiX4ixuNgiIsh1lCK81eOoK/TSS0CFzpmbchWX/MO+PtLdHNi4Son5Ig0w6NAYTlu1oM5yPeDq
esfi3CSrZoiqtTVr5Z2+MPed2P+HLu9p7NTpgXIUytL6MpCox+pSEjvTO2g81ZyEqKI8KkaEDqHQ
kO8K46me+mNct88hPbwE1am9P0wWMSbJRGpLmFDDi2zEoNkrcMZUMtwhuJrN4RC21dFJWP5JIhEY
YEofy4QccebmdWEVld+MdvQjHqwRM/VobhRch/Ro2Na5QsnMHqPlGyfO0qd6tqNVLaLiLObRWQJw
eJVmh7dq5k57JDYH+kmk3TGxFO8kLDW+x2qkH6PEbs4ZWtCnSrPVa5wRVxsQuNwf+FlPR2yIyWlU
8T3hJeJ9d4nN/XQipJy+4RjxT2IWy2Bqw2nTLitFLmvGXVaPvqwjsayovHPx5oaTcc4wqD7WTdIc
TbXkfI67Ad8RRyVR9t0HVkd0bVTKY4pdVrC3rGV1WdWhk5U3QrqmExf9aI9+Zdw0yz5A8pp3kDOI
em1WAKpNubwHjfuMGCj/hsxr2M/LvjIvO4y57DXWsuv0y/4zLztRsuxJXCXVfQZYeiwjmy1rIsXv
FQGj2KdZseSqjtEh71EwDb3tfqS5Lg91qNRwKJlzjQsK3Jd8e3FgALF/2A5t1RPpbqhFEvvK31Yu
oonsQINZXicJabloHOUiAwpbumK72WNCyTyNb9v1MlyVOlevEUsE8fIrBEl2EWiR0UqSY+NiOJdO
6gaq1ViEsDleN690D8oUmYNHjEk5d1H9SlZjiwrQyuqeBFAj63dV1A7RUc/ViDLdDr+cL3p3EMgt
Si5HbZOgSVQjBaGdG8cyWnlyamBhZmvmvMZWoHL/p4aMZZBWlHT1xsVQBv3kRpP1OCkoaXPP6NYt
wXZP3dxaGcFHYaFuaUrO87XSalgUwrTykFPV4fcl/XJcuR7mGr915lhZiyJnAhqwieaBw7b5Nue0
jAUEWWnsLTJNPV4xrdFoQOn1pwzdPJKH5tEJJdlSaYp2ppN10OvlrqOXBt9Ff++Ho42gbB2F6slx
vfpkUrfp6+Q+4k808Pi2aPlQ1OLnCDEW0WY9rYqqHn300KNPCfY3YvTGjUzHH1ppNIHbGoQOSf0a
qs14pppaD/BNf0+c74juvAcJ+MB+I/UV3brj0ajoTEsdlXtgBc+jPaVw9aspd9H3kVMeAyAFUYGb
SjSmcwAusv8Xe2eyHLlyZdtf0QcUrjkc/bCiDzJIBnsmJzAyMwlH4+gBB/D1tSJvqXR1n2QymdXg
2bM30ECiMplkoPGzz95rH0jt0FCQOlf0iT8Q7eedl9rOyeL9vxVL/b3oKuvyGeGCmGuKf5U58zp/
Xuw6/fIIzh+7gZWQKarlmoyfQeuo+hc7FPMms5v5C+WTa5BKvtrBcdmLDEBsGiT/X/78fSj7F3Pe
Bbkq/BAp88KXc4hr8a7950ro5uNH+/EXZr6/XIa/9i+Hj/Fnkf7lP/kfNh/6o/z1JeLWfxwJ/+G3
+H06DBymQwoBeEZgCAn4Z/x1OgzEb2Fge8ILeBgjpl7Q6n/VTMVv2OBtngVUCEiX0sG/TYfiNwHE
jL+PH+fyV4b/jmZq/xnD6cK+JhAiGBJ8l4dX9CfNtImBh+HCcLexeR7m6iZ6snfQWKmRAIURw2LD
V7oT3YPzXJLKBnOWPXdNukv1a4xJN42BeEBiF7l+j+IRRxL3D4Xq1i4IwVrVIVsiXAbh5zy5G4Xz
mFHxdTDvMqW4doZRIehmri2mxfnOUS3E4Ks6/GqndXGI2frL2+SHwiJceidAXKvS3FQtbl7/S2My
yynIUtTG2/7Ry5j+ImHfjrrczMZaF2reaz/PMIkNeN+znWfthZ+1u8zuk3U1FLcTy2DS535pPkVU
Pne9uNeXRVya0JXqOWy/ugDPd/m9L+58UmqrYcx7BCzIuIm58AJW7cyKTp5tzPhJsRwdp91dwHmW
q69yQXKNGi0aEGHG1vUdZc2cB5J2QwfE9pKUK+yCAvMsW1lO9dMDSbEuG/ebQHfjY9rSN72t8HZk
NBW4Xb6b3ZmtMs5DaHdF3t3A1jr31KpBufqeB/55qvi3Ahtnt21LZLD5ubKoqtGE79CkV1lIZkv5
CHT+yN9Kf8A50cQamqgjDRFi1+yQkqd/gSC2f51R/6A8/LrviEgKoiXBJanyp2srH0U3pRX+kWnR
z21PG7LrkqwY4XNdHCYSObMI/Ks+L/dFfefpae/Z7nWvw2EzC2dc6W4sVzG8z4tdJbfELh3w02Y5
66zYOTtjxUzqPTquR6V01m0aJ71uymsxuPu2Lq/teUeublvi1gFBde8V6hBST93a0W3PRwjO8cvF
OuTl3yx+zTEltEgiuwSvNCs1wmz9pjEX8bijDS3YyKnaoBkc6kWcCUnsRsc9z3TG+G5yM+GkjfBM
atU/ZTUwWdtH82N+f/cJSvLmvGp8zKeVYQNYJQ1wK+bFiKsyn0usEukpLG+CBn8hugeMoE/dz4ei
oH/cXM5cxDPoFV1OCyWXJBs/5trbVRRya/5C9t/sU2FzXPG4eJUyuc3KJ9m2NzASD51tnsrpfcm8
6RqBoeK8YQffmtgh0IIKbkFxVbWNCMolYnyokX50aJz2h6BjEeP3fJdwjMeqV3kIGc5w3ZgG0Nry
/oen6z8Ydf7ctPTrKmHQcQg0gQaJ3D+RqpdKhHlrynjrV/nPxBpeaZnex6393rRqvYztlR20D02c
3y7DeJd07THDLJum8CbzrgHCETC606KRdfWRStQ7nP88u/qHLoyYOPr8nKkRSn35L65u91ck6Y9X
t8+Tm9M5D3B+hAs8+e8ntK5GYhhtqk+boMXQJzkdoIAtAIymAWmkLYgeFSrcM9xu6sRn2cxDqsGy
K4PdRLdJowrKES2sFW1jlguNl2sWz0olU5Y1QK+lj/yTjo88WPdOMZ3TbHiEwvi8OBcyhvyReNOj
dunYccJ+g62/X7G25Rv7ZHemMOTROMovnMsDyZ7eOjEhgA1a6h5x3TyocTybcIDyF+Om8ssbNULL
9f3ovYH7sHLy8cm3izvingtgwpoS6kxtPad+Mr31RR4d+3fqf/kW+p6fvdEVvG/hL+48+6su0r1i
mRSV/AuS5th27moJafZV3ovRGApCIixB+2mUhSQJeU2bLSJjIgzSDC1hOQw0/CgG2hhAEgat/kZY
6Zk8a4Z1R1LsEh0soC8rNQyvWds/N0LyHHfflrx5TtLpjuD4shmHHr4HCZWsWTeJOND9/OgpcxDJ
AmE4+x6L+rFQ/dUgnY0vud8zj3VFeE5KceSoeTYu7WZF+KhtCWwFmt4gom1kA3JMvF2ixI6P/gSH
cWuAzvlT+kpD6IEtN2Gjeu3NN6I69YANEWV2fVQA2ElXdveWLY8x+8I8DTdquI7q/JiV8WvLr3BP
i1i6ZlO1a0q9D3OYiIY+ag7VX9h8GXv88yDcTdNm3xqNdBp1GY0nTA3rxXGbVeYHPdGh4L5iHMGn
2wDwQR2I6vGcehnbQhdWqPxKQ32MrejV7YpVbFU/QnDmOL9L9jfxieZD/sRYnfsmP0hasLKKjYnx
H/Iku3blbDZL7K+axZvXFqNQbPWbqBoArJtNnHQlb6a3TJqDM00HPSiSxWWqSd/pZwxWb0nnnabW
eSmg7dGx9eYtzdOkh37LVX1s4uBrkc51PCh/i2GR/Y+dwJHyA2ahed6w6yu29HifcrLqAJ7vNLn6
fdCKD5dUxFaa9qFy5g961tmODv0bCBuEx9Kv6Gebz63bP49LeDXibmE1h186P+bSe/EDG/4afdFS
ZU9251N/OVwLXJ96WiKyBWQ5CudgmWkzCXHWjPC5F79ozu9hC6jTjR78AepQ/m1pFiwxwzqK1W03
pveOXrYzV7ub1V9LCkSN39g0RY/T7LzKBrN5vxwZmR5iKHN5+BUt4n1i+GOxtbOH6Hvmyk2qQSgk
nvcQRz91wCsj2roWwb3b2r4lolUODyy2zq2l2fDVmE5BcMhVn4XPGpopOYB1tcAB9am8qifyPz/z
FLXFhNu8ewuiJ+OpVTqhEhRf7MU3tvw2JI9Bovd+2GLzuQdBjOZrHqpBcrlYN5l4mGRKRclyEjFq
PO4flK9DyuaLDhnP1VvM5YQvoC/4d7b5HnmU/wXOWz+EK3/mvs7lGxkwPRkKZe9FMlBKlqvXJoYj
iM9jk6Sfput2eviCh8OqNfqcHKfYRSN0yNo/pG1yyFMbQ3bGzjxSuOurCCmcyKMXmY2c8TZFFSZE
tnLQiiMqDBP9Qmtasp3k7P6wWuICoUX7nBOEO8MU5rXlk0qaYLNk9lOUW9+qeX6FX/m0TBl5OMhK
I3rf2sFidkz6HKpPERLR8ylRG035vRqWfbgEB+hdK1+n7VqEHKcSNT1aboNUJvBOUSOgM/PRE2yH
ZHD0TYzmA6N48YNPPY5XkVE/cfE9RSUSepPJQ5Yx3FcdRxP0IUjNFxjthUqfjf1T4QBKsjUxNffE
lPgFS2+d2fuk969cCgHsqr1hfcrT171RjYdZoN+HTiNJa1CtALaYjY3xSHMizGx6r6Xryo36LQ7P
efUfaollEQwc02ovOucS/xknsKdU6Lf20lKjK0U2tIsfHGVf8bsBdQBpk0xhPK+qIOjXQQnQTsBr
pFzTf/zfWk7+XXz8/5K8OP7FkHUeJ5h/Pl8CPvno+7RjtlR/nCHtv/3h3yfHkBA4MCAKuUMuS0bY
/5kcQ/EbafKIlSPbG4Hvhq/8dXJ0f7OFxFMcYSu+QHz+RkS3A4ZKZOXQd2HiETp3/p3JMYj+XqEO
GFgvreiYd0IZYe/5c3EV7SFjzn+mXeBWSu6IkrfApjkHrecI2PbKqQFTbalxwcQxJjGruSC4pIzc
SU7WBR9CgRfb0VOJzYS0CRxdjvUQnb0gKB7z1FhPnh2rYzJV49nXpbpudSC4mr1A74HmRdvAwWrR
lZ36MTrhwp5jLkJF+RKlo/EEnJSLFypFTFXbdWKXLpA+6YeUi8fzvT9VGhb28pgMzsw54UDtBc8q
OULAGdK2vVacHtdTiBtqN2MJyNkVcYji6TXD1yulaW6B63aX8ttFPMZeWrzx2kseKwm4xRcy+2zC
ObmZC4quyH6My2dSRR7+fTfgyTm0H4Z3Fi22OaOrBNPW0hyMTd2G1w0HvTxPXVfc1UuebUuL304p
p+uExPDW1oquYqfFtyKKZO0OVDuAirc/LyxOsL7VQLKgD9P8RAQ5/zQ+LFTo8EX0I6ms5FliyLh4
SoF9wLm0pL1J5FjyRBCw3JzcXQknnZilEnmV8QGQ1oT+iZFmvAYN/zKnbKQ2gZzACC9dyZCelaJa
L1NTAnxacmfj4AS7GXyTfaSlq38KGYuIc+HMhN+UI+0VIppJR0Y26xSvs8DW6IXqomjsk2ntlwkI
ZebhgpOvSTBUmoi0UVl/U13c9WtNuxEWSybKBnlbEgSzKvWGuYSoLTKKOjgd38eenRIdojWcOPOk
xy4F2YUERRW3EdlXCpwO7GuGH3VbGrVzZDURiLKifTAEbBFk4s94ogfwv4ETAoaGkNM9964jz+BZ
3FPsD92TKlX1kVAliLwABT667vFfwkYPp/p7Q0LnWxepyt6QJPn1Umzrd5sHf71abN/L91lWto82
hrmzS+lQvFlqE50yTDZnrRowUGGpSMlHU9jeY3CaXjr38jZGsbV+0hXkeRv2V+2bG+T60+cotKcz
gK9XMjJPXVk6+J8ZoClh77FqHthqI5GMliqvcW9iSi+k2Vu42XhZGfMS+aZ+8PoK9QIhlfs2b4jk
KgumTu0jvwqMChuCTVOzjoXMPxNurssfjTn+uW1RNAfGz6zduqMfHkcPSb2gnwt52y0m8Zo0s3i7
+InmrWiq5bL24AMMYepUe2cOPax5DaXunWiNvWIxkIBvUMCOY/9nXMjlm0mmrU08jsHF+V6NUQgA
Nc/aTy+YYImjjk3fpjErN82gJroRO/ME0KU+qdCJD7nnyqtSF4zcXtLz5SDFEQSN+HXpAleB1wOL
J0NzwVn25C/FghEZgwFYZCizDOYO7+0pjA9UxBA+mJdtxbhHRpQ8Jfgk7KkN5VqLDOKXSGZ6XfaM
uNTTRP7asoeOM1/f1s0al1SzUUvJhO0uqbDX2ky62so4dzXHzib9mQ21el4Cpa5FbufJFv2eVLvl
SvNmcaMwDmCkGLAdN8M37WSKg5nVW7AM0oVbe9Fec0bJ0POO2HRFDdfCec/G273qA48HC6634bZp
8hlsTVlVx1533VsngOOxJvuR6zEDp9XynB6LgiVulCtQo4MFMnWJ4BD1MqNsSTIgRGoaX904aU9O
rNQ3m63iRZfjpDtIC4JoNKGNc+jTIl03zRJ8B7RbHBIN6aBJXUoByrG64lXC/iEB6PjDtZLAEOUh
qMQvz5ibdBgSdjVeMnv4/9Bz1hZ1Ymrtmgw8Nz+nHxyGiIGa8HViO5tcRN3P2e2qfm2mYAU/kbeM
O+pDq9vmKvbTEosm8HU6N+n72WhT5P1e0rahiJRi/HNTvydQt5RsQ2FyJMxnhe81zA90A/DTC7fb
cGk2XxPd5qy6MHTbHVBGMhkTD6eoKB9Li9uNgp+ULKxpmm9p0HHqq7Hh3Pd1K18w6IHHJG8lT4Kk
1TO4zOaN+rzwKsyKBJtd0EM+D+vEuatpsrrzEYSfm5mF2uUszeUTkDp1dnNt48bu0vFmDnowAe7k
Ji+4RgUQC+zhX6IRdnjNv1Axyo5EyLDJz+G3Hmh5xQtKdjfct54+xAjAPBiM5z/xbGpPo46yWxNX
cueE7PmmWJIsm6wWq39hpZZaF0th76ymSvGwxMHrnAmUz2rSd3kWiTUmSqL1pkrPktaFtVps+5zx
RGKZppqXIRH5cx059cYGFVCLwHnqSQWdcwpwN0OeOYfG0+IJLqr1U2Y0K65kIocNgFnnmImMFAwc
2vhJiyQ4B1X6VFXCOsfVHG8QzRiIiAPmZytjH5q49EOhfpYe6buI3Ng2FSVV13R3osfMQUYSOC7Y
9XMlFE79ATAhxj8wMMePQc76eakMEIQoOELcgk9bmOV7oXDPW0uTtWDSK3VX+UV30jVpcrJx6Tvx
+W+6Tpb9NETTPk5ZGAbMAR/xMLsbzLD5A0ojvRcNoWyCi+WugR7gE5iX1u8d4fOgYGNIuPHtTeBp
/V6oEc2I7cEUbvH+sjiG53dhytc8XDondI+DSvunZjHVobRadROR79j23YwzNUhwUOUVLivRuc7e
5QG0JuMxPnm8Wu5hYjgJNZXAbAhrh/62Eqb7WCAE34SdE2dbngjqOFbMrokY5aNwh/rMGJqBeEvY
S4tkhHbuqblZF+4l+9Q5cp+FU3gLRjHpr8vuEuiNhCpu/Iw2LODgMWCJPH/oA4wvbVM4AW9ljhLr
StWQU+zmsgKz59ZCKEmGsjgziiLnePhNeH9rdnBt16Pv9QBeX9Eh2ADmc33Oa6B2K5cVMvUyne18
IGYL8DBZol58t2N7YKKwsiiMbAEGJdmy6egdjvcOzlT4OOkwm2NEOXV16OfMfx1pCX4mfDc+BEnT
7Ptc23dGKgl33+t6JGaLxwN9csne10X/DeBrdd9idYo2kvn1amhEc+2rnHt1Ifh5CmaH8A7LU3pW
sBLcc4BFLm2iUb0pu8foUpixp1A4V86TyKbmlVRUfUbFybf4ipbbcPAJy/PacqeNh8rDmbBNFw2R
LvhRuS6eVGpv51trjMurqC7FHq0TM1OLHLcNusD/vixhb29Chr2PnozUvMZ2bm3duR4/MwmIbscW
eMC4q6JDhgvhnnWGPfz+U7LnLNc4iUYIq8GTkxFhN5SbvXJzErFq0rI+h0ZfKJv62cuLB8LqQPGK
pDtFWrncszFwbZx/eDK0BzoPimO/KQniBKj3fvRa2wRmVnFtEhanLuVdqwsX6yXz4+YU0Qj4EFWV
/0DWq75heClOXTIjT4cxhc2+7sLvMEPUfskt+u+QhLxb3G4jDI6in97DdBbzVTU543xgTz/mV6qU
7Fb8JJkPpN2973GRkD0q2cisStImNITWlBasZBtGt2WTLAebN9dPC/3nZ5LE7bAds5zN+rCIsN34
+qJVeKOTyr2sovQZcUHuaPjJ3hbLWh5EpEmsjTgreLep8cUG7PfAprm4hTy8nJfU6X86v16+bczq
iF88BRcmiR9mNXefUxV2NwHs6qcW+L3dJIm/wkbgfyhA46D13VDhhoyjIFpLnx3DiEZ2R+mB2VDY
StBPpTOkzK64ZJFF6eY5hJ7swpdrOh4aTUVtTDFI700kdoNJs+k7GDspIl8jRP3dtRqAHlVLMooK
vvtUm+aVIChhpwbPQgEW7GW0BVv8iWjAMRqHrt/ZBnblWkOmJQbuLtYxLxtxkEEK0rB1QCR78yVE
zZDMeqvth1OqHF3vcz/sw1Vuw9hiJADA2xp5qCfR5CsKXog7eIpz6DyO/EwDesjGqQmZooZ6C2WV
AWk2tLzuSusMAXLEZllsZGxXZ2oQlsOAy4nTDSiPvSe67BB6aNUrsmvygeCYezC2X36G1aLfL1N2
z3dwdLEZXMd6FEM7nCFitK8Uls/H3HY0R1Ve+GvPiZHk8TfxlVFwxLBkdd2JuT6xlytQzxxVxeuq
qLIPXRWtOsg+Te4A/vAj5HlNq0gOUPp+iPRX2zu+w+0CU6MtsrN1KRBbkVSs1u3iedeoRvZIH44l
SLEBf59ktmzdcJHuGpq4nxMqHDmQAKgA+JV6odwgArkzioxfH7oefOjolanFaKqwlRcy1d6h7Ts+
Go7xQkfzNf6k9qrnjfSREojx12Uad/FqYm3drdgI4SrFxxaj6HhUGC6mzy4RE19d6PUBneUi97eT
5arrTtLz2pJt/6FD2yc0Nun+cozU9TYYVBuuMRmlxyjnXDYleXWTtJA0SAjGEWHfQDxr7zJTENEp
0PB5i6Oa2e2dO+Ck0H4fH7Apl4cxD7pjOcyqoU9JTy9grqTYQ5WtjhYFZO99G6bNevGX4qakGEse
HUBZyWswTORhx8CQEvnfUqD+H0+N/bcexdL2n4tZzz1Eno9c/dki/7c/+99alo1rQYbYGilE9S+S
1f+4IILfMEAQZ/xzt59j/+biVse0jhPCifxLmuuvDvnwN75w6ez+3TgBU/HfyI0h6/+9Q961aceG
fsg27yKQobj9/SZPxXPdEgiT+yTzNJU/hc8+TngV7sU48D66OZb39sxhuqlzsYZ9jPYh8tnn4Ozy
UDReYE4Q/dI1G2/qijJqVlT9zFplU44U6gVB7m2U3xTHgCPwp0qH/iiy1PFJNidWSt12yY01hh5s
jVmH+ToMUvHAjE3gt2+WO+nUHbVosMgzOnuqlc9YxMJnmHDKmwPU4PZngsiy7jnNxpDzU2z5kR3e
in5IT0koMbTLjONsMDQ7LR2FP1Sn245twXVGfcY6Uku7buBN7YExRD8ygrCUPjC87+wudvfVPIjH
gCnnLq/9Zn8JLGy0MyG1u71ZrsiZyg2zWLeTS1DC96MHKV0By/0oQpt/qEmKbK/DhlN4Ms65wXo6
wpz3hvDeFBndN01NM0To1p+CVuRbNxcnd/Hf+0jcLFWa8RwtDstc0IpNvYE33yuL7j7PHc4BCXpO
Gu1mcgOKkdp0j8uSxjkQTf2usvyiQBTQNQG2yfQblWMo6VFMMdkVYyw29HnRS5xd02sWwqnQ7iZm
gkB/ufA8lJ6JVvdRC+urHGT1wZluhpPQxu9RNnmUJoT1eelsHuKLtPyngraWqzabOzKvlriZlCqI
NPcsauewz/G2XaQ+X0/BYewIxhbJMD6PjudDck+8nFqdhQi/Y9knHETWsZKN9b1zeopec08SgfMl
S4TSBK+m8OV1KaHP4ZbFhAe2bqYIQac/Ut+0W8FVeUB8wsVeearci8or30dP+ncBIX6WaiL7bOvq
Wx/OwbcoWoI9R+P8QXN2OzNK+C8gdQvcEkqcsOoGJ2yiCb5sX22gNZ8I+CWnUUzlrm0c6xAJk+/j
xJX3vKAZASZyEIBRcq5oLweUZMfDLWJWflNMLkppkYPUA7xon2bc2nTL2Fnw0gecuElwY5GrmnR+
pFplOmrT2WcOcYNLE1M9fjheaNit+y7OxS4j/bH070bH5hQzux8o7XOeOhFaCv9rZTA/Zu17wdGy
XefZ0jVr+tC95jYSeTGtYqOtdgP/sVsFeW5RI2foM4tNCK+tzycMyRbfhopOcx59X7+4FZUcq87i
o2jyKVDbLpG828vRqejaIHrpdCOG/kzGWwuqyR2PC3yaeSrT20wxuIR0G51Nv/Sn0Y/EmTc90pyE
f/EIVdi+cvO+Y6Rp7Oq7gB58J/oZSqa0MwmZpAHTNgWCKIwdWNc6zimZNLapbL5pmd3JxSlv4nHJ
z11rWDvHU7ntsRVt7NCdDkFgqKnoLVPfh7WJ7yh2RxnT6CljDb1x1YGk3YVwONpV5BfpSWYxHKBq
9k+26qZrAVZxLxzZn0pRmxuFyvru1UzGnNcuqCw5P9c4takP4vD/ZLcaZrNcqn3MhmlN7rB99EqE
qNRFXU4LO92T2+Hemo3Ob+OkMPc0ek33s0eylhuu7dc17SpM9v7WDvqD1Yj2EFSjwtkRC/q9QWn3
gdWccaho9tkBkDXLNzAgRfXTOAziq2WqCLYuofUYzIO8Gzv2u3bcWN7apgT5ujecvsFWZNekh7mk
S8f5AlHNRtA29YtXCXtjwcB/SRXA+Nxhh7yiEmfZOvYMMQ4z3h6GosIHpwyUrKSDY9IyIFuY0h/d
QMc7pcKezsPQzMcqL51TotNlP2vf24dRHwLza5dNYmfQIdshemOCD3ZNJ4eHJgKZwn+NL07m4C01
NjaipFU7DLPNrfS74Zb80wVQSAjWtaV+J48UvUeh1ufBH9M9uxRmsYXFQZ75/VaPrYPQYAXyyEmN
Sm1YC+7aK3J1lXPmvEKCaTZmCNuju9j6XDcTtqA8/Q5OLESB765qRWAx4K0GOPW9dpZmwhEdPCQN
PRl6mo+w/ZOnJivGn2UngFO2zrTvse+wFR5kY2/9eWFSFIVi1966JEGs2fGTdd869akOLEwZLnvN
dqCgrwgJx6IrA8ikZZystbdynbcWmpWHJH9jV+NBJyHI9RSLFY1WBx7VW3tmmNeZbg5Y0FFAWrtd
099R1lscW7CVbOE5xVXu9J1ABsNxo7KhBNmlBvC7fVYcCX9efhY7KbfthGlete076zSezEMV4CU2
zoRULzzz2HbLzJwgl61sjLcrIz0+OBbhti1W3egw2TUxACJ3nOanaGWyhwDDyarQQ3dGiKk/a2iL
INFov2MZpK+mml8PUQUPUQuC8jLVLGs7yv5mVEK0xXK+to3c986yHPxxWtjXy+KN6fQHp3b+2vhD
TUF3MBr0alhaB0hFSCTJuvEqyolsF9+RazkPcD6HKzerxCPIKxh3rQUaSwV0JqzglgFl9xQ+EjYL
Nvt2Go1XEGm/prj1sZCx5OH+aE4B6+yDQ58mr5mh+oFxaTyEsg6uelkv7DU9gJGqPMc50FZCd8s2
GXX8yAeg+Z3KEJtTTvgolLQWul2jbu0Euzz/RwfdfbL3tViqM7AzcYLDpN/MKGgLgpEl1sIaIUwa
SYZP+j2SXYQ39ktbjkPHlRUhX+QuzksH52iahCbdkoTz3T2QfnUsXQD8cIxh8avJBURHHFcgIpc+
zrqorB44X6TlTZFQ+r2xdKEU8HdnrY6iIwS+kU2Tmbtomtor8t3F/aV156fmiQOvy/XNGn8P0rPj
p88Oc+gWk0a4DnPbJjA1Eo7Dc9Tz3wPnoGOV7pxMYkWoUgLzlJGsmxBTl9Cp3A4BKxfUuLtLxWSJ
WZxv2B3bCnvhQAfuKhQTQzFHCwb4PFm3nZl+mHSavkwtfzD/te9BMX749ShQzNykuossvGVQIKHq
Bmm6LivHnAKnJeJWQy5eXNlS5oZMGHQgBk3B66kTg3PlNOGTXAxJF0n1liQxuYnBxW1UR71MUXcJ
eBGv3KluSK+zsjR3vR1b+5hCHoLlut8bz/bXriQp4iMO/2CV4+y4R5N9qRaHj2HQT6lXQdZ3wuQs
tJrgl479zgKrCnux8B+T4LJLKHl1rjO5ZBvP7QvymhhUr2YrGHddgMjQEkj8tFkyb0Pai89YLYat
MFWwbnlEkZbIvNuBVlP8SDG1jQ01GnHhEFcwYQkPGmHe2y4FSQOPLthqLVMTbFUs1C7rgzjhdGWs
o44q9xq38ri128k96Mm3H+M+Utu2Bg80WDI+eLObg0s1NtV1SUVisHMoOxrNMS3i6hyYAuFj8Nlk
XsC96ZuXtv2hMXn9IEB7b3DOwLhLy2AFRcd94UXHxO23IdNB6sutSzffFTVr4SGIYW8ONCJ8hWUe
3vidVzyPOW4wtoxi24gAvnkO5yZqZncHAUDQsFzT2pXHEa+auSwRiFjCon5Pp07096ghO86pRBsD
ig3Con214gpTq6tux9n6RmQJO1RSkcAs4eZg/YHsVDG01H7QrWsppqvaU/22jcmCriaXzpHhsm1h
iKcOmAsDRU33hXkQORsF4S4eMJk+5idgHdMiMVz9YbL8h0bRP/E9/o85jSHyj0lmKwyXzAh8gez5
2JFd4KW4fQKWxGG6k15WbTIYSM9NJKen0Lajtzkc6zupluQ6nGXzLYYdz66SAz6MWJns1TDXT5MT
LTvh0TZIBzB7ojayzjRXYwlswhQOossnINaRy1GCupz0zfUjy+JQU8KClH25Zylw6XrOKUBMre+J
XyUbx6Jtz8pokNKt/zI0nX20+tqjfD2y3+QwkCqxPeI/TVRtcORz0+aed+sWOWwAz2m9DfY2HGIq
CN45qSd7T8JQRLD/qEbvPPSASzihrMAL5RtShPPGW9R8Pw4lTYv5cqIOiKKfHLQT+1u6E5lKlfKh
DrQLj+2k9X7IvkGCsmi34OWuORRuR8uuXhepC0h4aUjHV6v88RQHwXxUbO4dVgHSv6+qbrzraMm4
VDHZMRmxXGJeF+mPOl4wubpWsKWvRD5US05ux8Ikj2MQaEg1j/41qUTr4MmcmvdsqRoomoSQIQeK
6efYTW+dWhqWmF66c1uNkXRqih1IQTb+LA1WDvWXcFc8mtkauB34Aj3WVEM1dluIJ+ndkpe8odF+
r2Lm13NKQQt9hlC3HrjRo+MUTeYoK5fIGYuKlZ3O3Veteo6C2pgJ9hPuqPXAeYE+1Qby7DqkUA1i
Lefs8deRu/h1/JaXkzhvYQ7ldNRTSto3cieY5anjNsBYnctJnkwXz6bwcr63f530BY0vPB84/xsr
7E/RZSbIL9NBcZkThmKU7qpN6P/FSWnv6irqqE5kwGh/zRo+JzMeRpcRxPk1jQyXwQQtzZz1r2mF
epsJaRGTlvaNXIMDjS5g48baJgp/WvRr5Al/jT84qcv6gGV6IjPl21dT6wEAcWvQbG3OhQtfhrp0
zw4+2DDIVUTTMm2kY392pxaHakhon4cY8xaOx/9i7tyW00aCMPwqudo7VDofaqtStXEcHDt2HNuJ
nb2hZMMaIRAgIUB6+v1GQgRxcIiHStBVArg10zPT0z3T/f+3o9i03/cbo5uGHgRnowYKMxqj4Q0V
9CZMmXjK4OWS6TPEFT535kARTrsEaWbcmtiQGqZgdru4YVS1TWAlflY1ciMt6yQFzeDac+F6GTMG
GaQGhIwwDs9PwiKOJAMgvOyGE04KCDLh8qTyoYg8yUUWF1EiIB0Bs9EciyA1FeFqqtlgzRDBjkQo
C94Bwy7CWxopAl1C3lgEv3DqTUWmEbd3IjS2Gs/u98gcf59zSfNoiwA6FaF0LoLqSITXwK4Raeci
6O6K8NsTgXhWxOR9EZ4PRKAO3I1+Aa+bcz8XYfykiOhJ622Bj0qYn4uAv4eRHrQoB51Qmz54lxYn
A+S6Tr+m4riAygiHA+bUe/+yRS2IX1ZT2DUqfzxTszlC1SAVcSkzWjWoiUfSz3Q8bjSziWueR5ze
TvSWC9wnyYC64DEk88u6Vk2RcACCEuzDgNw3p7qjfU8oRoSfd+g8t7NpOjuHODq7aLhacg1tifeA
YzD8ZrijT2kQJafkTucjnKfZTQxFKqULjVHImPao8cicLDwDTS8hFJj0uIa2nxvOeeICEHQ6yWiV
4elTPKtWHvkQGAMsCl4KYNy5MGRhYdN6hX3LC1tnFnavK0ygJ4zhywrbqGgpTwpxpnVxzOVYAmtj
BUvDg6kzM8FBaJIfdJs/GA9jv/EwvpldJV8Abog+N/pXL7/RFENQGyLD0FSTAnDT9DCVztobZxyw
cDgetJqk2LQe+xSITkg97mVX4TzI9RM86dFFnI3BkNGew+6jZuUwhZut8L9cs+bA/WZB60PUm5F9
pzt41Kd5y2AP16GOVJtwazfugWOw72zHY6uzoyGYtKHpuNB8hFkM3vZwTN1ADBh7lM8/4slgnzhO
eWc71GDPc7cJIBNIxc6g9wFeqPGHLJmBZTW08n9JAoMQZNbqf5yOLRc8wX7j6yCYxZ9IhQq/cMv1
fKH3U1gmObMf3XY9OwfcJuiFZFLM4a6dB/E36GmF/Rro/ftCqb8NCE4i9XTRxq1cRUuwM/Ht9TCI
JnfD03W2o71+VJ2Gbxe0H/mRA6e7bpBZWjv9L5pVkC+9JKXvw9GUtuFW0nUFYhjSULE0xcPZO1Xn
z4uvHU0B3EC1OX0HII6nRONZ0dIuPbzcxU1mqE05tQ6Qsh1NYhilQBSOamm5wgbso4I1CTUVAHlL
OMQd1zYVeAr3f7Ypakj/qAp20mBhYaWngaVgQlxLswA+Fk99Grh8DWofVa3li37/+O/sPPnVWHqT
4q59JsGamJVJ4Cq2aRDrc/u1RQGOo7AEMKyWdqSTgMpht1ycXHsueNl+2Rh4CigzmmdywbZqBGzF
AAPLVIGmL54/ZQTWRq+sLi+AMG08e8kZoJmKw06umzssoa1oLBEWiIDK5CnNzhGtBLEh4CjKqsES
5k7HplCKUDz1uWAqKk40ef/QQIuHqcLCOyI1UCcvINakrIGmKrhzLjUYSKqvBFPlihyXvFwJR2cO
TY3myfbeU0yKu0Fq9cpe1jcDh5Wgup6hm+UMOL4poLNV7+kVrJmUlQ1BVSwN2AcTLZRPbSaI4h+O
402DMp7iObp1wCJVZZVgAIFBCZHl6VjX1XVgKSwBl74Day+eozOGwDra5ZC8fjvUSIrBK1RVgfyx
2nuXwi9HICOXe85RGT/NNXT2KFkT4Cjs9QCbaWtd9xQgAOBgBxqzeMrsoyPSgAH2Stmo1w88kNhA
gpLdwdgXT90AUt5n2TYxg3usroAhAjbJKaAbCvYN/BunvvZdR/EcjIu56PyvmP895skyfqZ+oN8u
wuugk6zQCf/0B1XkuSlgEVEWHiNhY+2HAqSoFF26leL/b2u7Q+HkrHxZOT3FexZ/vujg5qtr76p6
VX14FnRiP37qgu4quJMXzbzyBwTo4Bp1wTu6jv12J+nWIl9LENf8aNAGUfLSBXpRfpLU2ZF1TSB8
yIqF4MePKzFC4WWQKiv2zI8zP/JXBS8CH2nJwcB/AmJ/q6ZN1cCvln3FuU+R6pu//MHo7zcXPte5
QU1DhBZiH5V9y4UfR5xPhXUllQGStGzmaX9NcOFtywr+5IdJ12/POp1RpYFilTpQBVQfiCX2ujl+
6be72fY1hPwDzPbP7YDmVw0VLV+4oLJ6uU7b6VO3E8dZTTgs8Vr1wevVcp1GPf+xklO0uvQZZVt9
4/f8ZELScU02IGsHmN63QRgGNTp3Q6XQvXrT67Vx5w+CPphy7bSSVZit0o+U1UiRh73NtCzcFVn5
951k8uZdJwINvdb60g+QlX7pY8wxWJO4NscXsaas9CZ8wUAIr7Z7ebYtLXtYa/HyiERWLrvyEmvw
KngaPgJE+DERSPRJvR+aph1i1v8Tp9Hu7UnlELRAb5Pt1mWQD+O6O4BoElfEub+s8Ls4GIGcUAkq
7Hsp/ACrdzsq5Ma7QHKsPnu9pfgJ6cBuboO9HLJLPxJ6qpq5UBNn3IJOR3YMLn9CIyTZ9vedfjeo
Wvmj5eJ0XrblO7E9FxcAB9gPT0SZTLCB+1JeMBxg3uyDLCM5AHvU+0i+4ZytYGc90QHikbsOVvR5
3ce3l8casvPok9+mHqqaj2KOOuStqTr3W9B58A/dOMRC226PXoNS++J4bYs3l6fxm1Fode267c/q
Ibb4xVO/48dv/wcAAP//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legend>
  </cx:chart>
  <cx:spPr>
    <a:ln>
      <a:noFill/>
    </a:ln>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a:rPr>
            <a:t>Sales by State</a:t>
          </a:r>
        </a:p>
      </cx:txPr>
    </cx:title>
    <cx:plotArea>
      <cx:plotAreaRegion>
        <cx:series layoutId="regionMap" uniqueId="{1C234E2B-11B3-4214-99D0-40E277D75B58}">
          <cx:spPr>
            <a:solidFill>
              <a:schemeClr val="accent3">
                <a:lumMod val="75000"/>
              </a:schemeClr>
            </a:solidFill>
          </cx:spPr>
          <cx:dataPt idx="7">
            <cx:spPr>
              <a:solidFill>
                <a:srgbClr val="9BBB59">
                  <a:lumMod val="50000"/>
                </a:srgbClr>
              </a:solidFill>
            </cx:spPr>
          </cx:dataPt>
          <cx:dataLabels>
            <cx:visibility seriesName="0" categoryName="0" value="1"/>
          </cx:dataLabels>
          <cx:dataId val="0"/>
          <cx:layoutPr>
            <cx:geography cultureLanguage="en-US" cultureRegion="IN" attribution="Powered by Bing">
              <cx:geoCache provider="{E9337A44-BEBE-4D9F-B70C-5C5E7DAFC167}">
                <cx:binary>1Htpc9zGku1fcfjzA137MjF3IqYAdDf3RdT6BUGRFLYCClsBBfz6l5RkX5Oml4nxi3hmaOtGVyNR
pzLz5MnUf96H/7i3j3fDD6Gx7fgf9+FfPxbT1P3HTz+N98VjczceNeX94Eb3ZTq6d81P7suX8v7x
p4fhbinb/CeCMPvpvrgbpsfw43/9J3xb/ujO3P3dVLr22j8O683j6O00/sG1Vy/9cPfQlG1SjtNQ
3k/4Xz+e3g3t3XRX3/34w2M7ldN6u3aP//rx2cd+/OGnl1/2mxv/YMG2yT/AWsyOJEaMMEbQ1x/8
4w/Wtfn3y1IcYSE15pTqrz/051tf3DWw/C9Z9NWeu4eH4XEc4Zm+/v1s6bMHgCv//eMP986309PO
5bCJ//rxuH0o4anL0cXfLsTuyfrji6+P+9PzPf+v/3zxBmzAi3d+BcvL3fqzS79F5XG4s38nJOiI
Ma2klOwlFgwpIhgW36AiL7D4Uzt+B4jv616icPaPQsGU4IE/b8j/3i8IP4Jzrzic/Nf8QsFlpIVg
+gUIf2rG6xh8X/YCAnPzj4IgebRF+TdCoI4Eg7iDxPfz/iI0ySOMOZOA0bfQJH6+9bfQ9KfWvI7E
92UvkEj+Wc5w5dvq7vPP+/G/9waKjhQjmGsin4ckfgTRSCGN5Kvp4c/teB2En9e9QOHK/KP84XA3
rHft35gZiD7CWmHN+HMUxBFliDDE1LdY9cIT/oIdr8Pwy8IXOBz+WXFp7/5GDDA/ooISqon6duT1
cyzYEeJEaEHIt8sA1Teu9i0q/Yktr+PwddELDPb//Y/yhb2v7oa76efN+N+HJEKOhCYCy98hrviI
a4kEpIhXs8NfsOd3sPj5QV7icfKPwuP8DujS3VhMw9/pG/qIcYIU5fo10vRUTCClKWHfPeeFb/xF
m17H5dniF9icH/5R2Fw+lGPxN8JC0BHHFDEGuHz7eRayFDtiRHFGIY1//XkBy5+b8zoiP697Acbl
Pyt53N41pf3h4u7B/32xC+MjhAVGSKlnSEh1xJBEBHGgWb/OGn/NiNdh+PXaF1DcQvn8Dyq0bx/t
XZv/rYwKyyPgTIJr/AIJfYSQVkzz77EKLj8D5K+Y8jt4/HvpSzj2/yg43k4TaGZXw93D41j8vD1/
Q2IXR5pQDpn7WzRC+JmPKAhmQlBO1OuK1F+26nV0Xix/gdDbq38UQu8fx+kH8wg+Y/9GfOgRJAvM
kXxeCyp5pCUwX/YdF/0ijfxFY16H5dniF6C8//+7Knw9wH4LJt+85dkn/of6LdBg8AUO2US+Srn0
U7UimGSv0+DvuurvW/M6HN+XPTP8/7FI+/sC7i/ydgLaePpVF/+VhvvHV78+Hsj1L5Z+j/WvBrNv
e3X88K8fJQNWRUAHJLDHiBBKwSN+Ud+fvvJZzji7e7irfwmUv/sFj3fj9K8fIcxRogA6/ORRQNxA
C17AneGu5IhTDKKYAh2AYgJu1rphKv71I5VH4JSKI8qw1EJJuDQ6//USHBMqFcMIBDXKQTb7pVNx
5eyau/aXffr++ofWN1eubKcRjOGQ/rpvn3uyOyIYTpRE8Bvev7+7gTYIfAz/H2YnV+N6Kg52kc3O
g/HCVN2S61h1TT8bqtvtVEat2ns6jCdo4vLEEVV4M4upuli6LZpMq1beJDLY4R2PMn8xarW+66pG
s7gtVdvthrqprSmXXt80XTVeyxqxEMuqUchQubmyN12eR0PczThLR4oyZ8aqJ/nnWc1Rdzw7x85H
wumJDXi5m7O1/dwVNR/TgVXd3jXt0JiNlzqP7TwKdFhWIT4Na507Q50O635FE0KGWDv3x6OLsiju
14JVie9w1Z9USpTXoZM8j6tt6G+59M0br2RIRO3nLA7rID6StW6uQsBrFIeZ1HM8VJu1O7L2hTCU
F+hjX601NZpGQxnrepI3oS1nZ3hF5/uKR+FEVw07wT7Pb3jE27RXJXlDeOXfo2zgV01UNDeyqcU+
mpg+MNtt+xmFNs0iIbOzmQuarI73Kc1FSIhYIrWb/dB4kxNf3OslAI6RHQudWiJmb5p62U67SNAv
SzaHN6jPt8dyaZrZZHnXf9xIzS61XyucFmOVDXHDqvytZHYOxvtmuio6jS7WqgqL0aHbuPH5Ou9r
W+bBVPm8vJVYRO96XRbWiEWit8rjYjVa9GudlpFFV0oU5HOFl34/bKqPMZnq3ASUj1dNKyJnXNc2
Mm26TJ9WtJ7OqrYYetPToT3Iqi/HY9b0ejA1bqdPDaujIeHMj495k4VbPrtlMSObMmzUFKlYZl6d
u24QYwz+YW0yaUb2dV+N+pJrb/t0Wqs2xFzPrDBrZF15vmwylKZZe8fSam4jumvYJh/bimYsKWzP
s7ir2m5LRU8sjiPdVM5MfOg+bcwWHxDpnBFNGdrLhgc+G/CadYTNsM1y4K30UwwbG3xcsqaE/Zs9
2EnhRiEp+VrccFz0A+y+yD80I82+lFUn15PBkuyxzsR0UFXv8X1nZ9SYYhB43tMm2+BIBT65nRxo
4a5mS/CZ10WbmcxadVwsy3jvRRHSaOh8m6CygdcjGaMzHJWuTmfv9Sfmtq26mopZeMNCxo+rZW3e
9lPOHla+lR9DXmfKDDqTXdKWjY0xcnxXoahmMcPtctwVsnCmqIREpoygs5KQtrcqRq6ecDzr3O9W
jdbOFNuqHvU8CJLUo8apkpZXZg6TvEY+G49nMY+zsY0PbyKrx8964OP7qirQBQvbtuN+nFzSFEEo
0w16vo4iNr5fBs7NwBd3um24380WpKM0qKoTppyzOW2InkoTuYKlpGst7EXj8tJs1dy9X5uxPm1x
zYtUVGKkpsqYO26nPBCDM7oZDqdyMRYtrjAFn7mZKylSMbr5Xm829AZXXup4Wrfp3NZ2vRF6K9TO
Za7LUsvXsO/ziO9xZ9Gx7OqlNQRg/DjoenuYojEXKZnQeo6aKTr3ssjP9cjrwhDH5M3SdOWbeY58
Y+ws8DFaxHZgYzbclGqZL8eciMmQpY2SHBqrH5wrZDpvS7Ebsyy7nTyEnJg2+bar6sWuhuuuTKMJ
+TbemKo+teXiLis78HTsc20qHcKxz4btwa/UqXgtCof3de2oNGJeAXtfdwU1bMm7j53r6o8S52Q5
0RRTF/MgBwMxfHoL6ITZoDXHl7RZxni2U7+eRDwso1nUSPXeqcolWRn5OkYjXTo4q5X7bDkVtxPz
cAh75DUx+dJXn7Bj3QfeL4s2fT84a4hnE98xsZEidnVVt2aSw1buSYe6d2OFq/qGKNdMAAmFoJMj
1ic0ahE5LaoVLckM27+lspyiYES3zuFA7ELZ8YDWkV52fTec51uZlWZp9VonMif6Yuil/RyKvPhS
RINLuhGVtzkZRmu0pZBupK3Vvuqzqoht7mSarbjr4ryV5YG1yOdJ5PpwwuY+FIaumT3xyyy2mM+2
GWPrJneBKjKPCc7HPJlVFq6WrqdbEq1RvZ+bAh3jKfPJLL1lcWgwD7ue0uqMDjjiMXETPaCOFvs5
XA4+bLkpYOChM8M4b2dr1XWpb5qWG9QzVMe9aKrPsq/bFFl6uoRy8aayHlY5sPC6c3J8T61aTqYI
GEecrxMvzFijuTJuQWWST9KdgNtw976p174ybBoPUqj9NNpNmBXbj1YN+nQSDfCHutfMFK22JwVd
cA7uMvQ1jEVkHBkIOy3EIR7tB3xDVbgm2Gmj0Lw9WMgGkKjL6da2Vp3mmwvx2mQqZu043bSZn78w
SD57mk/0hGpxJ4dFJJvX9rAtND+QaRzf0sDpQdVcgutaa82kMHvsS53NsbOzvvIY011tFx/iTaru
BGdTk4q19IdM4603tCyHIVnKKpxttJ/O2tyhRM9ZfW45BPK0Wtq+Mzjkbo2ZwpE3k8BZHRdzhPdj
terKbGVfH28w+nBDKmZPAhy1M6Wm6nTTJTv1hVe9KTs/ftBwzpKRt+perBlpjWhZf8kaq27aBslD
NU0tjlmXZYaEiDxoODBJNuL2uq90bXq7lSxt6pwdEJ+6t6hF5X7xAL/TffGhKWrZmIXU22hKkSOD
ZSUv2lqLe1xOHKWDXlwshqn7NA2ax9vUT7c9Gcf7kOPuSkwinLdDtap4qav8YuSjTKmTxX7hqBxN
ZDs6Aeci8lOz0WqNnbfhrWAlGwxfmvwxK/risskielb5TjaxbcALzdJNGBKo8/7jzFaZyrlXbyJG
ZwQBIMs/SlQXvcnLOXyKRBF9qj0bSlNNVXjX6UrsC9XJS+gw0xMdlvoL2DtcyXxcP+vNl85s3ToC
PSsH25l5UNOtXpemN9W48CqheamIEXxdr1U+qJ1c+fJuY0LsZN82d9CcAKrRjfWSm2nMlslkw9QO
MelpvgeoljOc5xNEhzIbrsuBih7oi6grM20WIhVxYbJp54uhPJFV5N3eT8OQHXfDhPJE6SDszuIC
X4xdx94Tucy5ISOq1105NzM2YVA5NSUZ1GmZy62JHQvjlMyLHopYbWijsSe90HG2LsPHZSqHKhnK
Arm43Gx2XgpCXcInURzDCdFb7Eg53eWFhKS2cIVv6lnC/o/Ks8XkTeUPBKan3jFW9Dddb8faDFAP
3VQr08mM5zyOCJKn5cjVJQ4ePZa4V9bAKWhJCnm3hQBIvF1MrQb+ZrW+LNJyBUpglmEs2jQvt65M
cAQlzJXizZztlpmzg7TEuaSuWacgvbWKJg5SxXxOyrHLDKCQ53HQTu4FntSNtaTrk00vajNOW/al
aiLNk1ZH+K3m0XpXqgg9KGW9P7hlg0xeD8PkgaxWbWt634cutlXVpXacirhgNv9CclfeTFtXxavu
cLkDjrk1hqky3aQbrr1qx2SQA4SodlRitwJrqxIWMEl1oRTEKV8rI8SY3emlJzeoBYqRAuvVUTw0
mts0dCLUwK9t9MX6ZgOO5odjvcGDm23u3S7K2pAOkoKbMMjLCZxsj9O+Qu6O6r4jV9Wc2zSbRTDw
Klw5ZLs1bju3EIO6ISsMnCoSZ01fXGW2Zse0VvlljZpmMKsYJYYKiPSbGeii5ljCV+Zvq5KBTXig
3btukWpMep3ZL86W5Gagdq2B6tQisVnvk6iKtkT6ACAPITpMdJhSkdEujzMEDNCs+YCSvJ2m1G8I
zmJX1txwlHd3hY2G0zpsBAg+3rZDNGH9ZWUyW/dZ1Mhwjqsyup2jGb5FFSM/zqWqoSSDmpPsJ+qz
Ewdn+n61GkjzxnB+A5m7yw0lpT5VmWuPuwnVnQnB0T2KRh/Pvax2EnJImg+kTwUp6mDaSm7HrCoq
EyHpU+2i2fh19OdgNDthlKAPwAP6VNe63dW4pBE4jXVGLtmWGT33Nq5kXiahqv2NYz4aTUOtG03W
2960PSqvJdpsijtd5IYrzU9RQ4BO8TpLicg+A0/VewQ+mUIlP6YgR+efyNBMn1eEODVRibMkX0n9
KR+dvM43PAYD1UF1srjI7reoaeI1n8JtCNnVWkz4I0a2uOblAH5JgmxNJng4Uf28HFhn81Mhuhr2
XZQnqrC6iIMs+d7ViLzvh01CjCqdeGLoDd0VCJW5kYx1jZnyCthsXaLPHELMoQRamtbgOOP50loP
h4hCcTzMDXDXqKymJKebPXbOA4lGTeluXQ6MFyicuBIisDdsc/RYijG6ciOn6SLcuJq8EvNtH3X5
YiDykmORK5XKMBe34HrZx0KQDUJb5jsIj3kJ0cXPujS2Rc1Fu3bFCc0KcTUzIgbTK7WWhgpUn/OI
+kNRFvSiJFtQJmur6nKwfb4mHDVRUiAvj7MmX8ck89X0ZiW2fOutn690lPN78F18hYtBP/ZjMe4G
XWWNEWQtIhMtDL8nkwNWj+vqmPeiOgeVbgoGzaBlNBPEq9J7MhmvmurYtr5IfNs0+0z1jal1FI5J
J7oksyycRhYetpbwJSaL2h4oa+5Eyi317wdIdQXcrbc7hDB8J5rsm4xYdTsVPqrN6jsymq5YxK6v
qy4uKAnnzkUYx0/MhcdMFu0tbnC1E2yurhwjXyQUg5CV+3ock+Cj6WxlQb57Sp/pXNeqvbGBLe8E
JGXAcuud2vnZTQ81C2v8f6A4t13WUnugKwdGY4cQEiQq5822Fvxyg5TiE6srNMZfFbPv4t4zKere
detQ5sX3udlfXv7XrWvg19eJzn+/+TR2++9X+0f3NG4xvvzQ031++dS/p0KfpLpfRkRfSIHfZnd/
Ryf8w4t/UUTUCKZJyB8Jhy9mFb4qhz+v+qYWSmjhSkE1EzCoSxCogj+rhULByBAogohgGBAilIGO
+F0uJE+jvyCCaSGh/Yu5gEXf5ULoGGMMoRAmmwnBWGP2P5EL4Ra/Egslg0FJqTTCGmlMJAjVz0VD
TcpZjDbIFKoEW5htW9f3BRHh23Dvt9neV1RJmHJ6cRslGHlqQUiYvoG5zee3AR1PVEveQuXN6vnT
jEDuUojmg5mnet7nTTdD/+0X+faVGz71CH9zR8Hl17ErKGHVk0W/UkN1s9XKg/CSShx0Y7oGQm/s
QZZbTCtpmzQg9bxRXlaHKVM3fkE6Mj2s+tSuFO9Rr6uTURT0BPczScnmqxO92uUcyvHtDIe6O/8T
e0H//Y29ADnjHAY0JMi3z+2tZFSvS2hlWmeueVjmtY6BAcCfkNx0UkWg4Cy5FE/h1z0MDkGZH9Ty
bs1BNOXesS+59/XbFpjrSR429+WPzSO/PSdKSEqRxKB4w5mE8/jr7QTygbpKrwIIUsfOyw3XIS65
o4kcl+J0rYJ0psWdO7UTDSmKUH6YchJSsFkdisDke7LmzeUailOMu2NURNdQm/DGZLNXhRH9XH+k
DKrQOWPDlXXEffY5rvcg53U3f/wsDKbAfrPVMMJNFbBgpuDv58+iym1Bk6ccGL4tzlY+QF0UAsmT
0KniZBlKEDYaingauXF5aMXiMtC0WqjT2mbihyB0dO1DmD5CxKaRwbg9a+qIfwi43o0jP5dDSRIQ
D4Cz2Si/bKmfjydXFOmQVx873hemzPgHzSd6MUU+btv1EjLifOhW0RzXgxUXuGn7MxZlW2dIsXBI
3EA1dgUIraaC2fTUr4qBAr7Q86FDxYMSQ74Z7Gl3ykW/nU9VQ0FEgGh0OjRoWU1FIj0lbgvVhz/e
y6+O++9mw1P8UBJRGFCRGHQiIV64GVSDoCSMK09BbWsuHarbnasWdKaI2kuKv0TVEi79WoYxboIq
moMf7PJF9Hb4zLp+Ou/zZW5AUyPyeHGg88qoX4RpWyC/EXDVKwdSyGGexzyc5qDHPmi/4De+y9yp
tiH6gGmdn3WbgFrDdiUCTovCmap9tZu8QH9ycCCy/ubggGc+pQQF8zrgCs8PTqdQN8snJxjrfr7I
G+Kzp61lxx2E9atoFXrXY0xMhu12PfQqP6UdRwvUJKo7YBDt3vKRr4/DkqP7P8bhlfiqnrAggIBA
SjxFl19FO5uvzWz5wtNFER7TwX0p5vWYTXWAXs4M43F/FFtf2QaYviAERpKowhDSn9/MQX5YFMhK
6bqO8gNyq3vy4uryj+/ySkB8dpcXXmpVVYKgC+pmDTrOIwJF7Gz1bdSBXtWuuz++1ysRASZGIUdD
RlWUPfXtfr19cCRBZSM9T1tOySmNmu1hE704YwNFNySMEHZbt2joQCHUXuk2G5I/NuCVLdXQttPQ
IYQGIPzzuQEuWnjXF5yndpLzO2iyMBOyTf5JFn6aCH8W+UAcAOLAuYIQDrOAEsY3fv2cBEKuWm0l
0pkPN91I8rhB674q5+sAvE6Xl6GlMQ3LQ1jW2EMZeLlhmxnIJyqp6LIm2vsxngrmrsXYLXuZTxM0
MG5GKO7jei1Q2pW5NcgXxx0LZIWe4zYkzdI/Vnn5jW7+LqV4eT64glEHBrmSYRhbhN7p82fZ2Fb3
Xgwy7SHtxJkvoZhf5zzZhIv+BJ3fbBuoUE+JD8pXAf/fSr04HsUGhF76SKfSivwkW+voAIXjfJoP
rd3RMfMH2Gr9JzcFKvjSqwUMmyEJdAkiqwT57QVcC5k4afCSpbNdbnlZO2gXqmGvs7B8oL0DfRaH
8SbKy+MhXz5K3UINvazkrsoJNhMqToH7mFUqaWgmrkCsQgkEt35fDt3eTm1nxqz8mJHxo5vxvoQe
iVGqHs3YZAQkyempkg7HvJ6ZGeSIrrRYurhvQDUHeSg3EbeRKdGKdgPO+LlyWUhAUjjrSGR3MiyF
0RmJDO2aa98XGgruvAMHulllHUPQP66ZepNr5y83cce67aFF23jZbg2oQpznH6C16y+jviK7pQJZ
PdsqbJpeNSCLy2pvS9EieG2rj+sWYaiTyraIdRjnB2L1sGcFA/m2mSj7GEqidho1t103Xw3Q/Ybn
LKsc32clH1KeQV1cRnnzSXJeblAw8WHH+7pO21J3h2B5E5N1aC5YX9VXOIjMG1L1U4orBjl38ORx
BN3mvGnkuCtxjqEzUi9ZrPGcpdsiZJNkkKU+1WO7pOXYhtaAwtpZ8YZ3pUumHjo8pvWe2Xjri/UU
+oDsOivmPpblmgaKQPcIB1e0255YesjErZ+hrAwsmVYCqgwI0vXib/vZP1bALt+VxNU7urVNqtX8
vin6k7EJ4270IM1lpMfv+qqi13M9cGXWzjXwXRaEEb1p6Hb3143e3oXcq/O5luwwdcNgCp9HFsTB
IGIcTfPlELawx5vlV9Osmod2BNj8oBAzWZF/UfOk9/mWjQfUq+56tAp/AJndvl9Kum8rqMh3IMir
K+ea7jqqrR9MyFHB44b0azJW8/rW5tt0TbPVv+1IpeM+GtbbqMi6feei+iLq+vywhSG6qYFoXfiq
L+IK5jYT3DcS7iy6i2yLfFovAaUedP27KMPDsROOX5ABRMgC0DtsVTNdF95+Hma5fq6ennBBT52M
bL5COdtv7hZhKNJVs1722XqeRXLcV6hajh2u3X2W4eLWITiSPfUlEHCFE9XX+CSSdksm0N9B69ys
cSHn17Jfiou6d1uCuhXHbh3aLwqNYReBbn7SdENz2XL1WPT8Y4tQps2IofsIIm4Z3stRugPLl8is
q7bA6QI1fiy2Y7VUrfFD/n7oxvedXjyI1xwPn63D07tc1eLQ6L7Za7q6FPQAEkPlM54NzcCTQQ/i
UA2d3Q2RylNOwSgYamnfsaGNzkuwKulwBh+u2xuIsOHQN/0CLSwqUvhUvgfB+ywb50fK81PrgoD5
Di1a0yIa4qos4ANRXryZg1bpHOZoV1OlLrOxq1PsIvWG+vXzqLi7sdDzueQeogL44JYwWs7HtuFX
W4fotS8awIR41ybFuPgThscFnGoqdoVelthrGgfiujNZzYWpqShNvhZVzLOteDtBLx3e67ZTBIMS
KXf9GK8coiNn4woJAhQe6NZXd6Nv/dmc8+Wi3DJ7zVe3nE88atIIlH4YGaj2nJUf+6IZd7mo2oRF
oBtOaEjqWc9JiJrqwtUthfmDQO7pUkFPRPUVSLIFSso6769I1OgcNKN6FTvasHc06znEwLyCQYGi
TbCsL58aujd5tp7iZo49HY+3urrN6rqFJ+7qa4oCyMBrSR7QFuxNN1fA9NWysX01Egld/a2tkjCI
ywH+c2rSdsV26AN9gzOYjWgZgeGPbDZS+n27dSChDuRzO/enBeaJZfXntmTQZG9ntl86kG6HCL1x
dZeMRZjPWz5nZ4t3VQ+icDd+mLYGJ12/tNmnHMqz2RRZI3drtU5QXW/D6YSnPCYNTcNY5xd+G1U8
kQXHxUI3EksHsnXUDz72pW4jA80HtoPxqjJ2S3YCtMPtXVXVp45G81WEy35XorY9K5zrTji062+Y
6K+LGq/GWR3dQWvK3W0Dqvc4k+W7rFUsnQIrz6ChQz+A1S4d/f8l78yaJMWxbf2HjtrEKPFyHxh8
jHnKiHzBchQgBBICBPz6u7y6uoa4ldWn087DMbsvZVVZGe4OjqS91/rWDhnddHPd7pOFb/sq1tWn
xCPNyUD5T1mMk3MA8IN1oZPDDC0w02ODdrBdeW5Fr446iGps/ZHJ5SDpdev0tBvBBeEZH+4H77us
oCOkMVntEx9Zl1mv0nc+nPqHWEh+1kO7ntnGmjMNg7UAnlV+6LZkfZ1aqbMECMrDIozZd1GIs7Dy
m304jPVH3kdbpkMLEMJw9qoFpce6SvpTEwgct9V6R2NZ5YsMxB2UnbGguNorJ9boPM42uiqDKSqq
cqZPPq3q+7Yeg+NgHb8KgXEUNGnE9aw4/s0m8w1U969gw5qnKlIUYIugBzyihZnsZ66iate1qBdT
eLPYXZKq8mAvaNT9G4vXow2DAnjUSU+3cBELZePu1rXAv4Re+Jh5Oi4LAvDqOjBxD5+mjr5GtVGv
zO+iDODHy1qGUd5XFMefGed95OYhgQE3NnsaJl1KwlidRmli7GHhsAsZuairjc0YGcwjieaQojBt
k3nHdFQdTcD0jq5hmLae6fMtVHjwy3EgOl+6ODwCctqOHacfeDiyO46fT6eFkPsuadpr2LxfY+t7
BZVDgAq4HbrHbphuiA0OzIbfOz6chNzEXQTPNV/WWebCVc1xhtn5JKDSZyZYXQo56toKXcyizFCo
lbuhVMAjPG+tCnjKya3zkul2HK14vgCGXtq1tbdLwi6uUmbn4Qb8bvnCBuY9KDXSa390+hQIsVwv
y2K/2qgGOzSbqnpyHT4MoWH0LVho8oXXVXeSdd0UfoWf80pO8iHuBg/mtKa78oKtpdgX1k9+YtmV
mu1KUhH0HZxj1j3ojnXHyjTzt9Yt4DeagOgzTIF5b3sd6JR5tfdMStQkTSUTnvcRzusZ8k+fqrik
+9DpEEflZMqnUHvwfDzAP6mFdbxfTRDBDShNrFNT+VtaW7996aNkeR3Y1oocFMYIq7aqyrJopgD8
nemb5EZWct75krg8QDO0YLMh0ZswOIKYLtu32J/YHr4hWVPpgHE5p5LrpDUaHx6OskI90wTFrImx
aWvIdrtICJT5OFh9q9fKXjdz86Di7XPImg+TCqddVa3+aRClOEzT9jptPhb0pgwwGjkcpmDrC1/N
Xcovxw31GdzRZNjMRSJa8k7FJtctn658IB27qpwqmFlNeVKEdSIdgLgd58rtShXkjWqTHU7XOvUC
1avUrl1zJkutX7plO0/l1w3kEHf+08DnT56pjnwVHyNpXyvMiTgoQdS9mSk/WNqxLKSKXbUzl2MO
Ak7lPfXscOEykhsFhzFnUbIdVEsmD1IUgJuGR911Eg3jI7FS5l7PYTSE2p9uZFeLMLVxFH1aXMfr
DB9hujNlJO7bZHksFxUc+rDr3hbY1306OBocIC25b3NTjo+bYma/Lj0pOq3ZoSOr4GmEY+/rNPEZ
4qtXpiKMQbV1gd5jJQMgHIce3n3jDjP1xFvXj146eBMv4l4A7BPJKeikvo8lBJfUS2qTz7bWRxZ1
7oUONQ4dzucA9IWIdBb3G3pW4CZrOpVx/R0/0xXtoDadm5XEOFjjoQqzbbPkJB1vCtT/9pa1wB2L
EFJrMfiJugJKSCIAFj2DG1axfZPQEVtu2AeZV/tk1wGGfSQLQ8PAIBo+g4br39Cw0zMkin4/cD/B
4p6SPRFEpGG53XuNy+ZEdV9HiI67JRjpJ6xhv1gDVx7kxLc7eKhTsbCkRRk8Df0x6Di5plVQNild
BpAqlSlvBxQfRVTJLuu9FjBCyeu8Bmh8VoI/Ayg8+cr2nzcYensKV+gxnEn/uEUBySY9rve1wnZq
VRLfJ4lPP1ZRmzxM0vevfUbLFC8pvly2wo9K9NXjBMgiwh9K7zw0kZ/qhiTPbBvHJyZhtObTWH/B
xtLeVLNbnh1d6yavmex3nrHdR7d2BtdQyUMl+HbVjrW48TZh7udh6U99o4OjFtN4U3sKxCjxxQfQ
M+Wt9kWHBQTtxcW8PisUbB9UUoPfG4AE7VHzAIIyc0gKrpbkYGY2jxeVob6FMji/yBDK4EJWdeqT
2SZp3Dt7Ty1wunbchvXQoV47x+0Yf3Oe8Q3Qwa6+D/Co3hverN3Fv4OlGTH0x1WLbvIgB4iyKQC7
dmca3h2qzjUfrFUDuOCQekVAYRykvYFvnqM4b54nRF1zn69eESoy2JQphcaGC0WvTDVXNySmXeFF
vT7M5TCnJPA02sBquMMx2ewGGLIBVokRWbWCtyZe1z0TULcZb3mUG72VaA678Uay5Z6VHDAQn+V0
0LgEkmquu+/4zzDOXNiitJQrZ8B8iYHXsQgePZAKLjgDAFSEJUDhzCTCPnujB8GUUtR3+N/mC1zD
Bfjh7N96sxrQ3qPguSkHMn+KqrJ56yLSDUXpRSPoqy509UNQVeO+NQGKXbKtkzn3ocXOINYHXCgk
dA3qAE2VCvY41Nf9wmJ1kAGhwYsqS/t99psWrTWUw+7khyoOMzQGkTsnK/iXdCs9tuYAGgaXo5Im
5JZG8cjP3hq3rlii6HVSizrojQcP7RZcXO/arKmCEcpTVPhNj9UeaV6gz3S3o3EGW8G2TUtayjqp
dqpbdD72M4pbtnFdrHZY/SvIeyXN4jqCUcX7BvioM+S4mKi/lkFin+s5ajJHaJw6w9CnEb5833QC
7AS9tzttpFefI0/PO6tbHJHgMLH9UzcHV4qp7YPfhfZ7BR3omm4R+YpLN29T6WyU8lKPJxyF2Abw
3YRdsU6KDzcRF+uN7WOuUz5t7W6OZnoFNUxgP59VCxoyaOvcAFa9rWcA3j2Nmo9oLdEuMmf456YB
rn+BUbsPxuOJLHjgzs1Y8T5zDk52mrhYv1mT9Hmrw/IVlhLW1dzWaPTq/rGbS34FnF3IHeHBZwA/
ReBslYVjCPMEeua+mbeTlG7GzYYElnYbEQ/1ytqnZVrGXUC1OOuKe7cykgTCBwAaBnK6s7u128bj
qoxfaFIDTFF+P3wIABkcGhxfL0KKcsQOX8UNrsSzp2Fr5CdgLl7hXD8esFTF2YBRv9O2IXGKE7Dj
6eJf0gDjMpZdtixraXOwgzgll3m7bgALvjp0w5/9yPAj1FVx9uflm/Xmb4MlzxQtQNo2tXcMPIQF
eB+Eu9BhC+2jbnoZkGk48UQnV00o6m8zUxcCua/XGyhbOBkUCuuUE58BfkXQo9BDbbNt0eSbTVyp
U3hr3xF6AM19eYsuDWM3Jg9LFVYRYJeZShBFNVr7GInINaXBGqbam4MsRF4g7dcSLfj2Eg3DDD9w
c59rojuZzXwZb5eS3c3VGF2P2IMjXFaZ1+NioejIYDrPo9mOgwvHFKvjjeJVYkAgUZijMZH7eFyX
9rJFLPmwbh/5BB0OfJwK39jA3S01LHi1uPQTxzGcQl8cj/C4+gLqUvCC0ykLSQU+qSnX6IZ4i8tQ
yzSpA02bG2+7rjplzkk8zFk5Gv11bRfIbWoi+1Kj1yULcIjAuLHMym5lWc8nrAPiRUeLklakGoeV
S8cFR/Io/WUfDxvZ99S2uRqApKRi8vWN9Um3o+HAjj3zAUZip/MeNR/iL5AymiR3DV9oRprlCDjn
QZVDdef50AUTAviXxVNwXZZTNiKfUqzx2ouM834F7T+NLtv8EKYrd3hiq+Tcz8mrIwF7qbY4Psl1
0JnkmwdpVi15hLP3NDVxcM3nKQYCU5vX2Yubs4rAAKE40IW/zC6rgY2lwIjc9eK4DKElkLVIggpu
XYf+6p6t6IrD2c3ngSX1FzFsOIBbxDmCCDaarEX3rOJIPgkxbQ+ECPYCv75HS1SXqkzDyQQFiOk+
a+MGLErYjfyFE9A4gW79x3HtEvSzdZmhBdJHb7N2p4OAZ4MbmswaOXfAc/GoJOGigJ+iltzjmG5A
HDHqMiKjssqTKhQot9b5I7ZRM6L9jZpklwBp29Jyq8cjXGi+Zas1Wu1szaaH0eP00KK8R9QB8ohD
2+UDXUoiR+7rdm1uTN+XgKDUuK/6oc2di+KrJezMwSErsuNma/JotuiBbBvnQ9nou3rp76wKgmdv
KdNu8D+Ci/qUtAnwtT5GBgQVHxiyalM274Y4G9f2Op7K6CBERR90HwWZ6QJ+Uqtrr2srn7oKuLrX
ztV34/neIxvC8GmSfXmsUYIUxMwgepzEJh27B6ccPUxtJG8WnKQIanWFFc30UJJNPMYbCCI7DvHO
V1CZIegGYLDCaR/FetxNtu9SmCFvEx/omYIr3C+lOs7twPZTiMeoqcbvI7qVr+tGs0CTJZvWaciW
aGMpslOprLU6Ur9vCzN0cs8qC22oZGOPJzwQxRZsFWID026DHxuYDt8xvK4CYPyX0KrtLJwLbjlQ
VsQtZEg1MhXjoYP+tA9LOu0AmhGEt0afF350ay60kxmlRjgqstOuQYIAwCKsZV1Q0575AFpEkyJp
upsZWYA3IJNfJ07EfiKLd1y7EX+bt/H9RIest/GVv40HotHf9QimnAcQxdB+e3gHat9XzX1PIvq5
0pvD1oR22HdqgZw/r2cIYM8SELrQlGUwHjK/riH2zZM+BkN9Fl0TopdY2q/BWNaZDIaP2yaukGAG
rY4Bdj2YdV+oFN6+j+OARDsdoQVCwuzI/NVq0KhG6XQEB5mi9GBnhLtkNmxokON2ZWkfIN3FPdVA
pEQ7EXnJ8rHjSXxWswzzoI/RtE/LDpifzSkTcs7bOvqMGFv4GBvRTYWo/GpIHfHjXbg246FdVx1C
a+mrU0RqJMQC5UVvw+wR8anEH2B5DjpG35t4T0HIavRaM9Q2uc6FxLrVGXrpYgNDl+xgUEDKGOr1
viRh+Wh0MKX1lPTJnnH/mERBLrjxTybyaxiYs3PrYWZb/alkJU5FkM3IGNRe3zyRemtgOXpBlXwS
dYmNGLPXWEZNRcpzXKM/yYSMPfeWJI28TwSLguMlg9Jm6wR/BAZtc9VG85Ztclky0LTQRGOEdiaB
8xDIYnXZT5ElA9RbPzRulo/TGGK3xb7R7YNmg6bpyg45hbiO2RtCPtOntfejr5JJwMxhMoF+T1A3
W/R1yEss7W7bRj/jZvXGQxPhuG8pvmo0gzO6xVKDLuFkeIVQPBSN7wZYmCM7sTiChk9YGiKCgt2q
vYlpv6D/NbdB4x+tAvlK2wEf1N1GON+RPLsNiDjbZiSPoedWmoaiE/cRCpJrPHHVW2kag47YpM4K
esVW7+sQLdOFCdUHxBNruEurSVWTIAWSfJzF/BCZ5TUs7TKmWLhY8QgmHBeJ9+Ji3Ifd0N8kSIlm
8YAHXdUQG0XkXyAbb3rA2Y0QCJdQyZpWK4SvFDrVkYSLSNttVt+2OWqzIQxshrLn2HUI+4ysRM8U
zhSUSQxXSifWPSZ9Nz6LSW/pUgcQqdvI3DQAGGgrr21AysJbmJd7IHvr1PZl+Yp+QdECVJrJmQw2
ZDiD8WPtNVZlQ7wu5220VGRzJBsUvjVsYTPi0FWTwJZ3Ad7BGjciOazUm3IAt4GP/UchNNN20aNx
iYdCC/ppTQnMkah5swL5i3XGjgttdbmu+2jI/XLZXleGrk1lsLKgbMR4WG7jQb065wUX+LYUOzsG
60dNa3mYUB1fh8kYv65m8yB+wdZDSbRFWY9gB71eWkJNyhhuA3gw0uyVFeVtAGnoC3pTdCFbU97U
s+ggVOD+4U6SinlFGXntM1q4OrfDsJernznl0XOYEPgFdpbPajSHYdJuFyn3MloEFmwvnmEg77XH
2aGFlwTcerAZXdehyqMhgsbdkNtAwFLEvlI/jz1rQYxodCYzHrS0jenwvdvqG22YTMN63TN/yDvX
9kWMPFoWQsjPNl5Dga90UfnBnFuQNogC+lrsklX56PFBw8R5GNWf/cmPNKBG7Q4K/ecr7RJoq3Fo
jlHjm6+dhB6bLz4eEFcPSFEhszk/tpHnL5nxRnmQpUTXsG3silVcPftLbIf9BLEuyWgoNnwucMpz
F4v7ysibkU2oLGZdn+CcwHLwVXtYhqRV+UCn3qShctvDttTdAeCZs7lfcR+JH4qwTwc+GdVK07w2
2BW/bN7gZR3gmsdYlzN04kXX52gLsYVFbL4bJWyz2S/RyPU+OQOH12iZkAQ9Dv4cdlkcOXnjUMec
5rUUgH6tDuGmVQsSnlt7iROO1A9zN+KWIy4xvUi7Veg/Nl7U8TzsHfcalHXgnpnGMeiqaB9ZVFAp
mlL/Gh0c4pMDXMU5N2a77/RXC0L+Wy8XZAnYRK7kpeJ1m18/gNfrb4JknrJetc1ds23xAUspuEsg
B72Elc8KnpAo5/PWod+LkBDcrJ9FEgmqsGmwb3W+vALnFKIsQ565LI07Y8ddshm13G7CLr2PA9Dz
az9cnDFTeh9ayA2nEi5QrmVSIQMaxA8TEkzX0uujL17CWJlC1cPhIZslyKcwImnlSJO11eSQqx6D
nFbelGpJxlcEVaJHD8/nfaU9PEoiGKE7bP1DBFQr7eFDZTh5bN5gk4VANYdHahCNSTu51jnSXOqx
VlruJxuPH0yJva6nAQx9B9qfpSttcMWKTNWctZ0HZ0kwkPesr75gRpL/Fs28vl19a3LYiSTzASqm
fRNEGWfJnPlUxLhTbZ81XbCeK8Jx5Ih+xrfjesM/EUfeEHD/JmYWXEdJcIcHCmo91KRMtWNzVxFP
TfnUDJfOIazUcpNssK73Gl3vtO+xeSJ6glTeAY+1QfkYQDJ1ildH5CHEMzPUrpeDaKY5Ii7rgogx
Y0AGtuSqQxj+EDE1fPFB0AfQ3EsWjLeGqPXY0YVlUpJ5yEbXAJ+pxrq8FxCLHvF01R9kp71X5wdt
HjOQ/Yijil3Zl9tt3PVtZtiE/rJcZ9jOrUdfQV2Oz3JDGi3kCimhZvOQI0aoIgM2Jr4lYuO5Lqks
knhbHw1CJVed6tQOp0VbxAyDAbqFavSjdPZhv3i/dMlTtgSdOZMG3Zcv2vYUIR56JGMy2ssZEmRb
y9edDeftBkLLeNwqST5JIeKXwKLQ7tAkHSypLHRYpM6Wuql33hgj2r5MX0li/GPtfES/me/iNqu8
+qrc3HKHJ7JFSR0Ob308N1+CpIWWXontkTF/dumKfkfnK+xjEAw5VOMUfCP+KaGSPK2iTKYM5gZf
MjqP9tFblL0JZW+iG8q7+TSuCKJDo3ZTEaHXOpgaOZNxk/RuDSrMMiCx8g6JVyEHFo9gVDwNVS9p
2FM5B/5NpXsUIh6DaNP6DusZS08jBYJs7NY+V4MCQkKAUG22vyY9eWYd+RYA7XxSmpiHfgrLHemX
+lLV9nMW1vULJcN8u06CPQWLnB/IOvd509w7SK07P2ymV9nH9i7yguWVlNVYNABRzkFf82xCWP4V
28prLNvgeiWX+sApeRPI0D93raX7VlTqToy1zMpoll/nubQ743yKnNNco1Wh2B0AWB3QG9YiM9pH
xAr4R3RsmTV7hO+2NyXMsKaISftfVHBJNFtNSdqiTj43dSTyLoyhy4adym3Mtkzoyc9MeEEjuolj
axL6qHQM3Sce90PAppN2ZZ9Vsee9RkmLcDbHp1KpqZV3D7G1Ps/bGOyg2TZ4Vbbsek3lUUxtcKeZ
sYVKEi8nVcfPSAMDiu2+IwO8ixecGW05LXuU0QgArkFoUqR6aVbapjuYGKpxzMUbr6qvoJS+cait
mYCLXZfebkFUKDM2bvba9N9kLHtMPyD7DgHEVCFYpeWKMQJqvhKDuHKsf1mQ3uDLxvIF8beUeCuF
b1wVWLLZ5IX5XDPv2M76cbXeAcRQxuhcHTC1oM0iV4NAgCs0pm6BkYUgH9RfSzH8gRw2ak5tEB6m
Zr0KDdTvFVPAHyB1hQfLl2YXInxSwnHHbG64+81HhqjGjjDRXHNWy0cf/tdT1KFj7LcaUrhCCPy/
tp6iboR1XzA5ik+kqsJrtMB0t3Eh952t7fMvPOP/x1kQD/OkQW3+xsn+PyNkzn8a8X0Jgvz6I7/G
QNg/0LGBMvUwWQ4svQcG9dehMeE/OAcCg4GYqOVBUgMv/DUG4vn/YJR7DEBowFmMc/O3GAj/B2gu
ivHKl9hGgmRF/J/EQPz4ksD4I8iNIcExgiYApWgYBxhL9GecMpka4iTmxxRBeYkJ9j2Emj5u66xC
LuWqw5wBxAYn/xzDCj1A1B+PvRokHAqV6Gts9+OH0IW0wgCZqnmN9eCiDKxsf2xLL8ZK4hIUIgJL
3U7gDL+l1RhzjIuIXX01RKb/Em7RdLYdS4bTRGOIHlNfT/NOoFeqs3CrYlmMJKHwsWrdoG8KaYzF
2IqvnY4wsIbPmNeT86AZIBm2AXLHmAywdGdHJHumqCKB83nVchVttDxvFhwKInY0/mA2538omc+f
bEXcbb+NqO5m2IQIcFNxmpEruVRFlYUQ2E7JyffkdgOSr1tSNBD1mKK4DOeTjzAnLdBnDuQUr5X/
SDtku3ZSJnULB3KDlCKFB4kYgWsGjkhWS3lbMTttsPU2DHToVRjDJjeudbfxDJTwCjjPaGGPhEOb
6V6GDPM5vAXQAhMDUA3IMN+NW/orfyK1LWi9Dlf92tAIqKANwgxT2tBOh65ZH1F2qgC2h19Xu3Fc
2hGTfMZLhZMQsOlgOuUXSfpNH1dvavt8tRJvEIqYvyIc3txKUiYHfDPhE4X5fVjLcr0p+zUB6jLj
BK2TZlgKa2n/jLjFdJnLoZZyH4tBnuAAoS8M4f29oKRg99LQ+AtdeFAXGBMRqRSDQnBrOKxCNPhN
3BZTZP0PZqqnD1xE4bxzbQiOiFNFJwgWzJwbNXWPKM0gPTbcYHoBQujEHUPMy1mRpBVLjsN74QiC
0lkV0xQgB63C/hAJU99bFQJqnb0GuXlaXaKIlQ/lWUJovmkg/50TgSpLIMb6LewqC3JriwbEZecE
pqMtt+QIZ7VZcxPVfplPMCbw97z4I2owKC8qpgHI1i2BchWrUIc7R/0tOqwLQRx1neqS5lMcokeY
5om9mU5AF6JBbE+Wb4vMQw32B+lIjekyMO+n77G3AfPES3QlmmONUhmFs5tTn5tpV3rQX3Y06Mp7
NUMB8PUq3U4uuDC0JwnQjxXBSwgL/jhcmTaWX6cL33PkikAMKKNpyGNkPpEoQaXLJZKxo3pMkhrw
E5s4ovCo2XziYyjP0LxoAAUgoJeimwbHYBHFiT5T3yR4HGMoWsw1B2pp89L5DjhIt14mdITblUhs
e16r2d+ZxS9NBjKWuesVRoJ37w11/zK4ABMZQNl4aHZRrwWjbk4hHPNHUTXF2FoMKWpKz25HNVz0
SNlE13RCswttsaMObwBcNqXoEPXnABrnlY/Ae5JJjefkRPxSri9RyM1lRNQ6gzQK1iWWu3mCzDOk
w9wgo6oaWX8uiake3NTFn5HKRFVJxQj0wq1tt93WsvXWzMOSmXZJpGOaOy7gNqdJMgb8iIEx04b+
fVq3a0JI8zKuIxp1E4zRtJuWcHVNGlX+xBCjXrHNp6WtOOgbyfodJ8Z86hd9RkIdUAKVYIvQFiMr
GGQ6msIMTDKuNv2vSCcrnfRkCqkWfWf9ecRMGi3/mYP4nz62r//1K1feZzi//CHC+X/+9wU9v/zx
F5f8a+riLye1h4P1x0f7nybx/fb3/3muJwxj9pHHjCLE02KMdvvtXP9nvBND4SkSfRwJBeD7v57r
/5wGh9GmyD1Cz/tlgtyv8c74HywGEIhYlY9kQwyT6z851y+n9u+n+q+z4JAofJdYsOVS9jBo4kPl
5Ul0a+f/KAL0++u+rxJ+Mi76o4/9LtPR/BaCxOiwYXhw8UbF038jzvjnYMXvH/9divH3UGjiR3a7
155KIE4HTeSlFCyVn4aYE1P+m3DRjy7mXXrj98zrgh44wLyJS961X2P+8Q/P4t0/v80/Tvz7czrl
94t5l6l9F8n0PBeqR0dR/l+tfOyWPYGRgplO/40A5V8/VPySovpDyOz3+NvcJmw59dUE7zS0wHCK
v7+iP8exfruiywTmP77B78FMJy1zqKSC0s+0tH51haFajX/tTRJgibEGhnFK2xDjwmhXzcPh79//
B9/YLzXyHy6wxSAYb10aBhAa4SYxetAIRcDF179/ee/Ptfbv1/cu5aV/C0tibCBgyn9lJLWEDY4T
45co5LQyctU7ZF+LCQNWODpLwX2F34Hy2/71F8/MD67wfSr6L3KCDM3oz90+/m7T+clc4I8++uXP
//jl/EUesINdNmU/d2febT0/mcD70Yd/t/H8HjAce7JtBV2g9uWx7nv2kx//3Wbj/5bsWzDoBBNx
LpM8UmOwUvO/vz8/2Drjd2tTJTPmLkGe2qvWmvIBgJuZXgKzJRSDxqqE3WOQaRAf//7NfnS73m1t
frOSrrca6ku/svgO+kQ1vqhxJN9/6vXZu53MIgFA3RJxxHw8VawiJMAva2mHf/NtXJ74vzh+2bub
laBfayd/LffIu2xqBxFPz0XrVg+wVo1k2k++zbv9JAj7kjtN2B7UqQ8rP+47CjjHw4xEXY9u+bl1
zS6PxB9WngElVwaL4nuNCWRPEtbkbQex4unvv4sf3at3u4aTC/cQvUqQGlpqjHfCQKUrEaIM/iAj
jikDf/8uP3ii3o9XqLjQUCA03w9tuB4R8KW3ifAg7f3cywd/vkV9Wa8UNyfeTwxWTEqbJXyLN2A/
P/fy77aPaWY9g34U7+cW38DYClVgnBHTP/np320eUx10K0gcvg9hYeI7WDnITQu0d/vJN3i3njFO
JzIYO8v3iacMpj95oLiLAeOd3N1P3aBLEf7HRxQkR2A9siArYqv6BXOx7N1SCwChP/fy7xYaWwf8
KjQaMThB4Vgfxi1YkrSSFxTo597g3RJb6tXASAQHJK3QIVAEf+Zpg4k//+5svuw8f7EjvR8QgDEh
girQcHsY0AgGNCKANaXINscnMZZKFovw1+61VTz4OHXCdf9mJ/9RzfNeV2wXUTLQ+dgK2//L2Zk1
2YlrWfgXEQGSQPDKGcjZTme6PLwQZVeZQYhBIED69b2O+0a0U9fp7NCrw6Gj3GhrXPtbABPd1MFc
onbC4h2yOaV474LerF9aux4aVGhJXGDYih8TKC+HpzVcEu0ZYCdBTZmAX4errELyQB9ps+HWnUN0
/efPF10y5XfhJS/HX7wuewNleVbQ0CoIJKNyXSD+sLa7GjPKzbtqlsOPMWCbvGI27eOHHbCgHgr8
NG0/p4LE8RtdeWWiS5xcTvs2BmCuYcXIy5keEpv9O+77NvnNo7GTaDpSSdq2KJC9VHl9ibH8PMwh
Kib/HMdXOv8Tbf7rSkOh5goCnhVxh5MMnlFSaXPdKDO/MQxeSYPYSeQZKtiYAM9YLGYryXXKlAq/
7XjHVkfItICz6xsNohpBFXH1fZSXl3e/v8xJcAoSG76ySookLUH5HkG7lLgTZIHnFBs7y+j/4RD0
FEen/y8J4bUPc/n3Xz5MUuLqvZ12W8waOiXbo/ohUWP7xiTxWutOcsKNpw527CWLljQoCVigtSih
4/AcVE5u4lgypFEzoH4e58YcQoZPfcXe2um91nUn3aJk7NmOgvWi4ma51wbg1lM31VHrOW6clbNu
9TJSiLOLoJTZNQTr4ljSlBVeo/InKemXz0rHNR4XgdaXkrDDRvkF/hC9Rep4JTbskoS/tJ72xKYg
laLvC2rPIEdfc+jImd9E5yJTWjyYh1s522KKmu48Z/1Fgcbs+c+RuaTNbyZ05uQrLshr0MiDrdiC
+F+QWVCNCJoOoMbLxhPPv8BJWQrdSd+KcisoytM+ZMvQniI2iDc4Oq9F//Lvv0QfeA/KNptsxcDi
5BpwS31ErZPndMOclI0W2ZWpbXVRzR27bTrJ78e98+y6k7FYSVEAH9GlQCloGUF/TCBxr3eUPf/5
474WGidp47KaBUqWUMPSN/sNXsSXO12WnWdSOSkLnF6wRqBVnpWutvmJbmHavUO9IFTNXt2nzhoM
0uk6VSvgagB1WLx1xF8MdLFvDPxXYuPC0eIWrgBpCuz+1NVRTmcNFEyWac+uO+svHVtGyjZdEfng
iwLQBHUPe+n3WamTswIUgiCYk/90nQEqBgkl3m/9ou5mawy6aVpH6ynbcGlMLq3P/oG5fI5fshV4
dpQ1oxbptLcAv+IBTgNNjEoVv7472VqzOB3w8o/WGQFBnXXnqqk8r54uvMwXXQd7Om0qNI6HMFl0
eMLH0SjZ/fYGl0eUX1vfF8pLlAGup3gpUc4YrajUGMvFb3n9ibf7JeyyHkk/oJrz1ENuiXfT5l8N
wZxf1ImTp7MFkH2oITCTAo+UCYu/BOtMPBt3FtewjBXUysFyguywh+K3Ac0EelSv8fKTI/ZLWKb5
gt0GEgMqswyi/BYlRFoR7tm6k6eojAeyCkDCE890dD/jeeR9yavO74nKZbntmqHMEi0XkAxDkGp7
0PKOAUxl/sO7xRsmTKfe/+8m4Nd3l1dmSOKkKpnAE9VjtRaGwawItbxjXIwbWb77xd7JVdCUiRp2
iZW1nDvYDM3RcRYo3fVrnbxMJ63KkYIVooslo1+jljwC4/Ho17SbqbNppTHBUjR18IDp8YshULL7
te2sqVnTSB71fCnarU6Puo6fB3BS/SaBizLr1ymmFzM0k6nWRdBAu9e10LaTKfTr+U9O7S+phGfh
bYQeH2SEbv+nMYBSx/LWKyiRs5imzQYtcBuYAs3OMHAgM6qr4IJS+U29kZOnACNB2M/UUsC4NvzM
FswDkF/ZyG+nETkLqp46EnbloAs5KHscdv6tboC98ouNk6QgJEx8bRQq74wyBwknHnigvPXy+soM
cBEP/DpgMvBkmjFAwSK837L7dK6i+y4ox09+XXdSlCxQ7CyA0BZgnsFvRm6fedp4flInRy0bwEiv
hS5UjJqWKN2/dFPqdwf78wbwl5EO+d8Oxhvahkz8mWlzD9rWG5TkVwIeOhkKRBSKNuAVc4LSJ0Cx
Y3nXWGA0vOIdOispSgBGbgMSnOAm+E4a/iVVpvObWkInRVGOvGI2R0y6un8cqgEImNqz2052snEz
dMel92mw65XayC2L/VbQ0EnM0cB6ZBhxtktkdZcOe9Gr8g0S6Wsf0knLplv2Wmt0epQfLWpgWv6X
30d0UhI8ezVagY/IavFN7dljahO/eSp08lEDTb2bDbp1A3uqZ2sWUgBUNB/9Ou5kJPR7e9822VIA
JgHOcy+usjL77Ne2s2rCYGkGxTgMTgBbQkcQgrOZUb+FDUXrLydBDOxp6kIsyXUDg5N4ZsExy1BJ
49N1ljlJmc4rB2RiDU5T8gTLrhRKDL+GnYyECdjEwNlcCoCJIDqlqACOpuTZr3EnJ0EArIzpy/kE
FNzV1uHxfaIw3PBr3ElLpXUogg6Np0BvUj1+b5hRnlFx8hJupga4zgwmnJK+j9H2rlfftp3UjFB2
R+ke4dqY0PBOg/l0A6JX4hkVJztrFB112M9ioMQoBLFh+7FLaq8NFsuc3NwzzTYA35YC5LSlRYFj
mQxHgh1Q4zW1AGb8MofGTbISeqOlqNiI6rT1Ex4fPnqNFleshWLAUCUUcdG6AkJIo8YYQHzutY/A
hdDLjqt65biP3tHxfX+vh/Bmh9uO31hMnQxtJQ9hikLnIhX0voM/BSqdOfGLuCuA0pWC5lJDPRuO
3SN4nodW1V6bFObKnxQASaaici4IiX/WBatDxNoffp/TSVCDF4U5lcsMBUDypZr3m4bHT35NO/m5
q6UUKQkUCo1gAtYNfALPBk5bfq07+TnAXywDuEsVeEJCebAdHjiFn5Bf406CanjriDraVDFAn3Ix
HVLBLYhq5oNf8056AveCWZFpfNHV/AMrtMd9Tr95Ne0qkBYsPPUIjE0hkurDPsIRQ0q/ceiKj8Bs
EknbMVXApAzcya0ix6Drv/v120nOxqIgR+1iLrIaABxmHmT61rbzso7995MLPHNezilbgPvgdeSq
QJEdnIsUh2UTsJE7KkOINge//juLaCwA4BYACgAgTr92NfsUjOLZr2knRfdwAKCGlwr5v8KzYkYJ
RrQyv6c61IO9jE5FaviGUYKOw9hKrqBpofb9L7+eOzla79OImp96LgAKYRs4Mhr8qT7tauG3SHMn
T1ldValOOwzJHdAfSZ6bye8sDuPzl3EBbGXCgRlNlyZ7XMLmXUkTr2coFLA6TacG1nyrUQUtJSmC
lCyPUYWCNa+gu4JKwtcwBkMVHQ+tyY2aCtBe/BRdLHHSFBVYAYA0tSr6dQTkb+Wo9638bodR9fAy
LotiWjMQKwtMj7erIbddvPvlkCtTyraqQ2l9pQpeopKbo7o4A2/Ab7VwpUgZRkm4E6GKaFjf02i6
U+Hi2W8nO1WD1wmYuE/FnKSfmkg9dmLyOsSxixPYr5dN5c7gCzu2qkgQmTyDSjyfjEz95kNXLrTQ
dgpaIJDwblNPB0XEI3wu/Lagrpwe7PXa9HE4FVVDwU/acFFx0mGQ+AXGlSK1bQbZWGuQN4CcgD6c
JB+6JrR+X9SVIq1tnJQQw02FzeDRGc3sASup3+s5c2VIOuhR6rcPGC5DxgD/A5RCzKiBz1bhdYeD
F/6Xowb6WTD09h6xr+qNH3pcnhVlySa/dwS4lr1s3wiAfcE1HosUJOHpsG6j/KEzvnkeGmP2sv1I
kpChQHUsVA3zRwn8fo4IxWevufdSVv1rTnG+77CpDkEv6RJyCMGwOVCcfv3mmdjJ2KVDFckMvGwx
Mxjk5JEl4m9hdqBA/XrvrKZ7oxK17YgNuGlgXi3y495Ffmte7C6nZNgArdaIew/PKjOHM2pwh/rK
q+eu3gi4dGpGcGVR0xnbT+EA2jaDc7fwC4wrOIIX2BgTg88Kh6ZpPqOOlbI8LgdQYPz67yyreIwT
Qz+uiDydt2t1YUBPnd/dPHMlR1zAASVZFPjYbHlqqvlxE8uTX7+dbIW9xEa7rpoK3mdf4WQV5TVj
b4lfLyn5m307c1J1wpV5CiLIWFDVpl85HhWutJCr55BxUhWEzN1YGg8FMhU4C0hfQAUL+MkvME6q
KtBSlrFD6/FqNExBxhvRv6Vi+rkF/V1gnDydmh3yupQMxZoAZwvYVd9isuEN+IIVfEHElRzN9qTl
3F0DkxMkxVLDA+YZJW58es+yeFZPGZfJlcC75HDVCjBWct4By/VQ7VOK2n3L2kl9BPwJLoKhmXoQ
cus6mEC7WuFAGMW4awcuX4NI10W4JTskeKXer/UUpG1BOOiz1yXM+lDbHOI24XMAZa85R7Sd+ZHy
HW3CzmGx5wp+JjOq7WCCeZaE7PY4r5L2X3fOWPl+YUnQfpujGFYWKbBDa6F2/L3HcbHxqQ3XOD30
HNiEQ2IAW7uqoqHK7pK0R+FWOFnyRNJsA7krUddjMytbhEMGlNAmO7jQrIpV8WnlG8DfcVev7FAB
fDdgP5tlBpjEhvJcDo2KboE2abNrcK4WWPcg2tshpmK9tvBgflD9GrIjC9f1gqpVpX3qonbgfrsQ
V/0ygaUAfXs2wKVCw9aEtHe1rfyqVmBA9nKdCvGnoXx9HAoDQ6AL3n9rix2+1Z67P+bM9nJnOhEa
3isJ4F1A2QU5qWjmN1m6MjXKSoNdcDfCekX+WzLxBKcWz6CnL+MCn/l97wj6HeuymLPuBlw+v5tN
6kzx8QpZDWifY0GyDLDwAK6fWRcNnjFxtmUqrGgi8OJYVASk5F1MP5JW+e1YqTPJtysQaD0P4Q8A
0+kHlH81V+A0Sr95mDqzfJ00oe5JMhcAe7A7hs036gr08sVrHnbN/BQ4ces6rkMh0gq0bUB/8RLR
A0bu17wzzqO+iWxA8VGTSsb7icy9tjlYsGI6ev2AK/VaYJBVBvUyFHio+gE3FKBdZ7+SC0acwT7q
Ta2T4UNRh6Av58vM9+5As5b88Ou7M+LXeLJ0BUwbLP/MpjkfJlDPcdsBbqTfDziDfgPPNQr3ChsE
eFqDGLIBddHA79avdWfYj3wrAZDFEo43GrBbAW85jAEoJH6tO8Me/hYGtjv9gEpUYO8SugJPmEww
5PA7fxNnewMsWQUh04CZrNf8pgaT6yvOtMbvKpiQl/Mk3+UECDb2q7jK2q9LVuqChwv3HPTO6gQi
oQboHBN828jqMG9TletFSs9R4+asiuAhgHNyEZie/ltDbf6vlVr6KT/hIfoyNCBx9W3dCphnJ3wN
rkXWR4ewBHz8jbfDVwrfmCv8Qj1oWSZd2he2i6h6HkWzwqaU92Q8bvC2fEZF2EMQZF17xC5OALCc
4TB6hgMNzCa8xq6rD0MhbRLqFvvPzUx1CiBvCwCFrHsY//n9gJPY4B1ZnFkuM1O5ROWtbCqwE8xk
QP/1+wEnt22oFUpSCRjRNGpEvm/txvJWMABg/X7ASe8EFk+qJ/gBowlky1Z/gnr/u1/bTmp3izRL
pm1fjKqfD3tFf9gl9u24k9kVoMbzLLgssLc9d0TcEDL7XQH8rHH8RcclA5i3byCIFAtb54MIGJ4a
gOn1C4qT1UvdqSoCOKwotUpPuiZVLmEL5zdeXJ3YxgFF7PFF4XC7B99ku9HvKsBy49V3Vyg2t6yH
kwp49diuPPDV3nZT9QbL5TLefnNUdHVi1Y53xkQNfTHvpL6JOpVe2PWb3yIWOnm6iaSBXxCVBYxq
wcNv03S6qbmGYa5fYJw0Zdk+UPDyZAF3rvYwZemVYJHxS9HQSVE19hVYrk1fZKze7mYlQcVa2vXx
z12/dPF3gXeSNNvA1d8irO+dZRN2zeFcZacujGAgCXeQof/x55/5/felLo8JeI4SDj+qK6zi33BQ
v5e8/uTXtBMfsN3xNIhyLFQIDnANm2a9/rvRye8lCSDbl+tkg71yX5c9XDTHtMTtzpxew4JEe6UU
BezqxUXsQFq9W4XOl1WNM35EQO0Wu990APzmy9ZBOOYmBlmtiLYlMuBe4/EXaOi+Xb0Oi2AAvPyB
dIW3D7YRXRHViTnCeiV8P6B4ymuuxAX0y9ZN0uBEDgOqYxVVcE9rwyh8IARcOK/eM1fYmJqkBDWz
GopQg7uXYxTBXVMEIdygfIYmjNFe/gESZMppzRpMmDGB40P4oYpKr4HDQifyQJIsaajQd1z5xsdG
4X3Jahgr+XScutrGHjNkICBVPUVclR9WE4xPfR37ldgB9fYyLF3TRzokM7jiuGR/HCWNi6WJU6+g
08w5zo248grhp4yErS8ee1P6GMCyyjMwzkqizdIbbZoOshVwxQ6oiJ2+wIMV/iR/DvzPy4r/no9B
xX0Zm4RRWAokGrPZBRD6boqiXl81Yp3UGQcxTc5g6SUzCJwd2KeBwangbuTtJL8QeN2Afk/sNWeB
ieFRUGrgD0wgxDvZxzs5yGkyzcFWdWm/DaVp9LkfseYedNzu3+HOzG7XsV1uTFOvZ1pqOOhZQCrg
9imBsnyuI9S3PIoLSOK5b9IR1kKawwE+lGo71CGUnw/tWAf2iP89N/eUlMP6/c9BeWXxcAVx0DVO
5FKQfKrKqH1Y4cJ4RxpS+S2w1JXEwVM9HnA7Kgqyh/8mZHrMouq9X8+djQHOmkYGySYKaqGz7Qi7
JsP8FuniMuZ+N1SchU/rQFZ23kUxjYBpwOTYwhAvM1A9AN6/ZhXInAk8Wvz+EmcZjKYsThgcTopg
DJITE3CGtGNXffRrnbwc9bUpNc6IVBTrwOpjUNpPS0veitMl2L+LkzMLR2HVaKE07N463TxBVc3e
pXW1/723UfDGHcxrP+HMxvCs5xUZJ3GadyoAZl4mNTX5qnDZDrQ/KtreOFS/8sld1RzkCZVekw4m
CM0ixFnHewR1WNCdGmlT+AGtns9O1BXRVTXuTkrVIWg9CSB0Sz5hIvLcU3Fnig4AHMFFABy8IjzH
LXQ7LzT68OeR9MqXcEV0nELLaVGDezHN5Mt11s3xeUgzvPsn1dqFXuqCn8TyX9/PAVPmSdPwAJiO
mX9GrXv1OZu4X2krdVlds8mmBjzrtuA8Xs7QXIOZW0d+hxXqCunWBleRVEd10bCUncfVgB6eNV7n
OMqdRA6TMeo63pXHaG1uwpLmbEg8Y+6ksaFhNw8LmraWncpsOsuGeJ0PqauhMyCVNXMmyqNoyC2P
g9sp8bvFo66GDrLCkGOslMex3aabdp6XIojp058H+ysLoyuhK2FztRoaYLBH1XwaR8Vyk3Xs7Ne6
k6VhJlQZh0FT8GYeb6F6/TRVxg8OS10NXZXwKlgJ/DE6Q7qzzhZYIE2dnxSVujK6wOx4N5SqKZq2
hTN5nd4FXM0nv7g46+7ehpOe6ZAdF8ma/UzI9nFUQvhdKtLEWWnrIVumjvXZsV+nB3j5FK0a/BZx
V0pn6n2vZIWNVLcAVN/rPoRxTfzGzPvaYHTyc4U636LCD0k0r7B+zNRhTEAU9ou5s8BaQHrmdRkb
VC1Jc+jhGgNjE9VnfoI0AKlfbkAyaVBzIeBhnbIBnqMpPEdvB/jS+dVBUldNp5O+7PlEsyMMv/Ds
+QgVwBuRiV6Ju6ulY4mNAKeq6iIyAV1vw0bGKDCqANt8BilpKJo4szTn0yphtYvbte0AV8t4BcJy
TMx50lk4newYVeRvyWOyFiXsCbjXDTxll1X6l6vUDoB4S9N4PjV8V+cYNrgHHCz93tWoK7yh8ISy
nYA9Ft1kDZXF8oySyv2NuL4SVhfwo7cJmBxu5pPhkc1FKNQBZozPXsOZkZdxiYVOAjqt88lKIBq2
xfwIVe1XP0SZk4iBhZF62VE4b0Ixf8y2uj6EBOVbfl13MxHS57JZMZnykXyDCe2TrIlfSSV1FRO1
xIl9GJmGE4AK830k5aksIZ3x6rkrCd2DKQIEZrlcJ6mlum5omOpTPYu5P/r9gDPa+6aBqUtUwxBJ
1QlWS9PC2aSOk4h+9/uBy1j9JZ3UIrRdy1Gf9ACrQ5my7ThmzOvZg7qaUJwfYjpSqU/RBUK3xROw
AYx7if2pKwkd+crmckHjqwbpu5vhSzV0xE9wSmNnxLNaA82g4TVL2gie2iKCWW3fffMLujPgBwHn
ovBiCrSSWsKgG96E085Cv02WqwitIHwOWUCX0wCZVz4IVcFohC5/efXdFYSybRxplMBZM8jwBMeE
rU6Nif0C4wLoGrVFA1QBywlEU/K+l7v4loSW++3JXTWojettWjSmSBi3djBO0cATsfItBM8rx0SX
8tVFYiJigGldUsK3932tZSPhzUY6mIGqEaugV/xdMRWs8koWtZjQYpIGx5XE1aHftZ+YCp5VL6eD
sYb19ZKg9arqYS0JJRUMhc0/fl13JjPR4gtAz6hO4z6aQyOn9jjL0m+uccVU2cjCRcaxOq0CJlcS
rqc5CMPWb7JxxVRG4rhhFayPl9p252gWH23Uxp6f1Fm6bS3h9Ym7ntOY1hy2mTtcQhuY6fhF3ZnJ
em74wlPYuAYyUIfWjj28640fuQkV0C8HTMlYp2D+NJ4auPscbCxhXwa0vN/y52rAdGRw5ayq9Ny2
vX224bj/1cJe12/1dlVgJYXNsYZY+RSrCPUolzl+JNFbd4SXFfQ3d4Qu8AsON7iuNll2ZgGuztfg
+9D1z16flDhZKiISlTC44GdwvsoO5moQ+C31Pn/2a97J06gb6GBDlZ3jUfbQsLZ7Ut8lUdenfrnq
4r7GOdXYOI3ZOZujvM3ITRd6Ln6u+AsgrmmBVXh2lgxb4YseovcTJFJX+QUDhaas+ZSd7QV9JLaI
HWDztfmlKXHStA27erFmYEdQuK56Nb4PEz+aICVOjoYxREVUSnZMIH9o++CO9c2j11D5L8kXMEK1
oj0s1RIto4KNHequ603qj37tO29XsOmd2k7Dk50N0Q7GOZvZzaVU7y2e4OXi6TdJ6uq5mkCMLN3K
5AwT2flqKddVPsw8rKoT6lR5eV1Ju9X3iy3/H4frn6eD3/2ok77ckLJf26nDSWGH7eEh6pqOjCch
kHXduS530eXTIDcsYT2dsLbvrVE9vx66ManlGQfrVkj404vVXNelCcq/Kd0gu+tDSFpFTltjty3H
gWec7kQCX+n7dS63KLneA8YnkSvbVUGThzRrKOx/Fz7iUARjyhHG39k0VH+PqpY6ypngjbymVgD3
fDQ40PPqaKZ1UwdhaLs/ASG3rU0eC4kanrw3zT73eZTpIGF5ZsBuF1fRKGBPnEvcWS4yR11Bp9HB
mQ/9x5FI7B1b3qY/5Cjxz0pPbD0mkPvSXCNC4rCuG2kKa/QO1yUR0rn/e8ClLdf5rqIw2vIY/sv1
l75hIvsuYRcn4Upv7KBkDtpXa2BUX6dXo5Vmz3tAo+bDtjVzJI4chZPlyeLJhpxgabfPhzLFSMsO
a7IZeF+S1cbhbZSuSXZuYm0l6sKmwVwB498feDKuyX0bahj7hQ3d6KHmyYRdWCrTYyoBwM33qUqm
HvrNdqir45LhiAVPxBimggN6NvWK5ylJOOpG1qYoGce2EXNJAoM9fK2hbnKVYmeXZ1EAX3cte/J1
WmRy3Izd+XfdWEPPoxpi8WAVSZO/6olw/kCXktI7W9apro6dRY0KO2ebjkBEsAnX3T0qNFJ8r7Fp
RnSuCm1W6XMIqjF2YzIcrLgyCd23b1Mqm6E6wOSb19ccFUjZc7Tz/eLE3bOen6o0uGAgO931W4Aq
FgvRFgg6HB6MJ4NvOQzXJMZFGqzdBbxLcxj/ZudE1PDkTPZNKhxgTTCvl53lOt+GehanTWGOekiG
SrfP+06qPsVwGIg+w4h83g9DVTMCSmxt4P25wuzvS7rQfrjNdotLoDoO9a7ybVxwmQ9f1JgT7KCW
hcLyD/6vtH2MRKqSMwArYr+Fn2KEW+1wAVvN4pl5WSvUboUG5ulQciaArIWd/ka6ADUzauVsfOKx
jNJjXc5x+w33IOnFMxsGmOtxbuNhfhAaHunPkGdN8twajjKhbAiH+MbGAWzlo3oT9p+m7+BQfWQq
GNjDhKStT/1YG3I9yqidPtWBTEOC6U1USZxzybLxIVxgFf6NtWWZmrysMlkV27au8U2oGjZ8brfE
xAcw70NUo1cbjTKgneOk+14uWyUquNSL9FtMk2n8hOpyWx/wuoS1C6USg7mHqg8eoBMZAvZ9aNUK
L0iYXZpnYcMoOow1Mul7yzDMrypB7MOShdUZ3pRp+y5VsKc8hWkz1h8meK7a9xtqJAh8qwm4Aenx
QiJOrudt6fsfAi839W2bTNQUw9B2ZTGRLFK3eoL57qFllJEvaUJY9k+0ifIBJeTBDZ6R7HdUh0gY
bsMDuwIgKDjujU23G5g8rPYK8CD6ucsalh3HDpWOj9zUXf8QVWUTXW9wuDUnGE+2+1VmVJgUPNlF
+ClMSlF+qKesGg+jWQIwEdswm1GHIhMY+cGdNlb3c2iX8JqOydh9hLNGObzTccbrc1iLgR+XvV0x
d25xquoz9NORup+yNfnegQnQH0rc0mzv6j1UmErqYd9OSTwsqjqGeK1ab0ULwPG5rPSICpWAr9Vz
nc4Zu5bjOCb5UgYq+VbXWTseqn4WS5unfVSGMAdidL+eOzkvxwXm4sFxmXsS5X1nt/ELXTL04BiH
VQSc4Y5eNEE1q7zdg7k/9RckTw6gnRUPcLWt2SmGg/BXEpotgf9Z1YPLCSuI5B7bperfEinMD21X
Ewmj1S0ePpkJ/owAHEkJ5FlOhbXN9bagSvbZwJ9OlXk9LXzHfG/HbRjydsEyveW48V7n75teafwX
PDIUFgQBWk32oUMrlw85LlqdYOKIl85TvxEZ56j97OOiy6JMnNYVbrEmr6IltbfbDu/vLt9h/ZRd
haXBHhGVbHV9PQ9mCHKrmiZ4SmKhyLFmiQ6Oc7hG2ZEba9u/VGhpe7UudssKLYegPMKdvTR3FO5a
78Nobpsn3CITI/Km65bsDGp8tdxkAieYB4NbiPTMRIP1binLeILOm8HpWFZhKw6DVdFyYKPiAeoW
1Fw2G6rn7Bx9WEIhUYzRs2V53+whJ1cDnozbhwGku2bKV8PgcAOueD5tKouuI5rNy7t4noL+b9Ls
aXeXdHTGGOtr2dX/0C61GAkSyLb5NFRps57xl+3tKZaCzR8TsdblzVw1Lb1GEW3S3WtFYIp1wnTU
JUd4GdHyXwtUMpjmc93GV/PQVBW0zShiwhhJwVG6qdvFjFcwdqXQDBNoiMPTPML1MF8X05Mn/Gb6
1xrVy/61AzQeNekZqQd2mIBfrA4B5qfysJfj/tSSZKFXaTai1iXue4hV5arS4GBGvTCs1cO2o4Bk
5dEBDwpp/R7djeN3+2aq5iroCTzt86YUgX6W0g79DaS7tcWuqLf7d6wacy/ASA3D6PHyUkPDA7yo
ub23YcbkjJnYmvIaNspRBtBsAkewuw0T8vQO7hezug6XOluu9gVG4JeVe6/BBKgQxnnOlwxZHoJX
V1l43E/NZswjzfYuy+E0liZnziTmt1zQrVXvwiVKp7+tmkfW5t2y7vG1YTTcHxhGf/25nXd4xOCP
pEP5TuBqfPuQCgTxxhJ4OR97quPlCut/MFYILpHrabOcbxU2T8tg8TFVtZ7XTQTyI4/MIt+viNl6
M7VQ4L1r16aGY3dbD/PnfeQk/iIJN6nMQQgL+xGRohfXbjBTw/eg1rPs7wHkFfF16iZBcL4CEJEe
ZEtafiX5Mhvs3+owhYX4FGiDpbDbsXxgtwdkbBLEKz/OgDQMBrJRHnwDVd6wQ4hFvb22ehLPXGN8
n0S4dcmh2S3eXyTv2aeYQBdxoCYt2wPOooyfjBm4LkjH42TN6R7K6WGsYQ+d5RHwnecxa7vhnspx
C7o8QQXW3+0wLfs5jhq2vov6UIG/i3fW7Jml/Vaf1w5OOe8nUtPP6QyXl+PMSlwFpE2wJA+mH0t+
DlW7kXd4f6L9h07w2d5GbT8NmDAZcgOyeAjV0kIAoqruS9ll435IGaveGyhfgsOeNHL9MNttQkE0
6l7JdgDGsBQHnkXN+E7MuGPKa1l104ka1NV2Z5SoRae0pH1/VGFJ8CWauovumR7rDozv+bL5SaH2
ratDlq4xOUo9hZHOhd3NpzbtQE3KrUTh3/OI4jb6VzUnw53qNXZch7pqg0PUggpnDpjd15xvCV0+
EQ3swVWVbCPWe76H2KZTFPCOS24oC5brBl0IH/XQL/xA4mQ6ClPrvhA7Uv1LHKptPRMO92U4kygg
zyLW0PRIOygx85lG9pxhMdqWXMVlOz9oSKey/iATybs7MZfmXWouBqhWWXo7p6kITykcbHYso9hy
HJVlmPa3bg2qa5H08fKsYVW/fuiVjg64lp7IV9OV23oot5pdYbsWn4xAFc2AV7dc7W19VS8jwBoM
ddVYbOnB2iUb8wFmSP9D3ZcsSW5jW/5Km9aPepwwmT3VgqTPHvOYsaFlZERyJkECBAh+fR+X1P2k
tFJVt6w3bcqFMiPcw4MEgXvPPQPN9OSH+wL1wIvtWHQqYKXUJVTUo0rLIKQFPFtlmAxDXNMjt4X7
iKH+qa+Q0A6y7FqrVVyNXjjd+hYWr2iBIn1GHnu4onYK4unWeBJMcr2wlEJGfgUIHWJtpItGcCOH
kvfKTTx8GqxXbJqwpsj27hZ9Mk0rbgoLB/2swTJOyTLbNCzzah/HsTjPtHDHIljaN1eY+kFE7ZRW
Pr1rydQ9kVr0Iil8qUA7mdumGZPFr4RVSYFq120d4t3cnpqweKbBIo+6dlxkWM407ZCOvWz7qSZH
B/pi/GQ9zh6K1oK1kIW6Z94+75ixbZJj5XLI5F3pf1Q6d/qJEEpdYqoOkfEpDYx1WXXxAzi0bllh
m8KnwEkk646jCtHHVNFQZwU1gXc0QQxBM+TT1j9OZZCLa+UtSm8NdP7+80rbkKbCxUaf5liS4g2V
azduiEbi+V5WsorP9YIA9GQuetMmNpATf47mVvo3YzRHcgObBtfDkkDR8jB4RrRfvBJZwnVKXEWq
zFd1qZOZVChFhZ5ZlU4tahSb5JEXRW3iCOLgvy2cROPZLINZ3xFKZVEOlZoTrO4WzxaRSQ3BUL2B
i04e7ibeVvXdEqD33wx9HHVbzbDvZOhoCnYYL/S7zci6MLqBqKYmJ/BnoyALxELEIYBsavleQR/Q
3cxKc+mnThSmPKpRRT5NYCjCMZFa67B1d2iNWYguGJTN9aRUq7AvlD2zwZXs8Eg+NGhW7ZeGNOIQ
I28bDXJn2ZdARY331mGmhTZ5GQhSCgFClylWB4qlJJ8Ndnc1zUtmumLiLxSafv3MLfb2V6VGEdYZ
YaOH8yrviWceqF1rpNp7YciiROt86lKRR214rVa+uO8x5P7tx1RBzbbhNaL+7l1bLgKGA2SYbvmM
j4ewegN3152ovHC4pXjKsCP60TRybE/lwgAWlj3k+/s68ku7j5qy8bssXieUAElLKS1gAz+g/0DF
V4+pM/JSiyDGRdu7Wk9TYXeiKZrpuVXeYLZD7WlxUErMBHdsFXbKxrBdzFsjCLRItGyEetO2Gc1W
Fn7npaKZg1M1FjlNR8we9dnVdVzglrAKYkAFlD2dpBlRlI4UdjLP8wqXXBgBjPl5KMJxZ/OF349R
6DSqA7Ku8sa1bZtMyNNMIAor5gj5Yrwets5y4tICEaTzYY0UGrRSzCxR2g6eTPSsrbpjgWXld4No
E75ZG98vM2ov52pSKGRM7HOU2ecK1lxYdVHQRce8RqbpSRZueBEcFyGLtI6DNvErTJmfVbvWHqpU
53u7ZcW63qEOCNhR4wiov1obVTu0AIH4MsDinJUpEYVf3UtDyhKW0EFHqznBIiNRyrGrOnRzHoRz
KyuD6prX1l/TCQ/8UxOQbtPmFe3xqOXzcfCBYFwBr4jILe8X2hytmcQ7kJhXlB46pIhUoaCAD8iI
Ce/7sMjf4GdRV1nRYVOs6qm50tpHZbbCYMQeWsbLVK4OgSNg0Pv7ik1RezXqSLVXUz6r0yzlUH9l
MJ349MZGqWyZPdzGeGHPzRxfhjsNx9m+xPaZopbQWbGOqNXBa9JL0lrWbSFWFjSppS1QG4C2YBB2
xxfgtdgJFfAdXV9bEPoRkcgvSA+E39Nzg2IsCQkY6AdA6UKdo5GP3m3EQOIDKYj1hTkYWhS6xU2Z
na+g6M7rarP4Ea/Zpua0uitGZMNvAggFxu+LCRuTeiWQqzfYHSBBdiJcxZu+DF2IpVmFD1OFfmTn
+lolYY0NVCZmnpBiV4Rz+Y2TToXPkZ1Lk7pOBeh2WNyaJakNb70vVRXk7/xSmuz5ApX5k6PyUzet
jlHuijFAMdvFzbwXyAThqaBT9zkQPLIJR2RHilgQP960Iua/gn9NtOIiOL6Bv2Ueo5VBqPp2CZll
r7LwBPTHlciBDHqigzOSkrDiyFCUdPZI6DB8a9sFtm9ALsq6f4ZTm6jTcCpttK917D7QOhfraWrD
/LMr21UQBHQ7E5670sbjk5f7lHwGiMwgH2gtSyAjdUHOYpga7B1+6dKwCEZ7O4mcSUiNMFuKC1r4
t5VHKdBslB7+iVgYim6FmWiYLXr1o42hRpmk7eblAZ7IQfwiJ2HuPC9WLzxnwRPG7XrdDTn0Fntv
QGO8tN1iNjTmMPRdayNfcM2bUx80oLXRmqoIHifxcBhKIcaUyL6zifTy5hVK3SUZCXQyUsaWnqZF
ereM2uWKirXk2yGHxcimJW7ZjYiV2AWy9Q8xcoyx5/WRei5FQdyNLAaoh42B309CxjnXD3aGxesb
PDjQnCln4/IV0HDEEmocrkNo6xrbgoiCaEDFwaA/5r5+KheKIjEClFAUqDJq4sEelq1eNoEGTzaE
F8BNLPLPkVPCprXahdKXz7Bfr5v7kA8QgS9IYLiv8EGSqDKBnFNs207bZAI2Ft3IpmRxGkl8nKdh
yO2wrce8LtMwZtK+X7iuh6Fvu+60MLa2+BmNp+6bILbtTVQwi4LNVdGWc+kNe1Aomb0DFN1vsE30
/XYipFZZWJo2AF0Oya2bwfrYROADc8S9AByRSzJItNsWpGXjnL5XXlmbtCdz0B49z3TrDvZj64dH
EJuUtIiGPBXrsODxyTkuR2P9TSPiOR1HbY/REKDgLKv+5GRJ7sFeHqEQgL8jcA4YNUQxy1+9FXTy
LYdCxj0BZ1oMDiLlBx+aT0XIkIHTrIAHVDvL/tBjQlG9leuouhR3CoJ33pSozLFjtqZLyzGX8C+H
eZG4gkUaZ6mwVM6HZYhHvmPIzUZ2aW4orxKPwPZwa0V0eQi92hQF0hVHdEzYfJqsXpWwBw1RhkjC
YdEtHmPMuz5nnJ35QU7aLzIDR20fTMwujIPnIUaFlhkrpjJlsaHQ+mjqmueKwukl8+E3X722ADTi
pOvnsnzylxW7R+F5NDhSFnQk7UTYhtkANMykQ28AbSXQ5S1FVkPH5d/Ecpz4HQJBKpM4uEDLzexy
MiQuXGNUMEIG+ps3IVUhIZB6iDtk2Ri2K5207BvFL2VfFApUeiYqaFkat6wJb9vC+jBNlmgKykp1
3b2DgL/ZhrXyO5cQiO0NAMyyXws06hqQAxb1gqIQueb5iDBqofKrcvCr9RDE/tJfCQmcNqEysvBL
l+X06ZOoKq/DNe9BBcn9pt/P3HjhLSRqjOKZmqLVYv7TO7lFfqOdtiAXyS7FVIXM773tlIeAxFXz
g9cCTnn12+5yhyganyyYhKyh+0MD1l3PwA+bFPoKreYEnkNBePJpSNBcEu31+wo8C/NuQydUllOa
653Ffm2ziUjZbNoo4mMWIpFGN8k4da7cohtsxSmPYb8G8mV7iQdDWtqQ1WUllmOufcZT6EQKQTI4
Mfh4oKq8wzwbo9ChOFKzRCtqFi3jPUCCAdP6EbVdAhw2aBJo89Y6G7EM2m28zMH4ySrStB56hyDW
UVJEMDH5LpuuhZ6rwYRM4zDtUCfGqddOYkdDGbrl0AQ84s/wjO702aK1XyR+8SquY9QgSzTcEFa1
y4uH30Z4SRnoaJi3FzdrNKSGrya+ni8d9Cn3hmZB8QW+LAymXF4UN64LFJqVaY4oHvC4AWbFUsxa
CLpVX3Wi/1Y5dNegUznW+Z+TNt6IYoARNEyDhtzWIK1mmI5KDDO/Idg8CpSKvF4/mhLTiLe6tkOz
jYu49yyurox6hCXTqbqLUe7jWQ4Fi8lWojQaP0sZE8sTHQi4NVsWz/wxAD5XIf4F+L9+F1M8N8/S
mwfvdigw8Lkzl0YVjgWOt2HKzAhfY8jm5NQeyg5zLyySWEbbiaHxoRvkKM7jCaLUgth0xQxpQKdb
TaximU+o5icrMUk6o7rm9IyyKFYPfVs305EVkR0O3oww87fI93M/pZeabTsPnTcnLQutdx58GDzd
ebOaK+xxsKFPBSrjfuPmjk/XldIQunTEZ+ZxbcEiS7mvMOSporaHxcxUePobp0rmj5FV2Px75BvU
Zj16K/K1UbLC17A9WFlEDvUUMqjTgC163ruhF9F+Aspud21DV/8ZqCIhx6rBJDCVfgcCwAbSTX/i
GdbmCmzrgqh523EKwzmNaFd7CZ65KyqVizFrJLDH2PoBqNXjtvICzHtojxGPS1pErPHEjYsk2VQy
Eu/1Mot1L+PF83tYuoV2FsD0CmSlDbMI6jMJJqWeiYKr+icr4rk7o7Ct2LYl5SwerMVoJmsLXhdQ
J4Kcelv1fUtPedH2zYPluDAnF/JGHf0ZkTpXBp81ROS4W8ltPbOuOC71JJonNHpVblJ/RrU8ZvXA
O8DWMTzaKj+d8TBLL4X3B3UywxyQcbFtQA2+WBizL3Aw9FWQCgEDzG7TYRSk5gMKsAkXVrNaTrc4
p3sAzyDjYJSG2k24hwiXHeIqQcpmfcL0JF+2Bk/yVqwrO6OJpt4p9HKBwo76cK8LL2M8Hu78mlK5
a2o2kvPaDhC5BqEb9BdbzQKmFc0M65CtLuTiyiSwlDDMOEOQrvxRcZNSABvqrTMxD28H2C6ocHux
eg2AaSwE6et8WoWpU9FZ22Sumy6JclrRazLlcX+IIS63+7GXc5QVxsn+HCr41AAi9TFvHdzE5m0F
ED9IPBUE3hYzSl1lLS8E2k45KokKKeqq6OvCEPN+yteiXu5hyRBrYO9lPq0fUU+i4l02g98e/AhS
x4MP1He8gkB70o8tLKlR2/QkXs5B7Cn33Y2klmfnCk8B4FtCnq4C5UgCfHnGbKVSCmS/UcdXs98p
m2qH4NDDhI9QZ/Mahk0KbjzFzDyOL4xGw7cCZNLr1iAZ+Mm3TaGuJr0G/ZEh9m693G2WQ+sgtEN0
u2Jx/Q6Yz4uymnBPKpi1op9JVY/V3m1QWTc4ILGRXtp8O0l7I7zJRKnzvGDCw8LHCXIJSS5XUEjA
VagkJiJuFDOtB2V3xaqP+XI+frAZSnXYG5DiMA7CBYmP/a59iKYp1Hj2CtKNOpFcQegPiAlBUaz0
Kz+LQuKBXhMVY34dlkzbLbZReCGatq/Mp64XuZyHlXXkZVpmGqN5Gev56BxblxfOOmluLh6O0V51
c550MLsZE1SjxQUsl4vBmYsB5i13TrCjKqE0uMagpIMHA2rjFdDW2AC1IgiujIn+CuHqyBMIi0K7
WahsgNpNY3kPmkSAisgglPm+BrMR5yIyNuDdKAzPxTOTvgC5t/cxzzK7Pp/GQScV9H5xMnDwCKIU
s+9p/gSQVAC8BWDj669AK9bKS6hG+VonBLusBobYDlB7JDCpR9+5XSAPRThQv8S0/AKFtZunZLYI
sRl3ndGkqlM7wj8cdahPFxJkU1SCypH9h5o07Hk9wneYVEU69cEIUonH9ZinMEqOniK82jsZWxby
IMoL9lug/V7kZc+M85shVNMGaME6g9fq5d7hP/J58Ren4nYPo+5lyXxaD3OyupLcYGDVzxnNIf7+
ewymH8PnqIv7buhVu/HFax0/UrP9exygC8HuDxR10kYG4xq8b1Tdc4AWFfmbEpofQ+cGGB6KvGJs
i2PSB4gkjH+lsFurf6Ph/QvDKowM/vzRAYWFGow0TCY8PH9jOVT61FlvgI2gmiQAp9DUiAVgYgxv
FwXoFg1W7fnp4C24T//68l1YRf+MbfQDsazAiGapvIltB6SZtlkFHcEVyINjinoN40fM4vi/Mb/4
KzLVDzyzaVRYauAUb2EIMLIH7YZ8zmSBOjezOJngTgpHkhZV6eL6f3OF/4Jk+aM7UQ1+GE6TkGwp
RyaHhu3MZgTW/G9+ob969x/YZxKJfoqVgoA50r03U/Bsucz/HvnUv1zEP6xqlOljJ4ucbB1iP5Jy
codqbqO/+eY/MMx0EOh+mCnZAoPeYJBaJXkA5PFfL6i/uio/0EPzxVSaiIpuC99TONNNngQlTv+/
9+4/PO1hIyOwg3BdwrWDN68WSJlch4d//eZ/sUL96M8XnU5BZ+VSY7mUTIQfCpiSTX3qQuQK8bCT
iZzBxt5DV0Lk34rni350hCl5YRlshMgWcajkJR4ndV0HgFf/9S/06+b6T57uH/1gWO0iwEJFvO24
KIFAi95ZDFfw36cLNH2OUXnjX/o46OmukvVjvVaPAVYa2eeqmkv0KkW5QTrjx2IiRDcnmqEk++3T
/eefcn3VP/4Lf/82SDT7Ral/+Os/HocOf/7r8pr//T1/fsU/dp/D9dfuU/34TX96Dd7395+bfdVf
//SXDepy7e7mz8ndf6q51b++P5KHL9/5f/rF//H567s8Ovn5y09fP7qqz9D0TNU3/dPvXzp8/PIT
2IXgb1yMYP7zjz/k9++4/Ba//PQ4VXKevv7zl31+VfqXn0T4cxSFNAh8Ds+a+FfVv/389SvBzwHx
RRhjBkkDOHxj7+mRfVr+8lMY/3yZ0oEkg5fATejCW1fD/OuXwp9FKHwEZSF4DEgt/NT+18e7/W21
/HZb/iKN+deoiv9eVYz7NII9DN6QApeg4sfVJfvGw/Q/mPeAhl06NzpMPHthdyAZCnOwV45haWKW
sk2JatxuHfTnEoYYbfNXjIz9+xxl6IaM9kNjApY0F7WWXuicoUb1kkWP/UMjfXUCIapGyeX6bDVo
FoBL3FHpNRmOx3LfI8UxKQp5zeRl3lWBOucG8joIOW7B1ruH0cpnJ9vbwPUNGjWi0l7gUF0bDyPg
6BpDV2TWD974Vg5w0wQXYdlr52iCawhvr6Ewb5Vq996KyXtbmzLRmC8nHS1uC/RHWYUqF92NKxK4
ePdnyTF71nW8HqUn6bnsc7YkEkwRAOete85F8ehXzVdbTq+NrzE7MtqtVx6gA4zwljzTwwz6IyrC
pAbt5b5z9a65mP9KzHgPYUPm7Zq7IYM/uAfUJ6i0SNjsFpvUJJi/BzOGrq7AmGGK2F1MYz8VstyU
o2qQpEm6tPfG/oohfCTFaDZ/jwA772k8wQVVwSNzgukNhu2CHXCWyaPfFvQdcOAbsj3LNOrWMZUW
9oShaPF/qMLfZyq8q5wa/yAseGqVtnUGdXd8tcL8ZEu64bMOtN15YmQ3k1+LrS2iOpnrAPMdf+Bp
w1i8AYMH9agYp+PYLeE9V+uHBIySAuEZbyz4wK/R4F4Bj5UpnOOw24vaTzrln+OxmTfy4t6C4RFw
NNN+r3re7Nkg3hA802TY+ADY6xbQmA0Y1HSdfxwYxQLgTbv3wWI+Vax9rCh9BO2lPgImxxC2WKpH
lU8qa1gId5WxKa4Qj9PeWw0qQtCBdrw2ItrYqlQpsLInZKvnG1gLkCuExbxgvYrPBQjBxvcA8a3h
MGWdLruNkeox9/LH0i0birDxxF/Vcw1GZ2Z8I3aqR24C+NdfWpSaGI6o+4DIZdNo5BPROlLgAAz6
2S9MjyXK7yEceQTX67aPPKxZPO+pAcctubjEC4hJfLFbwI7Lr+ooHKddt2L00+cVZnyFg3QgRk+w
CYjnZeXUtDdChe1miAt76KpAbinW4A3wO3PMi7gCw7MEbFKW2M4EmMJaoptFoHGKbKnoRPqhvodL
I1oS4HuAp9UzfCGWhw6Mj6Ol3N8HGpRoHdOnwK8BfFSmewYWVaW4VSA5EQcSYlNjOAdaeP5lGqTZ
5E04niutiuMKLiLma4YhOCEgAETmfPocgANlxdCDQLOs4pp28XJXLECl5BID3bCwoAJmAHiaRzf+
lKuMI/gCTBBb3VnwTRMn+Xzj1zC2BXNj/aad2MNyf0yoZcOe+zXgVLkGdznMyLLZq4oEHgbDFkNK
mfqQHWJEWJRZo+0Fz5C82sMKsG83Xdv1iUPeK9TP3vzilKBPczGz/Qgf4BeEtuap57N6S4xfwwYF
xGlgKO40MlI9CfCtz8UwUgDaZA3v2zXwrkUHZ/4OXrUvsMN58ctJbwfgV4Uq+j3SzW+lNuGnkaDP
VJbaDL5vak0iQ1lSLcN65CVmgkLJd9DT7Sem8t0NA8J9FI7avdYcozKMTFKPtc02WIsXsOrltTdx
QKtdmDGQTgtfpKLv/BScugEa+vG0AJjAk3uBL6C8hL+IKdkpbrv61q65POeBrm9gmB2kgz+D3FKZ
XQds5aX35xnjiG661qOb0xK822yugnDTKYfLWa/1E9gczRbUvPU+L9e7hfSg2IPimg3OVgfEIt/h
HPIO85CPW+KT4n0aunUftHD0hTU/wtP6JRnCXt9AOUsyztcKADefsz6szgsvm/uxiIc7UvugS1Yx
cu4CBjIOEi5BO+N55lbAsli74Fx6xJsz7Y0kyyve7fypmc6Lp4cE0AJLwAnzM8Mi7MLVZTBZ9hn8
roI0FuKum+i3KuQuxZweHjQCJILFl9GmMbVNo1mt0CEjW7zLG0h4+vwZxF+cipfPELYkgruSFcCh
RfjCDZ7mloQU3mMgJTVQV2BmakBKu8CS9t0rZkwU695Oj6Hk34mqrzo7Y/cN9uB2gG8W8hsDZ0Ow
/zCsympe2vvQlvPW8AZpCV59z5ZAXjH0+s9ScLoZQ2I3GEg+dygBiWfbDNPTqU+pJ76sK123o5Af
w4IFRVX7CJIziMBIZ8761r9ezXrVCei2cdrVT6iTwsMMh+V0utxpDuu2bWQKDJY7bD1a9B99uL7P
bHgzDGZtibdGMAYJWblhagBY0vTVccmL26ocpysOS1yMFcK7KqCArQCPXQZMYcZnFYOf1cMit2aA
h0wzPRbIWspWVYw7qmG/Hy3DV3TUDyCmNVkOST/V5B2M1b2NyUc39ySFeTLo0BH5+LWA+39dyF5V
3yCAGL7rHyvZPxW//x+VuyFqP/RKf13r3s59/fX9j6Xu7y/5rc5l9GcRCfBhwwhEeNQlaEh/q3NZ
9DNHpSU4pzGLEQePfu/3OjcKfyZBwJhgnAQEBeh/l7niZxKHKJpJRBgQLjRV/xdlruAXYOIPZW7s
g4IKd/IQ5TbBnx817UVRwM63h2X1PCNmcgqa+WtfUZkUPMpvo9ZTJwB2Lmu9eDj1BuQt0vXFYVp4
fYJPSpDOhPBn3jvyISYMGcaYeVsWICEFs/rl5DV9uVljj4JVSfJjDE9v4OHrVzrHtwOoMtGMk5Uu
3cnzWiAlgrMLvQS7mKiuL0TT1KzVczjEHznm13DL746NAnYUdi1cRCK/WbajnFmKKUS1qWoQHFqQ
PTgA0rI9RmvcX8nGrTd9wLpvM6DvlHJK310Vlnv8PHsjhfO2YewVYyJpXDyHviHp5BmZxmDUZSBf
NG8EDEVQbfBT8y4qugQuNvLD+JE5xNCLvYCHbQ9eP0Q4WED7GfvuTlbN8BXcU32sA9cd7MSXm9nj
HEIqskSJUtDzJc2wzLdluyx7D3zR01DY+R7cC7JgmgO+XAnHvickhyQFsMsHEN2La1WCohLmSLXw
OnYbxr15uohTPhEZNb1WYMDddT6Gx4PPxW3FQSEF8wy2FjSvHkzdhQcRuuca87dbRH8GD1Ezksup
M590l1dnU/L+GZMSfwe2eZSgwAIFoWiw2Y2gWI2yui5L7LbJWAXg3w2WmYdY1B0akxJhLOAZrPAU
SNVMx1daORQEsZPf6Jp/d+BugmUjlpcylPumJMd5Ru1ZgWt/h13b31S8bm7BiRCvl9LtDApmfIq6
KTrMgOw+YgxAMLzEoQiEvCQgO0fedb8Ckk98ZBp9w6Rw3EledAe1oJZryskeOwhnrm3bj3vWxl0K
9joEB70XXiH24hNOREH4GtX4yX4gxIPyuuHYEtCtMBNnBIwkDPLXwoFJ0nmyXxPchO62oENzLcoV
QbWYUD6FKxLS+hb9DA7f8SVQq7tuncih2TH+2YWjQRsDsVfEjM0wUADTL0De1OUwAxuwHKTa+2Ue
ZXOPErH16PfZxvwazE6NE+uiVNLjkpZDuBw0HuZrKtgTytUxEw0YElXF+BZMdvYoGg/Ibdu1Xyly
mnCEVVGVEurlSd4UwaaeqErG1bnt2nvgeLt5SD0whjI6D/4mXi8lM/gmVx2FvC8cZ7Zra787dCu7
6RdU1sicSxhf5VXO8zgjNU/BoEiYW+RuLUwCglky1TmojK5PbTi8k9LtgritTgUBaVAiX/5Ogli+
hbx0wlgwTOKgibc0mChAfhBQLm38lwaIqAEXuDd3AXhh97SXX2LavYPisCGrOquefatNT2/XvIGe
0ZviLZCsHJvP5R27CVReAD4tmHX3VsX3PKhc0rWTzsYxdw+FqEBssU2f5PBcSJeq+0D41/VUrehU
dNinAayD7gcwUl5KULETP2jW3dRQ/4YNtU4HaJ1Ofg11zKCieINhEfvUvMnRR9DoCvN4PEw+CzYA
0sVDxEJc1SUOsXmIJVXGjOlAhnWLdQxaaeBsDwquXF4K8HIOEatRH4Dmtw19MH0W5lVwRDJI5B5q
dwA7HqA5PPmhJ1uLFfb2+XrLi5VsC+Rdg/dbsMTlbsmKCXfbga2VkhWc6gCpMbtGQF/r5WxIpJvj
XTgTSD1iGr3LOihHfPfgznryAwgf9XL0myF/cb23pmZo5FkLa47+uPTHvgXcARpy/25Jr0+2DP2U
i8a/x0Muy6QqWQ7a4UgrjPps9ESrAco27VrIcODKYZIcCvFrVWDj25QVj7a1qaFoymnxsYjuKbIj
TB9ctfNaeLvjQuzbGFIzHBjk1fTe3azstavwm0NTUZqqTyfjSJGs8OV4nSBNRlfC67R2Gr3DUEN8
B/KLA7JAyCaaEDAG5iyefw2doIIuYKd74t8q1kK8MbdJCYKk1+cGAhF2nmsyp3MEoUITxad6hbwT
1NiHfjXLiQw4u6HrQYRe6dEq62b70fCo2duhCLI8N1cl9OQ1kKSsqb1lC5keeO4KIQp6sOsumhFp
GRHs4CQAIWDJo3Ezd6v5FIW+A5PwCe4RgDkM3gAeDNK9SngPT0mRdxAtGZrHqUJCduprH2wrREFj
GL4mK/Rgb1UryL1PW3PCu6ctN/vcFF90g12/rR6jiF2HHXQBHkazHSgRG6U9PyFt7qXwSijPk+fX
x2Vo4gODRjGFowJULJ2Ivqiothm4Ic0Bp8S+17kEuR5x6w7sPJIGBqmlv2Z+vC6ggJ1AJdY3rHPy
NHhMf3Yi9jCjXC7HIOCJtun6rQK2ljGQt+4VrYIEE8gNpu6vc2iu87o7zbZer4OuuBqmMsQx20JP
CAEH3JLHavAhqcSmugT+0RsBYCHl/BwtEOwuoUnCUkO4U0e7oa13E2DGRI91BLJmg8IYFCUMo22y
LFyew//J3nntyI5kWfZX5geYoDCjeKVrER5avhBxb0RQC6Mykl/fyyuzu7Ma6BkU0C8zmJdCZWVF
XL/uTrNz9tl7HeHH8JGybwsWKPp3lfMuFp3dPtJzKHStb29y9E/qzdFFTbkf6kjaJ9m3bFsZNRSq
dV3r/nPhGvrOFtOnGzfR3PKkuRq/JsX1hg/k6bpg6ik3AxqTYM5L+7rvTt3Po9mv54aMpQFLeA1a
v5VhylrJF44eXEdNNO06VYEts2e9M206w8Uv/PWg22w1A4J/NIiaHkrSJyX7puYoWTtJ9wQbmkta
+be+IfE6lL7xgsy4rJqaEoVkxXdBBPGpQYlcGZ3nbgdRcHs7ThncYxx5mbzxjo6jBAeUXPq0RU30
MW87w5vVt88tW35Cp8qde0sG9bZCWN9y7QU3VVQm6WY2C+8tk10R1pQVscx/Z4nYOXW8X7r0hH9k
r3s9rLUWVbxeRBnjDHTqchMzLSm6bFMTHd5aptrXcrhDV3jA7/qbC+1Ft+NXJ8VOTbgCmzhW29gS
wcrNiPlKOlnuXaqwKNnIyvXWmbvgpu8QAqMOwIMzC3UBa415Bfr/Wk9et2bB1XAhN8N2roa8EuaJ
rMFSYDpPHL/+eV5wAoW4pcSGEr46WBjCHZFczDpPT6iIxjodsfOqpTPvqeLmR4K8y1aMWt5Z2HRw
vyKzUsBeF9+dBj7olSqGGzfr6qORYFzupCxC2dndmm45OEZ22q8tx5r2jjEy6GyNzwz78n5WRXHW
/swVHSl3g/GzZe+CO63rJZHnTkfWHeW3OvreSJyk1vER9+mpNCb1PmS4w0eCx8T208QJ8/nq4EID
eSCY0NwGkWXtMFF9+kXF6w3aZqO5fcLJcw/KSOdVp/o35bafaqzB3tskFufy2mjm2TEyLeNVpqX/
hunX2KQqMZ7Jkq1Lt4nZbTmnAznz0fiejKjcUFG694QI49WUVRjrUHi6o6uQInul9rQW7h4Losub
WsbnKDaaO8/nkorrq6u8Gl4bvHtYc/z2vU5ra51LdU3Bu8rg4HHwWum82+KSaPnupBEyS3l1BQTG
1vVYdbRIIXfEEaLnak7UvRnb/lphPH1w2sa5uCmOAWow/VDbRfXaxsSUnZLFPzgr5wcbvD2RoL74
qkvL2ync/z84g6LdxNq1la+ooBsvE2fbEksRLuienym5qrMcF4yVFpyKU23O6WMcU+Uhuqn0pTML
rowCpLs9RPHFwt+1i53SvFgEF9cDMd/QTbruEC2ltTcx2H/g+rLCyPbstTZ0+SUUWrfhN/JlxusT
kqggaoDM8h50Kn7IoYI8kpC0j5rFK1x5Vjry1pNAaugENjwx2YoIDJdrldwjX26XViYUbBi9hiQS
ewPwxsVzxmjlalVdRNd3p9KU3maJom+N9GKFOEXdbVXMlG6TE23zxfXfrQlJNK5K50EvbreZekud
4i5zqT9duZ9xtH3QssK+LOPgu+kjSAA0gIdk9utbN07TC2HadC9FT0EuKnWsGb1wa4hgO1XKt1Z2
epcbutoM8TVZlwbWEW8buVU7yLCrtrelmTCgm2QXjl5fHv0l78E52MGB3JJzxgWU//AXVaCMG++U
e4loiarWUaiL+UdGaKFlTqqTHQ8I/X6MWRXWN39KGoox5vwsqugUJfGFkAWVoxXc2M2Myu7LcYUH
O31NjWxe66V4rwnir66bqW6aAclNLtmWVTXzCgOKPl2bfKYo1bfSbALzy+CE7DVvojZBwp1V9pIk
tgE9dMKak/DMrQtCGaGrENuGobXOghIMNIFdPZMptCJ6ufElNiWhdWU+ZnMcbUW0xdC2I5CcH6Ny
vM+0u/ZizeEyU5ITEzdia77M0aKwqmHRd+bpNhPdL76euJCmMiPYOC5rXMtsPeiVR8/til27WA4O
t2ugVjp8UbGDwerI3NsB4v2SmJeY85M9NrZ5rQ3Sba0MA9XfgCAi5mjvZ2WxzkXa3o9NQVwt6dR+
7IJlY8is3HNTZEeLpHuocM3eDsssdt3iQQ2R8Q2KoxnzZ5nxMZ0G4tdE6bx1kmc2G2frqItA39qv
tk3xJOCEqCILx6IuIHQwJFtR+O6T+pz7viZbN+pzyVFIkM+YxkeIFdV7Gdk8PA6Rvd9tVC0G5G9S
L1df+WSuzDFD2rSMh0nIsi8Prbj69HqwGJSZcrzUZV5dsj6zPrgB20tjFLS5ScsLz3IsV0tqTfHK
MoK3wVmiF9saxEaNV2t2n870p2VFtLBqc2vnlkG/85rYfWirKT/OvTscJIO8B2cSYjeMdvvbbbPA
XLvJkL7XIIt/T8TBSZw0PIwjhydvDe5nwFGHnhe5D2xNkNEV+SqtryZ3uxVv9NL6ZRzS8rFXWlyY
8LBIjVVEzAfM9tbhM723S5sXs/j9S2zr76bI7A2dUHpMgAfczhb/bZiiYIWPZUQ3kKoIu8qwbrlt
rU0pRlx6UVKG82ycjYy8ZF6IeEs4JwHWoqBgFFaQhTaBRcp0FnpezCbwHr1iMjZBSaAYkaS8MUtz
Y7eLjx9GcmKNpODdmTX1QeuA2+vrJzy7nzj6bpYZp1mm0688F9nBU+0NuXoHE+uED86ZXjuaH59n
mLzUfDME80etKuOYZknyJ97pf1r3/L9I0WQvkv2/EzRp3T7bv+uZf/7An3Km7//hmOAvsACYXHr+
FRP8p5zpOwz0+Z9dAhSIk8iW/yFn2t4fkjbWDRCHbBd59G96pviDnyAchSlbOiiDwb+iZ2IB+C96
JpqB71iWJaQUAb+Sv+nfvUWKfQ5dFZTOroks8ZTFYlkPc1LRYFMPjtk07EbWuyR5OYWYWv331CtL
OgRkpLDnP8SuCiyXDIXIX/kupZdqhBNiBRVALNxkSRDSNyTkCVvXfbUXjXVV44k+R3mCyp8z1mf3
4+zuYq6J18Bx65+l9vrXhG4JUd+x+1vXM6Y704+JMXWmwZGG9V6bvn2cWmKEtL3qJLqqPs5Wx3w0
qPoDhmBvWlvcHK9M9WxxapjonrIiQAlIfVE95Wm0mIc8FQZiBX/QSgokk1Xiji68oTJ6nuoM/6U0
5MkN6vEDmxiwoMwg9LVS3py+kP00nyM562CLqZXf7dScj06RYXKKi8X+CuKIgT4ErvrYdgROJP5V
BsAZ6ZmMGvpslhkJqbYOOPZqryTC7zrtvdGALwnLIZ3vgdZk2xFawk3li5ybKh+SHNMo6irz2Jn5
fpEaD0RyI7KMaaQ/G9KYsImMiGOnM2Z1SaZcgg8xoUxtIw9JmTDwmN8jvc0HF2rLdpiJtoSVIsmW
6xxKFMOYMwglecgsK2aTjiBYVHpZsEcRaVn/6PwkfeGhmyUyMwDLiHafGbkawjowB3819SafLkZ4
O+c+KNMPUCI55AsoUKykbLadZ3mPsja97eg47dfcF2nKuxENu8HInN9Nbul3qx/do9Fk8UkmXX3v
+rP9TFvU3pAoziSFrIlcLhszMzZIJtToHHZxt6IpRyeNCekV+RTcQs1qNooRUryStSiP81h5gOwy
cogkTO8XScnjZIbeWO4gP0qiZDSjsn8UJjvu9mxFM+/TxaBN9G1pQsWQU3Ax3SC5bVwT4JaX+/2N
REk7S+XZB+p+epooqocDoz27DCvNW0rCIC/33HbZfRoPjAHzYJzOke4eS3OJPoK2yo9GLsS715bu
yTPmYh/brc3bVFvBpR14o0LpVdyLzahkvapwdDP1CzKDYXfdeQv1PYscQzwSzqEbu3gOHbezAeyO
7YNRM6rz52xj6tRYy0Z9NE0ZkRyqS6qY0XhRop1WbVAfTUKzW2+IakoccdvnGA88CRExwP4QteI1
on8tB7tDNPJa9xoCPgvT11/kmH5bRqsupds+qrb5CdIuWkUOYaQAv3vTYIhYmBiUKl57ktYA8CeR
Q9vd1in4v9tIlnzrXc+b3K227bwiT9T5YSqmOezrbtlNAOp69IpBHulrVtp0kAOhrDjrYOnLs8+A
aMNjOD5XhA1uDBP6D+lFFgkKwgz3vRtFTE4w9FB3mAatfGxM/sdAtVOFPdnWka9rnPzOK87ENaeJ
PW1qmE4BhfKUJAhRvDmhJws0qsrXvEh+SJphzXCRdpC4rXHWKB74UHwv/0qdaiBAROoauU3ytein
HYk4sTNHgcYZKwT1FrVh1PQ2ZcxYB7BMFD17vLWroaeM0g2xNeIJZbvOE0h2WIRitamyftgSTF9u
sIKbj37WLh8+oBGHsqEdT8Sna4TRKL+LbD/akr9Of5pURz2iDowV/C7mvNUzWfzUMfQULoxXw4pt
0++NKMy9yonlQwTN0/0cpSSgQPVQoneefdO6cAmcPEj3gYrbN2EjwkTtTKg+wrReNnW/YUnE+GgW
VvtmYMw5eqWayaBlnrfrBkIAvP/dXZaZw4hPWQy/4glnBGO1PcuiT1aeI6maefHW2nF3iuNpP2DC
ehyaMT9kWHIeSL7Ety6YrVsbgWrnV5Vzp/BUpf2hHMf5zuzTdA2cYHwOAmfc4qWvwIRNnjoseWNc
zK4ym5PDt+lWk5w6I7iQAM0J8RxJmb5HQdC/e+wme1HpUN/wNuf3Zb6Ij57ajYaGAEeDNjFGtzEG
rDNrTiAj2Ky7WmdDj9/H74NVJ337JimXalnraEg3IhhOxbyIVbKM5PYMFpQyGSOnGRR8dItmQ0ex
lMtjtPRYSCMoKK9+MDmbucFaXSbCOXpFubjhUCzNqnOz7Iup3HCwxuEqIRL2fKR85Ft2/bO9NHXu
ehzj25g2bW9bjfvb0owT3Cjm6PNLe145VYGZqrAmDDXCgeTpdfhKQhEXiHRc902rSAlaLqSoXD8k
QYda3Bus9POBtRyCZY6hDSbNKo2i4tVgY/tzT1bnvDC4zUPLU/axEZEaVlXiWIfYdL662czXkBZz
Bhs+y6iWOmue4Z2AwBOUHvgjVOudp8bPbmy/m/2w42yVSfkJISDla5xnl0y08a3TdKTNoyWi8S81
bCISQOQg4BA5xmaOq/reE77VH7RKl6eaQa0dTjU4RLNr3Rc8WuMzq7W+QALWyy6NOrwvceHcYoCJ
v4mvxNvKTXr8OTajRTzoQoRCB0w3Csd+yVpPP3kcNZ/RxDLbVWWPGfhFGj0Replsnr05K75BKOUI
4GgxqHsEugmkvCc0YO6+zZRz26uGZAmH6ISWv/Fr9mEsjRzfgij+RX5uz6PlnxTp900JOzKEgLOv
lPVoLnzOc1br40xKRha4nUxiMCt/0MuhyprZhv3BQ7Jn67c8TVXmPo4VyyyMbrAhtQb9wU8yig65
5B2Ti/IC/pIPCr/ywSYoslMZlynpUCNbgzIp1pW09T22ko56z+RqxS0GLjTSzxDTwFYvrObDdtPe
FZ6YnnMwCGvQjJImpqIP6Qqx8WppPPmTt5kE4jXIHf9eYyy8tBq9i8la9mrNUAvHFidnO1bNFxSa
fIcyVW1iyq09DJDgjRTWfBtZbv01dva01SCVslDDiXhsGeDt2W1FYWJ3ewgQyTmph3kLy0x9wJNf
TpNVuz/E1qEQRvK2sdsUkY/rvrKVhcVjZg9Mmvk24LGxczB7jUZ6KsjEQRzt8uknikx9XuaMye3E
mrzL7LYcJHqqf9E52RttdOTCCXrvdKnTOxda5RZyYLD1eivfLpmH+S0KjB1rTcuVFeG4U930VbpL
d4eH6zL4Tr+3QPasZwuAqt+zQNub3fysehhl86DPFJ3pOgsqcVuMdrGPGo51+EUsxWITneml57nH
cg0ZobGCWy+O8f3VTEl4glPvoYYG6KxUY1rbRBknzkQ8bHaRJU+l4lwN63mq0pWpBwySMlDLyQOc
snXgGT745uyY74AtfO84Rt0E97ABPc3gVPxQZBH6l05pvXBJKVS93vr2pI7VccH1xADTz4OvcfAt
C52M26hD3X0MCumBbhmWG7MzbmBjyweKyflIU5vgOuhy9ganAdUcBBP8PxlCKuMgtArdSuepyK14
D7awo6RkeqH77OTIxr1wIvQYguPy7Mb2CLogdtI3chbO2S6ZDQCYy5dL27PCIGxMso8FlfVjDbzr
zPMqB2ov2CWYj8b73IDYFs6e698Iw+pNzAvVYhPbFiYWotxqGZlUxePCzBkZkEjqe5Un5dnpYFxi
87TlxampUOAuwb6jWGWvUMKE+y63e5ryruwi7JZSp8sqV228bOLFRM3OoyZ5NfPEOrVNA50vYdPC
MfYoMcTQHeq8KC8jWlUBqLG8sXHr3bPBFnfj5LEBZ5WVVfkFB8H6FTeDDyUi996HxBoOvh8Q0HVd
TBMrIGV5sooqslsE4vGNkzudqrVRk3XZRIv2nxgTgELCujZvJt/DLdJfcYVKAs8JMHdhoMzXRoJP
b86Yl3FqfSLu9mFgkxVPfJHsimuQcEr7HbvC72wlf5Q1xvuoqo3DlEUsrC2Ng9kkeyHTy4JhGJml
KdcFM+BHU7eAG032YEVM0tY5C9lWhWCH47XF8LxyzxuxrKBDVDW1Ia/k6Mrqx5x5S1LMyLY7mSEf
RBrSIl/ZiwGDojp5DVrG1+TanuDrz6HFFkiDsiOkHdTbNutv6c6hx2r/xrE7tS5NY++ksOJoRn4Z
kXPOZQYfRF7zmSgmpNM/+to+xSatmezwleIqcNeA3TBH1El/8PLr7FRbI17baMEKWDoYCseepYT4
XNKRxRb4SSGfs7sB/hJAqOmzHNW6G5I9gJVkzc7y22Xw8jvtlGy1TszlhmdP7BoHyzhXDysU9dyC
MQ5s55hB5nuIGj/f/cOSGSswuQrPZB6KFJgaBgsHpHiXU5Qa87ibLBndA1GwIiy4gJZXRjD4KvSK
vj2785Clq6Hg/fXbwgPrZoCicMS4F4YXvQyWPbx1WdUwLk4KGpasd9PThA2zWS/2ON4XZlYmGzdu
ghdcIdNn78TRqSN2K/dt1IQUNPIt1s0Qb3rsktnKIq/LdNyx0gcmHlO5cR2HLDWhwpCLw3yFVlo8
Qp1odIgpwTV3Rl50R8/zempQH8eD6Y3NK/HXR2fmq2j2/hPUSHnigAGhljb+fiqgKjYk55WrGfuw
+iCQXbBpLHP8tme4W1Snpn8BveTv6bGqnkeuKd5n/GSM3JGTw7qNxg+eLCzHsgHXU5bJrnQndzfB
mmQoQwtnQ1o5ZouN899HJQh9QEmb1G6bEyhtBAbAnvqFGR7KNmTZXer2A2QSr/OefQoXQcqSpQxh
lDn5n8Gy/2ld7f85PyHxGShjAh/ef28pXH8XSfp3Be4/f+gvU6GH1hZcNTafaPyfWttfpkL3D/il
7Jj2kNpIwvhkHv89POPjN/QcwjNWAP7jn1yF/h8Cg2IQkHphVO4gm/0rrsJrDO6fTIU+w6pACMtl
SRlmif+ShkwrCds5gCqWttczTWkFD3GM9Vsy9uMtnO2nwWiNh8rpSZTDi2xO8GEx+4N3z0l0Z8V7
mbfjJ6Hk9BDlwbBBYpOrZQmGECIHFih4y/eTa04P/PoEZ5hu7mIYSd9E+H/poQMXvgTGRtEHcSeI
+q4JdPTEbQfKXlndq4OK8om1g7sCJlPYRXl+d9Xj8xpDRUHahZbY1S9O5uISy5YojGGc4b7q60fU
+TfoNAgAGqB5lStKbcNgco9lCkXRTtdd15B5ntWjWWIBTrqpDh1cHg/NRKxnGHr1KEphbLqYKHus
MTH5bS/3QGAV/o5Av5JNhVhrR8UP8KnqPDpx8st3MVsB5Ol/DUgoT9lglzvo2Fwz+Ho4dkfHo/Yq
J8PiMImsjzyDIOWiam5MKvOztiYNUWoBhrFi5Dt9OBQtbFAOpEhDJUbzvba8IDSjhmrVZ6FXHbaj
vJH9yJBzRh968Y2iOyXKKonpYgkbGcvUw1/7H/7/kfD0f0jUBe51C/d/fx7cfH4l8+f/ums/v767
5J8Ohj9/9C9t3v7Dl75wUdFtNlt412f/r1NB/GFaKOzE465Hgs0D+++HAucFPxD4PK7kF3Ac/6fV
2PoDzd4OAtfl1Lim9P6VQ8H6R0Twn44F1zJdl6LTli4HoHMdEPxdm09RD6clX7rtVAyJWDOMZc1i
1ya3BvOkl0T21quvoJuu2gXoaurM2jr6VUMnqNPssRJ2ihQ6xooDZRZfMs0JClVgUnesqLDR4Kth
SF5ilmaS1jFq/2qMIILQMEqcDMekPy8elHCmZ0/WElDvMN42FfjOrJ2MsKn0E5do+RRjv/8apOcQ
6yqzvS0a/+guS3LAdTbclflU4I3x5FSvuqIvkVUSrHM93MRdIufOXFV9tZx8dANz1Q4+yvcQjUzp
U7eoj3arHqDSlMvDGHS1c3CTpXxsTOg/6wwB7LG06jI4ojNiiQuwEZDUE5DBDnZcwOVlZt98GYY/
zEBeKpbfYCqI+zMVchDQ+dgewrQWdns/A+P4Eq2o010cTPn4Ylhx8FWDfv61WLq29nYbqBKjiZOv
4kwb7jYNgrZYG25ul7fS9yp9XKAh//SAI+rLlJTqo7AH66l2kYOdNvLvbTFLnCXZAaHfMUgEJo2J
E8vHXd3CMD44LlnZUMGViAlYscgsTKYGbt3YYv1hKpOuGM/kTA5n8wlEU/o+oAZ9Dcpof09m511K
L529TeezbC1KdCxWsmz0ybPsflfFEQCiHN7KjndFWKteMoKEmTEG2JObZS/HXF9hT/EZ/3qZfyx8
OR6yjBVQYW9WeMlo+sLagEbUL3FQhA0rCQjtOXG6agbsd2QDk/XgVC7ps9y+ihHa+4eIj+ae/x44
ZUM8C0B/07IeMD7H2aPfUfUBvsnROfl7D3C9VpmxAGyLxTWwUU8R8c3B+YmL0n8VbcmX3KKRdD6S
hkBS2hTjyhumXw47FcMgHo19NrECIKiwLnIB9cm6L4P05PblQ+NkKSs9Wjwocpb3HvL2e9sW6U0M
lMXdINklO9V7/u+2tF1kJtMo3kYwJETCbDnhNkhjxtaesBFtB7NK8lWRFRMD2aTImiNZPWOH6VdN
4VzE3VlHIxdLVT1cQZkbvDlC7URGFhZD01MhxPjeCg+2UIMUDNrNx4g6jl3ub/2azaeg68vlU5bJ
kLwOJss9oGYnXgHl3aWPnyxD64Pp9ckY6oHNpqsaUhA2LNz8cQiRInnrdDpR1lpxX2/BADJxII7K
huYk14r0um87yVbktLmrxNDWLW255dENt+67s3itMXGZkUDHuT+IV3YuKONC1ihpWWySkhqaLFZe
cXl2yItox45EXJ5mcw3ZC03DpuvOedbZyDFdhPLi4YagjqYzgB1WPsIdE9UDS5CYZkFfs/Qrsxhc
Syaxs4l9B4YPMRggLZCVOcA71Cy63vdJ2j+ZWSEP0Dxi9Zh3NfhJMN5B9q3h/pwxN+Cru+oFSHqL
Vby0vFAcxXWWfxe6D9qNE0UtYf1cGeY6ll7R8UVaUEY7NpMUq2qwonFdLsVPC3YLfLWj2eeTNXl3
4Js5DWxAgeBnBa24b3HVXqpKyi/XmAgQicALcAAI2f5yggKOTpnkah0l+DkhwwQph8RkP1eusJ4V
zB6TGR5QpSIX8V6ajYpXiQ/BmtCfAnlqBVBjGIpkI578hZadA9LrVkM2qBpiKqtd4IpHiAoJzkAo
7HkFmL9q9fs4Vv7NmMvqtSbgX4YayOVl0HZ+rFoI9SHaA6MN147ZqAARcO+Swr0Z2QZxFxkwjVd+
lgTbzHCne4jUM5tlKvuhHKtErDT0Yzy+VVwfImUzqWyKiTmGmvEs9lD6JeOfJ6uyndeyd/WWnPEM
6jBwD0OqY/ajcEWWG0ha5q8pHouVY9gsJIjZO4FA4i/DzpyH4MwkwVhVAM2xRyDihomomltCdsOn
6UzTR6ot8dIlVn5whzHbmgAkHrgtU3+nLK97qq1s+qX6VHyxLEQ/aSysMKarx4BjaQq1QvTdJGP9
mA1iymBDJM1RqZyT17e8eG+VylmX3Sh3cCXplTFbAUUCtp0mW78YlzbsCvc99iha10NXdScooP5P
MIJbqVJ2G5hRcI3n9uUHYoYRr2uGhXpv2oOzKUYsqaw5qfdlOdabFtj8he0NDhz9urey7WzxF6YZ
tr6bOjXOA/3ilZAWWyCkQD83a5jx9bMqdEHScCq5u6qxEQcGKSwIyRMSbrXnC2pN5iAfhHfF/cg4
l3ByHtxiobkq9K7/m6u5PbO5p3vPRjS9UE/AwZspj0+ldSW0qpmDSjpT+8Aye/65F2Nwy2vpP9Dd
zZfc6lx8Quw/erA9lRxSOTc9Q0SPUW72DYygeHa9JdvoqEx73D9D9W4u5rKeZG/sMor0XW2LbJ3W
5H+8ZblLgsW/ULlgKCJM+jZbMM4Jr6fJoSK5HVYW6z5y5u08b97krC0zde9NunuSkhhW7q2B3cKP
qAjG0RZ1+2FbFV8wKGwLyJJagV7TbT3qEOZc/8tVo/hgZDres6TBdQ6gIPM3rKBXOqDoCx7GTFS/
at31vxmiM0el7WiNYwe4PuNdRbncjvHoPaK/kt50ZOEdG8aGDEXhA6AlJwCtVvy262je8Lxx3dZ4
7qWt+Jc5SJB7kdngIXXHycyHa71MLFrpNzhNAUvz0yWJ2VgRo5JTuoMW2f/IOmA8k4/8s+kkww+w
wvFQaNmctUsqXxppc5/XmNHCzpvRlWQxZs+Edqpdwuj0lCYsgWF3jYs1CPxiaLVp8ZpZRZFA9e24
bGbeHCbl+cgrHBP+ZYBvPGBkUXbZtmH3y6cKqgxL1uTMnylYld99N5HJ77qxinlihUpCG5ZbfmcZ
sj3xwSOo2Pw4IbayqRgcel11C4hreaAwTdjfEjOCFKkfN+uaoRZfViOKd/gT6w/g2yXPm1NpyKX4
wsjfjNippWreq7p3gdKyxIxImET+iSJ2lg1Dtxmjdmgp8IzoxCALViWWh/zg8ZI25NIX9gD4Zv3a
+7H6jf6KfufUnrykiYRSGwy1+5Agip/brqme6mDgtbVtLS/1Fca40k3aHSq1xM7GFjH9L47zddt6
0AApdqDJwu6KnyOruJ47tIaiswMy32VA4qwlJg2irs6YA+C2Vx9+mnHV+Eaw3LalkmLdDNPw2fe1
3HgJZudVqfL81kFUYqqkSzZMJ7MwTaRMb7rpW3xxq843l+eYefRToJoc1gC/7ALOwtxX9VSNa1Zs
iTczkGPymE9DcKdE4hQAChz/q6e27DHymwRuO27muyqe5TEp6sgM07L3907tGMiXXmIQIec927NK
YNzhjCBVLK3Ww/uQIRWySMN+dLl11o0bDy/J0rMGh+DgnZ7jq89Dqu6+QAAft2awSCjK2jBnKvuR
ZHo7xkyn3CBlH8nCBgST+O8tbteczWuT86AaDuq9iwOeWIwh3Y0cpfHFiZdtuZ/drT372fc1N7Wm
FJLPAWt9rC3mH/cBcKL7UTN8SVdBQngLSkWLo2hmcJ+4tfeee+NyV5qt8QtqYvZozglDIbvrS7KY
s/eD8pI2Z7y9GF3Z40S4SUz9y6InjCMLUobHFD5dk8hnlQByZFYB/2ln1h5UnEJ7pUoX83lmPJMr
KMZN0TUdOqWE05W0DGXn1DRXShL0tsC4MRm1i4K4UKkTxPlxfl181jjXCaM8/r8eXtKkTKctS7ZI
EdUwHNcwuNuNrmJ02LgzD1Y5vE3XXXhRXKfrBWYpL8RWHxErw2im3OY4JY5/SNvm6mCKxX2qCcRJ
djTFYTrrmsTfTD1mJC92bvmhaPG38i0kCtIFP7Un9h2mo8MUR/FG+T0sVyOZduTG611EJPE7AiR4
K+ya828OwACydQOkSy92AKCTnaZEILQ6je4FqGJ9N8HZPKiswXc+A6wFwJqf2BM1/NZ539zjbyHz
GI2URsXk1U+Cu2/r+rrb6yKIPyhnuhX7mh7YfUbfOfBC54W4lL5y87yxjk4MUNNdE7RLOMVDdx7s
mJuaGftap/o33UN/sGpIHiE3MauhKt1/5aoy9SbThX9gLOZ//Bt757EduZFu61e5686hBRsRGNxJ
Ig3JTHrPCRZNEd4j4J7+fJB01CWdPq3b856VloqVZBIZ5t97fzttbFzEdGL0FyMPSGAYc3tsG5t+
pgr7PpLg8L6o5mupDc5WAM7X7ZTbWA245VzMbXsxG/Zy4AoU7QdG5njJ0NEuEWPLHfBQxLjSGDZ0
89j7JJzEbV+YM71pFFsdMfb3J0SS+nw2apqMlQcO2VuoYwavKE70AD3w2N+SqD0Ok35yltG9cZki
wZ3JwaJmWb3pLKQVfp004WHS4OK2pPEl3QBlRqZL50+VMyE2RcIPuH0KzQbbPAriau9JnU03uOBW
SwlA+0tKWeSZsEf3vILn5xzMCWAxu+G0vArbvM7qrr2mmooZQdefaXjgnAA1AXszd/Qbp84wKDPP
e+nmaviol+4SVntz7PIUY5EFF5QlBmwmqDzzI+K4gXoNMGPWs7rkoLccBxxvV2k+6HucPOxzCrpC
xFV53+R05fCIGh55ysK+qgRKfC85m8+UnKGO5Eb/Sp+ed9Fb9rArC41vfHa6D1Um0T73JdkzPxzv
wwjin6l6c09ClN0NfMHeMSzxrMrGpy6LlMywHdphMcEcqBuQ9LLZodfkwCK1VewaeA8DRei67APG
0j1buEVZseDWxm3YcOq3vuDwtI0NPXzLPOzlg4wmRTGnXZbcTHo7Dnp2k6/WNmh7ROSbzsBolW9T
hOix0Y6dhxtppHV0UxDTeQqTATo6Fhfi3Y79ZpOau7bT3PrqUqOysLeB1CAaahHv5XazFzLnIgEW
M3likjp6EB9rO7nHblUiqEeN2uGapqVY5c3yMsQgRiUToPNJ48LEzu6UxLBwjJ+tA5L3yDMsWhIW
ibo0TAKjjtuzh/Vlb9wT/SIgNg5uwP5S38e57N9p7WMB6KzizPaSt5a2h6PTdX25ywkhbNGa5w33
OrDsIqy8B4yS/VlXLo59GU2YMzGktGm7A/RKSXvPrNfYOwyG+40aSYI9pU1i02LHrkniO1wj4zI6
jWMNxrVNeSN6Xy+bEENQR7OBb37XONeuFGm/Z3MqEDbj2SEHnwG5fUnKpL1gglOifGHIQD+sJ8Dv
MnWKB8xRy33ZW4M4FRNksmOFT3LaLkRkdglpkmBmKnHoHfnqF03h7xqubweH4Rz50SUxwXdY3nLJ
pbPFg8COtR/HBFNERG6Qq5nxUKtQnXCddgFHSBgupAfe+Mgl7RVLvnCPDcCOayt03M881eqZyYxJ
w15XcZKuvUOZQV7xoFV9YoSJ+DD5kXOaGm3tLT/Ov1KInyEUmZSKEigwGSnpBWoJrsA1JMcUGq3U
wQfRB6IeV1hogjE8zQC+cC3UEfOIHPzTRk11D3ikKxlI13U0UsXVVdI85rH2itWCx8ed8DjE1NAs
erAa3MRSnKAAqQ+DHMxtm3lURtFUr1+csFmPyl1FZRZsrJxaSK7IQcjEksD3iPcnKVoW9xiAodiw
T2fiovEK9z0yVnSHplY1yLCoccJhi5qlZ0ABj4vpYvRr8UH5VP0sCku9LKIE7BK1MZRslTsksVyX
jg4SjjNGR/y9aBy6PeckTj/CUmd5EM6643pXNiaEqrSvqZsDsPfmNjPtt0KLqzzEWsuliyzgvpda
bslTeZ/YjWmRpIonOwo3xy2YcOahs23NZGMXbY5pI5wbqNfOWV6sMBgcKvldaeTN2UhcFWIXdsUh
sEmswj1rRXnCZAX2pGtwfG0LJ3Pr3VBULcE8bAwDIc0+LOrz1KfThKyrBeQLxhEKIs7e10FwweIn
Ud2TniXxeaEnn59aiiUKbDDsBM79mQHakHFKJnxiPShqU4ad2yvBOQFm7pHSStoiIm9I322onswt
EmSP/RxZuKnhL/fthS/18pxiHSBhX6RCbTMgSh5pUdoOXhLwS4eitAUQMIjlKM9OeWBam3+VTWFf
ggwkxZBn2tGrdbAV14mO+qfG99LnZjRxI0P5F/yYi6pEkBmym3nENMgVuk7Li57oDY7MVq3lK0Pk
PxRJy20eudYkK2qlH+E8go/Xtt3YJ9aJJCetaZGNIWVUWOdqatoS87g/OMexGPRCjwy1t62n28dc
2DGXsaTgoc4wkExAyShIi2LB7JG7gJHRf9jiQq+oeIggQSfyONkts9LET9UVtUYYbiXrJwt2GhHu
KFj/l21W4kXakvBeJB23FgMbEesGFlAy1FcEeyayuFguX0WYhltiO/qVT1Jrn1rT1Ieojjp9qk2M
3JyXJVKU4XTRV2gRxNhP9uqPCUPIbAHbEuvKRClE8Zg6g3uBfrSQt0cOEwG+Co88Hr6DgyuyemfY
HT0KQ23OJ4LpRDS5RRoEt9qJsl3Q3Hm6s+NkubWbkOpnxcmo5cpElUBDk7jeDYkbXo7kEseghcOO
4SCFizFi+WdBNX1CjqyqzoBzZ9oblG3o00zCnaZLSgOXgOYR5mhJazJMIjnLOrDEPkH2BX8trIas
4AomwPWFKd62jcKSKw4VDSMcT8eIYdFc8Q3jzqWJoQPHE+7zwvoeMoNIppIWk0c0yo1rVCC4zHgl
cnlxXucbI4f9tetYNiMAy41xi6dsUU82hce7SAwgBFUKzFvh3DD2XOvd5Nt1y/kNgggVJymhxDum
uHDKObg223iUyV2Wq/lMKgSEfZxN8qlOdH1c5iF6wgnBSbpUdXqTN/kLoO1wVwEDxqzKJrILtd1v
IozV4ZZAEA2dgAC/qqSeHwgdUDZKE4bJ0ZRld8YiioKzocGT8nDbn9RZM66z7GzwPznMtR9mqorH
xZxaqHf1SJsn5/cLg/5PFfQgFkhdhFRLOYRKWFRz94dlNOOeqQUdIAwUjox06E9wCAp35mxDTywq
+hoXOS5nDg/uHVmn+i5cgCXgh7GSLa4eCoaajjW7J+j0kCnbmhAudb2HNq6i/TLKIQ4Ko2MSZdX4
P/agZZwEvhQbKh+jwWFumcQj5k0LC8p+WaxhOdVAp8QZWH5ivEwzlbtJMts67+f4Pm5cETBJnN/N
MNk5cHK2+Pkxsjd0lXwiyECBgHH8wpls8tjbUiLdGVeTDVk/Va9BkugBTrx64CwaLQEBQgBeJlIU
UfqsaZ6FNKtv3+bkjPLCHCBQdIH8sDus34FyVuOjmBj2NzppAmwe8LkKFnpOlK0oDr+Kjv/RZ/9G
n5UQoLgs/CuF9lD9CXb6x1f8btcg5OQLz7TIy7PFQS/9Q5h1fhEeZc8oV6sBw3X+wTq1vNXJIXxE
WaRUBx3tD2XWcldylG+ZpuMi2QoIqf+GXWOVXX92a6zfGG4QBS8HJdj5K+nUluQuvHzkcol2upnG
mM8EEk8ABG6Fw6XTxU/vzM1v//L/KTVH/KTsu//3f//qDvnt9XhBIlom7wdvxs8ycB5hRBQ5l9nF
7aDxu9E3JxymlCN6zb9+Jdv5K96K14JuAtDYd+FleUBh//RacKBtx4njcWdbJmJn4XkotlFsneNv
ri+zMBouUZ7SA5MfyItN63+h0w43HTnNc3AWnDQaI7MuaI7m85jpzmWu70fts5uDLCJ9JbwrISLr
Qpt29zGPixcGnSXxT6aTivG5L1zI4FZUP4x1mRMqsx7oGumHPYaNxjr2bmveJGvNIZiSBUYqMaof
vYgrpM8Rh7+iZOlbT0b8IxIJlsNSOtsqzJcbVhTstT1q2KEZNDIfqYtbiAjGsTF9czhraGEh0Rv7
fCuaaoVnxQSOm0PcLHKTRLkkTUJbDLtuZMhDvThYPui3YafW/hhNm47pCr4VObTf9I9Qr9KJcxnx
PFiDJvUry1M5i4cSDb6GfOKEF0vEdRhibHkzTflpiu1+54bmEERJ/WIUMb5v074FHlseSk+eUKJa
jiWArpidNYFDf8OJLvOYkhACFnSjdTj9/TxGklYcWUlL7SyD6Cw+2ZeEbtMVucCMEkbIhgOuggco
r/oyTalOIHsWZzX3monZkeEzZi3nQxbZt0yQCe8ZdzN0Jg+1ZQN3Nj4oelK2eeGf2xhBAwjcvDzy
xsa0om9EFH/j6ZQ/wJaSJgIemr8fDLksN1XcEdh1eXFbFByXlHk7agi+GstuYJXRe2Rnl7DSsi0N
rR9jyKNudagobmkcktG8rag5VOs7mjmkw4km3COkRAFVG1+01JysjBpOeBMBffAHs+ZWhApVB3bn
3JJKmpBKra9UFHvK4pD5dH9wzPTbtAWHwLB98fiPIVRXjpN+k3o5FX10EZFIgyQbro0gzX3EsQWk
Kaai4RiHGVdE4xTnbbKDicZzN631sE3IwOiUOu6IJuqG3XXTM4A2qpdyoK59ZNgIWyk/mv70Q+g6
3WZTK/YZtfLM1hTYU66sQIBHf8cGu2boqONIfKbs2lVX9kza3gmnjzjsnicU+h3+/RUDSSZRhMYD
iCMqLKUZYPEkCG+QxrJltZ2zkCOOiHCyZ9VBtPYLJzp+gBDhNeTl8jH5CAkqpSWNZrlwZABOY+PW
VHgVJi8tRtugRL1H4MDhTJI7vo2L2Qc6Q6LayJmCoRUTbmvs5aE3mAKHnXwYTX7SUhanoeT34Jo1
uYeq2v1nc/3/womjm7Ij/e/mp7P3dn4v/7S9Wr99zR9eSM+XponTge3y50SydH/B/iZM0+IlfrU8
/mF7csxfFFFk+jBx5LLtSjap/waJy18E8An2XfYEf/0//8be6sl1N/t5d7UwQjnI3bwK5D3p/CWQ
nFl2bCNxlod0MNS1NOUo96Ssin25pOkL0y396qk6Py9FjjHYb0JCRJPr7MysGc6IBPvnad32CHf8
G9tBpv4TJV7Oiz2W8mpZTPcx8cLucrRN5xypNf1Af3WudBtNVPO10ZkoPD5Eih7SOWis3v3KpsXG
LdDo/opN2H5wZYpzODGK8nuea6JySuQPdm6NW+Wb9sUah7pBiMG6SOx028eiOI9qgEqiDtOnQnnd
RWsomK91nF5istknhGMhMCAnlXTD7VCj1CZNIVgJyYbocSAPHATEc8xCYeBFaGSbUlTRlU/o8JB0
SbV1pwwsTKOznaMmjBZ9KwGtp/2VtqiB9kO1VTF1xnMiAGW7bn3JBm9cTFR77tFXhivXHtz9QIfU
/dCbPYNaFPpUivKqsd3uPMo7CyZrM9zlJX74AYbihvQgV0PtXYW6BbfXTAMMIu2/Wq1LE7dRDuQc
bJd7aZNd57nTnnlrkqJva8hlul/e/cLFtJGk9b7KK721EVk23KdzyB89eU9Ofo/cVL/Lsqeaq+xb
HBJTkY2vDLSjp341xs4sgw8+mLcf1uKyRbtqNVlyRECOnE1bJudQs4punzix+Vr86tt0f/VwqkVO
b+ncjO4+41J4A3o6PMH3nY4+8scOlIKaybIsKkG19P3tTHW0G/CMoPcabk4zBr0P5UkxVPm2Vudp
OFg2cnJl4YvvqvLkrGbVcPKa+3zm9+I2YJO7RH7PkH5uuQvBOpqA4WV5FG0Lo+yfp5RG8k75+hnF
KXkiAkRXZGPc4Uaqj+kw2t/GxCyggJkNkkQ3utqk0Tzd0p37BWTyzfNkeFm32BWGSYZHm76GrR6B
hWz6tLIs+LYO+QHJfPFy4OiDDKqsbbJ08wUoLnld1P6hMrLHKS6teDPKaDgNjV2+twyLzmbbHc9o
GoxP7Vxn516a7+xoCs/YX/AfO4sjboGQVtdjP1JDLsR0wWHRe42dVqhdtgzGC9WAyVNU59l5mY3j
W+EL8x2TFNWQJM4YQip1HJ2m21Jnvs2Ed5tMVnNHiw+F05oZdUr7zBMU0PjQVtp5rYc6Ol/0gNWE
ea+0NhVJyEu3IMm+5a/WV1HHjYK8I1KKw+U0wNVUX6OxE8pSdf0ccqTvNnFhagCOtoHKV9TZPsVf
EQ7mnBLLdK27yMBAFWSsDteQGwgCTL9WWdLbZW8G2xqfRJHIC/KFM6A2o7rE9Ecovk/t62RRHYXV
2tr1MXO1bpDQgRTJQfbouhaXODcSoOY5oaoQrv4PBQ/uB2fu5tLG8tBux6JZLFwEQ46GVdbNtuw6
gtqjMMdHrOFlwwhSmbiWPJ1JqGkW/XtzunLRHTrHG2fNm8DI9C7tUupdlTvmXocrLaeSvelta7ek
w489nAZ1jqrJfuEseNUrq1k2LUvxKy631UwxrfOa1TAIzZNzargd8CGQIkrg+1y0yxifesDiL6C/
QJURoNO3kzGUXx3x1Yk0UmS/ua03eagtXfw6VcpxNyyIyM2yBKiawazR8pVBBdi62HAUOHgiVllj
jRRF2wwFMU45gvlYNZ8bo+mVh75QDuhcAjsfUTVx0O6J8L9obBRq5+eqvTHXjJRTzeuiPYZ0wyfE
jZMAfWzag86b9UHZ5honsn3jVcSUOWE3mrg/MY2ZpkvuoAUN04ldwyA1jQYaatrEu2nqnWkX2Ra6
dmeMKVg/ssnozbZX3SdiIGEy4ucw4Ly03YfZLkxCtRaCLoHBs/v7OjaNIwW6NE0Xdd/uJONurK1N
Md+bUUbyxrUz/UpTImb9IhnxUIx6dJMdlYAxNxQD1pHZeWHGMNhKSbM7SFMMpq0LUqgC+lrPgLJz
kum7NUT5zCyzY7LWzTlFu0T2NpQm5HfUJobPevS7S2qcv5vZaN+9xL9zMQhUGyRIl+RUXgG8M3HS
ak9Pb7MaGF3jNBJvrjY7bC5kjM9NESHI0pEgDpE1yDvoouhnURYayMNuYWFdke1Ia53PD9DKFauZ
r6NDQehxJPZVpI9QHqYjo6oI4HlSNmh6brfF37MOG2nr/WEpdhXHHyf0iyQ2d1xDvUsjGzqJM2md
mvWF9s4hH/O5b/kgvNSkZB+gA2XMfqWNAY/iGk76sVvRLwJs8hBakfWoiWJdZoWH+kt5H1XcpSjT
F08OfM8yV8WFcCm13C5LEnLhIQh9UeV580ySv3DPE0x1dRBSoYhK4ju4B1uzc05ZyS/OcHKr3Bhm
xzfoDVH+1RgDztqpAdGIFswnpkcOY7Ce6yNrqPVuWv38DLsERbp0Z5gRmGhYe6l74HKQd1wxgRy/
cuJfbruBeNiG1vrxID3PeG0QEo/4IszHAsjkD2uYPFT60n+Klsl4hByU3+LUjjo4ft6wjXunuKSG
M2w3Vcg7y6LbX1NMTYqNSGb/NAzuDCQ9cao3I6tqUMdQ0PiM1s49Rk81bFgVjY+yoZAEO5XZ4j31
SwOxJFQcFXzd5+9JXC/1wRgGNL2U4oQMy/aqaqR2Yb4AbSSKWZq0ZMauKp6tMaTyrp1HeZc6aQwF
aSTA2cL7BwWfVdmNH1sLgm64TjXdyBuPYV84THC5btC1QXiT6324bcdkCxc0/+B3RfprAVb5hIOL
XWAAbka8ZrnLUIhqbkVUDDCRZWC5yWoS4wZlwdEGd5b5VCOI4ULWrgTivIgCxKrEDAjU0dcnCYNj
RhYQOOxwcvbXJngUHk9pdwmCSxy+hGLKmXRMtL8kOe9qZET1k+5WwX9M/G1eJ/zeUySvG4s4/+Uy
rWMEU7ndHUy9+m6kTJCf2TTtPQ1Tik88OZzzJJ7FCaCV0wQuOxxPhjfLMyNdhb/K0tzOhyzZwdKE
XSUtVI0ubdNrQfqPWj9V2u+LJasno/HxhlpQE65EO/GO0KTQnEwT9tymduvkDP6WeofH7XwibfNt
RX7aP/nWNPL+xnO8la6MPknL5Wci1/5TYiYgsZbGYPHr7auMuc9lPnvhtDWYrh7SEegqO22dkaGz
cEcXKcyOQ5V2/ilksn2c3N6BNoiKjgmQipS3MYf6Q+F253zntV/8CHXqXHihEX3ARJiRZrrFPzGS
vYqVY57PCzrfbwOu/0xk/2Yiy3DLItzyv18ab/SX/ox/tO38c1rm9y/7Iy3DVJARpAslar0DMhv8
PS3jwdgHZUXVlMV88E9DWfELhwaCcjjD6aCyXa5zv98bLa6UZGswmTg8bigB1r9zcfzrtVEwmyDK
Y6KZrWq8+ktdm8cYxtS1bnaG8l7DCba6AhgTUbtCEyn+TjhF0z4CX0yE9vOnd+qfzGf/xzz4Ly8N
4evn+aydWtydzK7ZcecEER4jsccp0dcs/BgbVO1//Wr2X4ldgMSYOkPt8kzhuvZa6fXzy6XhkAqQ
kPN+SDP3gkrVPvBJpm4ZQWX7uatfzCiF8NvOEAhzzQFJDpJBHee/QeiXoWLndZdV0yLD18tLL53o
JMk9FqXwGQg4JyMc1ZukSo9ADrvfpjaUVfzznjDrn3z7TAqYxkuXZ4UH6i/TbLtFJRbkUHYe8cAz
ycSt2+ANIvzCprQz+sXDjQn4c8mc6YbRZXLvQnewp1VihRuCBNq8QNiMVrvnq+GWp9iB2V1lH5FE
VMVSd943pO2nkb9rF+TzSrXQujqqg6g4QQdqbs6jxjYfjNIEehnmLbeZfIvMh6/mdqb0gI703eDF
d66XnkXz+IHUDCErprSl2E4h0e8oyW5lnN3V+XzvNl9zS48MZ8m3KZmWA+edecv+K0E0+6jLFvcm
+vzWZLEoD11Hut1T/DBT6Ty5IIsOdm5HDyIzbzERAIGmhvnOaYb8xEVrfk+LniXVT6cDQmN7xBoE
zQVnG/3FhBK2rqWT6xlqCVfysYGOmsEak6zQHoVkF64xhidoLguA7rS7GQdwpqTHUd27Sr0BcpFB
hJP9mqFESf585dSWQuDGC/2dN8b2R+3B3q51b14M1nG04/FqNCnsZD+Dw07EudrTxbFclJqXMMXC
5lVae6OU9VeSpF9JVIlzrod+gHo/7l1h3Rpr1rOa44uQADXXyovG9R+jQdhcDRqK4eYW5yBfUKdh
cjZCp2TU3DWXFC7C+6oe6CcoT3/zcVrnST/Pm5Rnui6rB8VY0hZyjfr9/HFiMmk1CLPWTuc5/OXE
W9aa8aYn6IP+WR8ES9cDV4PptMTaeItJ22PbXv0KMJMqQFTOI3jtYGFufhy1Vj+mEvIxY+b8wNl9
pQN05h2pjeyZGZK+lFNofv/6I/xnU/ubTY1kpPUvY6DHd1zi/Xv251nob1/1+yxU0Y9oc2dGYvzv
9Pc/EqDsdqbncAHxEA//UTZjEf72LH8Nh/INrOPQf+xp1i88RfRg8H9c/iD+LaHxf+xpHvlz4iwO
w1ihkMz//GiKDjeU7Gmf9zqQweV8LcLs21LlfiCnbYT9LZL4d+P27d9sMUquW9bPHwoAk0xzPW5c
gj4a+69lxMxwnEUsOez50G8pLJEmIoTLcjl6gxWd2+bCfSGRTJM3MjGWu6nDYneec6C+Sqyu/nY9
f8bYNetJkPmm4pHGxuqYcjwgdZJwX6QsBWgE19tZ3TBVm9CBzCHeO15o46CC47aIgRBh1FMd2/n1
silnoBP5HHEVEe31GOViiwL8mZoRLGDycylD5YCAxrCRTUkzTAGRF8ebMGzz2Mdc/d2pTe+cySID
Pk2Dc2VVhnWTR1Z2JTuDiameyOg4Kn2IfMXrhfPUHRhDFLezV+24rKPrpN1lVvNWTP5iYcvCYo+n
KEv44nFOsqComuHTEYb7SHRr6oJOW9E1SbD25JUFZQCYqtG+EjTS2qbtDO98uoEZGT2RcvLvhDdM
MFviGkNshcHK1mxGjbsNqz5+wS7tMJJqXWPFddHB5qzD8dHo+u9wwkayKSsfVHOU9j4BgBEOIHV5
Bn4533zkBgIEKyIhJbZh7cR3XdWsgSJ3zmhpt6MUtE42jwdlqviIYjweR88oYXwSz3Fw51/RAuJe
m4Bv451NJuMGhVcGXJrNU9Jx0NL1hIgZjRG3KspeSzo5ZX/BRIV+Dcjg5aFy9XQaUtXvwVOWAVcX
Emf07B3Laagfm1JJHTR1x9iTWHX1ZBOV2dq9oaCzZMjIB60Gv7qJbIfdNHYzkv35rHumUhjQSGLU
fo83RLtnCBtJzfXfXJ4gsZjYI0MZ9fh4abeleRN3zzV/b2w2aAHWD89A/t5FeijZ7Hv/JhZjZwUm
OC4v0C1JUA+AEETHYU0VU204HKIB0D2paNs5uDFunm0V1d4TtYVy2S2Q6UPiuiVdMlOv1Ea0XYq1
TNbzeciJBy5o5UGM0nH/1pQ2D1LWmC8RGc8feIjrT96Z5K4DR3gtyfLR5znnc7nDKBe/UJUOpzPR
+JztdK2GFKY13Ahb8yqLHVtnDsiHPpgBdb2NtQtHfknXOZw7YDVOhpTxH5rEvKNL296nHWcWu1qc
u9LCCLYdSQgvkBAaswBRMEyfTSFx66WQXW6H0PLJUIHcwUiaq52r2urSzxlAIXVE4mnoiV1Lra1p
FSzB3lR99whmnuGaXbbivUnSptzUcPa2Fk5ILxB52pKQsBrrh0HLyH3c18XT4KXhrZgc+VLqnJ4K
giwYMO3RMR8i6iz0hqkFHjesYcV9JTg3drMmlhY1UY1ZLhVZt+0cXTh7Bhec+0SbGziQJ2lzEhdi
2cWmrQ5WPKxlqhHc+KEn8jLLZRgOwJPau3YcCO/6kZkflyyDkFxBbSaFKQs654p8NK7neu5AfGUq
e0pnw+c6b1Yp3VilrD5Nsy2RakjXnXFRZtxgGamcWQltea4B9OEO1AW38jpV6Y1R5PGN3Uv6U1oE
MNpDS2u8TRiQPvEr9TZVLeixFqoGbenC1YRkE2/d2h13nuMVtzkuwd2CB0sQ2Z2aF6djTf816fOK
4ireWMz5jaq6xCwFbBVLF7MXCvhAAKTZJsJ+RtuHKqa1CWzsqcac+E6Nuv+VnErXjkp9I7CAypXB
EJJzY1y2DFfUEIxPudnSx7Lg4kDwHXyaqUzAe69YQykAizQukZ1pGSWVZGTnLlPwUTcGKt2jQiEB
oUFtp9qFY+m+jMVSfzXRQnqelDNLemL6mCh6G25WUOcxMbFItXN0boWGDa7KcbIrSFhmfFPRARjv
8P84F9Xau3nocofYz2xoBmeztvh0tVWRCBSX1EBiaCeqliIGszva2ohClV2dbMZOunvXoRJgC4QJ
907orHMtHpyWEhZqZmEVVsS54EeZPjihChO0mL2Ov2J5HrO9Vuk1QlbwJWq58FOqz2rYm0z22/ZN
DobFwLKVTzpti4uBgtjjkposxCbH/jNBzKvdEKeYnwsCqDqIVDJeuX2mIAiBSHpcygzI05zFTUPk
0JVfFcfx+ymz8QHAp8HFXZtkQfAqt9+zHuLbVjhU4SbwK3cDKJQrBahqzw+KlT+qiueyitqLKFNV
EqRyNQGLPMo2sM8gh5YmhZ+6gwsHgxIxwHhfemD3YxzifzE9orwcvz4onc+v3BDK8k6PYcVUGjYZ
k7AakfQsjGZGtxnh/XczItC00RRhzCeqSXNUDzEQSHEwPm4J78NvVHTL6AAwWcPELZ5fVvHogeW3
vplam6GyOc2vpFisE1nliVwy6dnXArszda/dIgW239X0DI8xMQNbWw1k6XlVFYVhtm+j9noiMwYl
OVNo35iy836AwzACFSbLo8cH6dOn58sNepOCranKD7abMNhVVc/Qt4WX9bUkFBsEXtNJL/B9A/mM
XxqNk7RLALEBvIZlKctPzTDIV0/H8feS0e4SWHHDKBDro+KNS+MF00w/TbZ7vkzuWmgVhYqkay3e
2V2SW+q944llC9zPtLF1u+TbisAeCjDGfHlNUxGGRXdY3Okcz4yXBobTuoSBtbedmBDzIYB2R9FK
+k4iO7yqhup5KNp4ixdy2sapRYS+QDzYczDAmqt7Qw7HOXbFvaBecwyamYl5UISwpet4MuptwTtB
O9jc7jSmVmxCtvokEuUcIQ4o/MfSimCVEto5awxDnLRrvcLLaR6zyXE/VEb985k0ecx2PgNSQqfI
RzHSgey/lTBSwCNaQjBzE0/dYRmkj2GV7uiVyCLKeONJp3w6HcJcm3F0VqkMiqG1M2m4izckh4yK
lhjXfR77hieK6X7JQWitqHNNtr02h/K6QYVgu2SDt75bTPAV63SOab2FQx4YxL6vRZJ0YNnmYqBW
a6btR8aMV07ZVMwXRO+NjzBpNW4h0D541VplBoQA+zeu4DjVc50Yb5EhsK6TNEjfJ6AHQDjsAiuz
BXnyHk+w655FQ83ZhPnz+DhmI702M4n27nwOHYfyP/gbYZCl6Rxdkhhz7swyX9Q+H8WYb5IlJzMA
PKM574UtvyhgaKlugOfmIx63Te0HTg+k1Rvc+JkSE1IMBgAWQqcxoZiiw/Ztzi2DeVDIgV+GS7rp
LeNztqL6FapnCdA2GF0DiDVxp03Uq2LvJihxXZgQqlrQu6Y6sq8BI6M+CC8moTCQSPHmLdnE8izy
PYLzc6rc27Smw2KN6uztrs130g9dttwhvIE/h/tcagVyui0+/cW2CB5Xzjd8jXQHNYEETltJ/4YA
QwuJdxoRzNJc3lG1m1Q7s/fje2O2YCDqkfePD8XT5I4sVzkAufKgunR+Dgl7PHRU3lOosXjTvGVC
31kbyg/1t89p8NON6bzboH7FRVA5odkFCD7q21EdBWOLEccPbg2xalN1tns5dgyWE9vAZRfZPIWE
BIgzbi0902plwI6vl6a4HxcWFTg3Yb3aqIk+bJA2Yw6VfT/ZZxq5RWGvmuYL3BBrEX1ekIGd2Wlh
PjLm9tzZidnGyia/KjjNF9tsSalH99oc970lkvuVSXFXobDuFgnxdink2vPQtHI32mrEBZ06lPQ2
ejSZmQvjIsvDgf1+TijqkrHwH6pwWPCCkw9RGzbKvKHebqAXlIkGMcpoEbEBKqXhhETtCG+tdKtH
i/zavk7MTOw0Q8HjtEzkRfquJFcS0VH1PGuFBFYYOv6RSQI3m4Z5krUpKf5ZxQUIOgzT7OrJ1E7+
MHb/xd6ZLMmNXE33VfQAP9qAACIAbDORY80zixtYkUVingIznv4/yKb0dUsmWWuvXZtJRSYrMwM3
rrsfN71PmtOqI2VGE71BCd/RkptxhVyp04/UqSJzzzVW3hHymS3SqEA+N4IMxxXYFsZDnwCJ5rfM
vjMYxtDhcHAsjA5OVTUP+mLq7KjIkajP+D0VHDSsn6sLFI8HhlDEX8yhbODMZxfgBaJx/qO8mEiz
i6FUX8ylQ2GkUDdW4ylCI6FvUspoz1jtvDONTeY51PhzOZYJlHep1PcQiGtScZkz8j5KrnnDVNPV
LRzzRBsOnlijSj+V25oaz2diXXFLlg8qLa8sj3ze2FSngg4WSEDZy6oxBR2XL6z846FsnfyQVEYX
kEYVKMnqruULcJcYobebVVdv2XHBGXcZP9bAPqgBt8t2/QxULVySNIj7vMe+OZr7zIasCTm4fBid
rrgvCPgHncXUCOlh1iF/zezk1xVInJ0BQxz67MRwgdsEQqZsgW7mRzwM1jZlvozabLwvlTZfzbJY
NTgICAGdVG+U/vXbLgEINOCq3vl1Ou9lOd2RHp/GQMheHStn8k+hS6sp84mgVQcXqYntqEmuLCuj
YFUn3rIzdV6i61TkAQY9Otsq9EMIdV75w2vdQ+OZ7c96hQtEw4BuOpT+ewU9++zGAu9WQwkiYWFr
6/ILwnJU8X9Bm2YPl6DS7fgTM+N+YU3vbie7nph447Z+LnRnYvMISQ2MeCWe7SI2rkh99ZvBN+qj
q+LhpXab7GvYA1/eCnM2fg69W7ZfKXstcPyaCWHeMsQJfABdPHqcpGIKwI1E5olsSP4JTBYfrhUz
WQ6xzwMspXuPaYAupHGfD0yTWer5D1jtvHRveQ34bjkO3HFMcEDbPqGxh2smk0KQrc/M2kM9JMEH
M5rgij1mATNSe64vx07HS3vvlAP7auqTkAUy6ISQ418s8kiirnb2REjLaSsqXNfb2l0TWXZpqa+d
O8IZkYkIA0f42Rx4rFhP/kCu/lg0I15qu4wZotGg1Q8PaH6QsMm5ase1UpJgsLs1zZjBFMC9gpLk
kHoDaZ88sBaA0NPb9iNxbrrxIs/kSAw9KujhSkfztq5byiETkoPykKCu19s0LwexUYMwr3td18e8
G5ieOg8D2L4ypu47irPX/S+G8eMvOUVNC2HNQT/697rfNv4oWcR/6PiPup/1j5/8tSYFeoff3Hdc
NptcJclP/F36Q99j+26a7CdR8lZb6C9QHo5Rl8SFj7fOY8y5FN/8Uv74nwD4wdBT7DR5ZFjqv1H+
rFXw+uOy0nQ9QJxwu3gV7PIFQucfN/h9vLp3inQ+qFE3L0VTuV8aBtcb0N+QMEhWTu+0eX4LAT3/
8LRdcltooT0S4mc0bcdqB2EAcw7H1hdtDRX3tprCM6KGnzKP+rf/Lev/yofR4VPyH23LNx/xh/5o
UbH+tK7/9XO/JGjzNzy06/vsk1Lhfeet/rWuF+SCLFb1/2pdFuI3kwczH1obIZqdND/0dwla/oZi
LSE2IkEjkXvOf/VB/L0t6Y8fxYudmuuDbWOLQQFYpeLvH2ArInI91v8T/exNnTAmGm9qMRwV5scA
+jxGriV2fkZrin3bFa5vB5O/Aqa8ywxkXcYhg0rjHWZBMm8lec4vxez4/u3AY67cWGUrvtsNwEjm
X/sE/YVhTF8GM6IpDGmhkeb1g9RJ8mY4NIo9mbMzVg8YOXO8lWxbWWk45QigolR0DaIWah1gBPQ9
jLcKT5sauBLQQ4lk+ut+g8GSPW8ly+i+7CLrp5VWzi6dlGCjRJPGqVnHVzwxhrhF/xsglMWjI9no
WLh+R12P1+ZlJpbreGzBKjsDfJNeoGU1hLfhZaIm0Gtmj1wkv5DenOneNIj1M3EKFgZjCElmSuJE
b5ZJOyltfzYYAXiuzPiCVY0OGJBob2yilPHeMwq115crwizWspURN21610L5hDoGiU01GLcM054J
NbbekB8NLxqzs55qWBJcJ0ikrhhOjNKtT65hWi89AtY/zzFzFXjZ/5A34p4EIF7cAaqpri3txQ+U
E9bvLZcuqTuuX+2UYWkmki93BHTbDq6E8jY+Pd9v/GnIGUOk70MJ7u5E6SVXwOVyHWSwdh6zmR3H
zQpspG0y7x1/wy6ci2Q5LxTRjJXilhkqEwKB04Hrw2XNZmFrjotjHDV6ypv2lpE+pTqiaZkNGEEN
ebn+eqOQ9+U0WeM28cIW/7IJcoY5KGdfXw21dWQFzsW6RcfwTybe+fqKGzI3Ys7wfqBAdiyPYvK6
tZC1EhWIe8F/d5fbPOUKSbifs2zIT+ZctfMuLvCDQEWpFSXmUT09tzjOcxiNbA3qdX9QxOjsKtL6
s2pDazrzqUNQMi+biEFzwSJxVOF/02a/GtAJbDeLu+itabAiYIkZqnOamjR0+1Y/HWOrhwQWY39j
iUctwAzsKqrONKiunnDA8tcdWMAHnbj3wNzUS9vCAN12YWOcot6Kz944ouoAtqjBhKTWI3ef9utC
LdmVL7PjUAn8vXAhPfEUaowBdCPD+XjGt8laipgcK5verOenpLSXz4JKmJtBmhrTY1/F1p3uI1Zj
dEcLQnUlLvXjYkbFDUZJ3R0n2DNNYKZDwSNqae4wctA3r/16roPQ9EH8G6Qhn5s5rp2NKQqsvp5B
s8Quo/f7GlxHjKs3mkk7s5mOrKve5kzYtFHh3Oja6tnHEnTHap9Sx9X5FS1H7gxqTVmkz7aMqTS/
VgBZsc+b4aux5OFhwaBLYXRVfuY1PQO5jpN9FDrTG3jJYtsQo3UPVqOLd3CXfG9qv8UDV0m9dZyi
uirNfHhuI0XvQ06z+Qrtn86J49j3LLy5fji+nR77gXLjMrHyYpOagyiOjdk4L1aRtVftPEZfZQaE
fbd0HRWM2ZRgbnBtFg0HH9c+bl7wzlNtwPeC6sN+fTGtno9H3jwnikwH4yqMZienoGCDpEO8N3RV
/lnLWJ9tHLo2up23vCLNld+boRr8/ZBjnDzEPHHYh3Hl5QY2QlAgZXAbN9QchPibaNGke3d8qsck
REfgRugEMbMsJkY4IdwqRVifB1Xn/WGabQvcw2KuAS+bfP52IfpubqXZtG9DOrt3jMDV1kc3/Uqf
iFu+eNAlTIybfFE2PnvgIDQqKQMiPDD8CmO2aXhb7IPUIx/P+G1JGGa6Prd2nqhSlmuZxpIZE2Jv
WbpxhK++eqQCEyclFSoIdWxzWwqbOfazqDs38+yDQJt6bKeWUy+7waH7t5gNBJcZUMIGOpALYkda
ybjLnTR9MHsK5BBoBbP6mv8zrpxFpB9qCKuBdIDZZzeOHS5bL+LI2aaWXexqkZjUhfW6vw+TLHrm
XlzmwRBNVrdalv0qsCTQso0vS9BSiEbjiz8v7CxpRk5gv/KbT9A6HPWQT40htqhhRbNN+rKuAwow
eSFCxvVjcjHxczawmuYWRlFYzOVTnBKcaFAGkQMooHAyf2u5yXRFBa555MO8GGgzyNjTVNXJdmA+
aI/CSHS47xrpH8s8TT7V5DdvJILwjmIuxSVK29B3cug5/hVXCnaj8FuqgL+Chl5iFcvJKp0sO7aS
yP8mSeaG3vW1fXDjeesvoSREZMJUSO9pFZkZELRtf5B5XzfjWP2fZ3ZXN5VZj0B/sylrWT6wKKXO
gQ0iKJzidlJV8mgD93gdZ27R2Rz59t40EN/TwvQQxDy0ypvMX+Zn6EYeYYKUhdMmylgiHieFMcUd
nfkInsm6DceYlV1ljOhHFfVPDZ110VIFHjrNxoI5G9453Pzmo9OntX8/s8wfNsboxjfso/13tYJ0
U0F29sLWdaHs9ituF28u5N1whfDaHHIBaWHAvNhk12Xut7QGdJCs+F5xIfmSL4DqG4nFe+tW1C+y
RYi+C/4X3QkSMGp6djKnNeS1PgDMlRtMDxc12rTaRARzinQ7THAcjKZ0z1bjmuIwrBTiYuUR52iN
m9qKgBQ3K6+4v6CLgRiKrUs1IKvtcDkbzYJFmgJs9ehc0MexBQVZrTxkzGLLcSIogogNEHQT1yMG
g5wXfUgj2kU2GCi6QxdH4xX1cgCXTTV2u/KCYbbSxL0dVjYz27jo0xlV/B6387NxQTiLC86ZpHC1
TyYYz0W84p7J3UGy0JxFLGnsRQwnp+zUN3iS4EpppxHGeQAfba0cabESpYlqUFGeJdYzsc36q7Qo
TLy102b4yd0LIHWE5bm4U12M1BanK7RaiiVDDKfQBbFuxVpT2jl9iwSsazoWk+G1QqJLsMlZ1Wcj
bVM/jBdI9mpwxEx2gWcnPjFjbJU+sCdn5WvbEVBpxpsVux1eENzUZNKHmF/Q3NS2DU90ULK0SDKD
neoF411NK9LbBu49tHVWnaVuQH7j/J8fZtdGmbKX+IaVfnIEOQoiPJ50d8DYDV3wghB3nRic+Eoz
AW/nqe4+WXR8KrzIO5epkRxDf7TvuCnGCLgd9zsEmR4Vo853QMIjnuXMIJ9E1aYXWbrxrndHEbgg
0ZmioaAbRgkQHSHTA6ROkUL5MV+g6Ry0/vOcpM5nP2CV30SOLu96v21e+wlVJb3g1+1szq9bUbkE
kZvIehOmY70qZrXbtpPRwc+HiP3shTUhL9wJc0VQTHNdk+rOauc7D8g84JEFrQIHhP3Whe2H0E0Y
02KVw7QgJV3/ZHPcvFkX5gVgKPgXkiAejcHJXL42UR89jxdWhqc8vHrMi0/j7zCN2gesAV2u2VIJ
BW2jcwpKFVcEhwWLY2Im/7CmRW1pgH1KV2CHIWxO/u7C8Wi4zKujuax8j+zC+qAFvE9vkwsDxL/w
QAxnZYOIeuWE8F+Fy5m38kNMa2WJJCtWpHUbYiA9a57n9sIdSUQknpJ0pZEIh0d5DI39Uc8U4fDZ
X47LgKCwyTwe80G59D1BrsTZ+q1dX5l5a++FwVSQQELB5Mfmsl63wLH2UnlqU6Swt6KpY6QRUYdw
ZGvNRLiAdLipCUzeOyNedjhsG3Dfya4hGHQmBlPtbAL126Edvmb9uBYjtmh90FZc7dONLeVtM/nd
42iEyyECrPelBlRygk+ls62tyqw6JoZvqACMXpLsTBWDjXcGw3iPO/bXZyheOGN6HKIvoz0oM4C6
atnbQg/YCXLPhf3Eg/Y2ctbLWeW2WcXT25+eknkKc+oz/ZS3UC7vZN7Gr4JXoYIUbra19fh914Fj
Q6V0bD19pb8DYTGxMucuibFTMOBywqY4FffwKfFg0lr7owibea9mNz9piwXzEauNc8OlwQvP0BzF
t7Sq7QC2QCEDhgx2gTGtIkgqGXTmSaymLFGyk9myXdwVecOOz+cd67Du2Fm648uMW5LW3+EbX191
3WY5JoTYMnm6D05JkRQkxToY4nw/mo1LIx8M7DthMgztwsZMrHPrxyEh+bI17SBKjJRbFdcbteWS
uxwwXIuvsuMBtl26nvsrm1lndQPkQEdDwszziw5byzkaJBFAhLVl/Dk0Wp6GuLfeC5yaQRtLfcxq
jvlFsFDfSJbwB401eadLXHaF9CIwtxACyZWiV0J9EKr96hgN3ZAYjg/K0jHQcQ9SQTTXcQYKJFcP
i+6q9txUgj1tC1OC5X1Uqh3mizUiNmLQJkkYMdfAJZ7uvNrzId93if+Z+Lb3BBLqJV4bBjbAjxAQ
KQLno7u4e7QG2NWZ6Z1ngJAoJdQn13Cq7t0BR3GtldLwP2We7+akbx91OKK46N5dCaZJ+z0ljdzt
YX90+uh25QoVj7vPuluGO8xx4AYLrOcAlqoo4iEN2f2DiJ4Z5LwPP9FClkf8ffTC5om6xpikkAQj
B+p5ON6AJb6i2gy9LJcVfNOmGI6Zo7638MTuM6JjyG0lxrKYW5JozEOb5ky8g7LfaIr45OOGGl6w
++5V8pkPJGLa0KZFLPH4fadMyNj2bp3CqM+FhCKRD1V97/EY3pN1jr4yUxSAV5JZPTnZB1lCSQtu
uELoSjtIZvicllPJU0Yl6FNYd+ZBe4iCHJxBVbX2wUpK9xO+pHUMKQE72XV2XEoPTVr1WRrUU13u
00LbT9qyZrDHnvnN1055xRJ7/GCJzVI9zNDU/G42J/qHK9K8HJLj96VXAPbKzGowwEjv3GX0+G4a
SET5dhiN5kNmypt3i2rk9dwTkq4mZvoMFeOQpvV4pGaB6/5Q0xzm2fOtQojSGznm8/WIf9FHIeiW
H3PagkjNmCC30im851kqdT0LsoWqLR3uxDmqRZ2ZgWCS/0GdrT7oDqAlD5MvjY9DcbNUsr9pFYdo
p9Iq3daUmYeHovLJRFnzockpIytxUG4shAkEDVV3L4y7DQsKwgbb6XLnQEQOmlZmPz3gHEicIMOR
Qpd32tnUY1nhA90A72q3JMpXkJbZWzRwcVyyuTnIKj+NAqd1nFvqrs8cso6Id8ZWyKpk2DEKEJ49
SknkdhLgP/fT3nWaL6M2KbiYUf9N6cpH4o3dsYH7TnMZKuJkxoUHuzT70hCD/QLJsA4gBOpbdBVr
R3xC7GuJrpm3Y1CXtGIw0cj7uFlpxNSrnmuTskx77o/25N6CphlpHnedq1kKi0HKX9C+bAp6MXFy
Rx4STEGRsRt4GO+VbyZbTHTFNQdVuuMr472BdEMjinTTbEsbFCvi3zOGPX84JOYwPROcbvcjmA0+
H34v72hh8HC8pGq+GXN6qjlxZ7qHy3w/d2sV4xLVgvrLtO52bNPwGcTtu0Ee4lmqpqNto1nal2Xw
mfaizH5rptQ8uEVG9XC1mMda8f7rMup2LtzW6NxMY05RdDwGg5SyPjhL5n4jPvuBs4bcfUUqXHVL
8QOAcnjgfKgem2WEPJeExm1ugxx1QrocUh6sAFSBAlFPVR2I/w6oPRNp89y9rWVYWPhxByAjPmw1
DudRJldYNMuTa2rvh9nZ90bI2N0iajGQhfO9cma1m4xu3oKBMTbr4iTFEXKIIRuc1LSwm5qrRb0q
Uch3mcEAa/HODlGfXLlNVx9m7hsInwy2eILk/G0h9/aCwc/8Oere4D7gy3vQ8Qeqw5futjaQ7G7i
oY6ZqY34CIjoeyMt0e4A9E1HRu/5Z+ylxX3WSnHEBNTsNHDM+cGkgtXpZzzZXmeFm3luSY9MBGsF
47CLtS1LE8RFj0vLg2kXGA8kOXvaqv8nK/wVWcFSaKds97HG/3uR64yykK1C1580rv/7yV/igvsb
Ox7H8v9F5PJs2uO4LzgkrP+kcQn5mwCoyQ+QeWPbvzY0/ZIWhPWb75JvwseJVMGp+19JCy6S2J9F
LnyN6BeocPxxzhoJ+LOyYIJ/oIwWNm1hOSxCc+phkAV8i8q0tpc9QFgZqjdq4DHctVol3a5uMzxB
EatQi441AeowrJvhaTRHH9e+7OS+48574019t6c8unusxrmkhaEat6ksFu69c54cIdiWV7ygIkDt
HY+jj/n2ZpZ0ol+rytRXdVSVyZ3s+8jfILPEyXrzduMr7bq40FO+/o9cZNlALcVMxFO6AIF3U2OW
UCfcGPtKlWK+2fSRBANJ4Nc7mn4pmR4oo3ocetkcyay7OIin8osEfo9sHlr9J/844EwepGBW93b/
7LYKPJEwwKZuQOqHh1HWLvY5TFbVZiyxB0tHDdFe243L2MAdqAraKUxuk85aTYxQCckkuPVinkUG
MIoDaoI1CTQwdI8pio95dBZ6fSCUOIlLpcKIxTqJS+NrRQswM1o+J9dVWGHMK/qEGyApSlxPlQvL
XbiUYnj53JXbwoaQGmRaExlHBfG+RGPVv+ciG7F19131QyyG/TPGyQigvKvra0by+WYaB+T5TnLX
3PQtwFea/6aMglsx3huLAcjMxni12hsAmxGvZvxrRuNL2zizEYSNaquD07Tq3hAyrLlkRTkm/XbA
TskCL3+uKMCYNybsF7a4i6pXuLxn/VS16bOfMaz8fXE7G+8eAWOYwGtoPUl0YrNx05oLhYv6s+lD
w7+iLYCS5JqCAqHb5r4Gd34fD1of7a5qHmOeUFydEmlwCUmLMcjJnuwymqo+zLabbs0hJZnN4kyA
vnSBl+lO7JQDnMyf6FFuE2+gd5QczKFzGvqNpDXv4yib3tw5nG8Igvhs37L2daJT5Y3EW812YMFI
RbDB+1Ks4Germib6EECAON0Evczyx7sUH/wuz0B0OFilbkhp+/ueP+vg5lMbhNa4hvY6L+gdjN5R
y0saF+qhZyNZboweCzEJ+/AMjKE6ioIunZIr4EEyfbxqtqtbzN0vhM8K7uG4moiybJrhCnc4n3x2
h1QljGP26A/SJgTOv3TsTS/ghtte0QXGJrhL5peaTvet6vvpbHcgwWK869uGG+qMNVmz2izwhEC4
DaN7CzPJgy0GjGllOt3xWafoXazh0Bgd76eHUegB07Wgxl5aT0s0Lq8Gu4hj7nqzvx/Txh02NgPv
a04N0BslSvVrVnUQ9WKdvrqWPKnR649Oxp+dQu/kcZ116n4WRfPeiKJ9KMGnfIw+3nEmPdd/EklP
wVucY9lNYTegL3KmsHsjSrMb7XkJIluJj3EBILCpAUK/EBSM7gguZIEeh+LbROXqHZK9+prGBlU+
hQwjUqztwCLUDY9znVgnSsXyT7cNfSakxhTUiOBevEtdXGB0wqX1T4FPDKa+Nz7TcbX8jF2o4oEH
wPhlaUz3YS6mexcIFLGgGG7B1pXWyL/TgHqXE19+t+mTJIMCFZsbcJ6HMOLc/oy1M3sM6Tj5QevT
hHI4TPNb5pc5622O5qNNNRwxCju0f2ZMw8iCvk2BSpsJ9dxTUya2bBxw1OcyetRFVH4o7fDtH1hw
42Ks83vKbwaxrYGMw7rwpmvJZd7aRkuy7DHyU2GJ2X/DDDbthIcLjbQW2i6Z333kCLND9XD0eTGh
RQX4DZUV0K6zHPPZkwytc9zfe5ad483K+JLUXC0wXHeifYxETglpBfBmM3CDfErBsu+UspsThjB1
Zas8fIyoMXvHMEfDFC27X42xfTLrYrqGA4PcUoPRefC1yopjNVIrPLQLHXjQ6foTuDsWg5ZBKTxX
KftaZV53kzdrw7Ol8MBlcvJvfSGZvNPF6PlF5M7yMKo2Go+CVuqn0Ezy53iI5FeRMhUPQ+RiuIvN
B7tMR2QmX12TICnOCfUyEe5fODcMfP5dUc4zMt4kz1mqDc2XbCixl5pjYuB87JSx93ACkztWfnPD
VwGtmGXqQ9Sk0ZXAKnie/bD4mNrG/zCoQTg0vslrHm1bf1pd5+InT8TzYCUehM7S3XlN7F1HWtff
qdYYP/DM0ZcS2bLjPmJkTb9ZhlEfFatE7JldjjpolT9DEOp0qDFtHHu2FXtWjMbMJYOu7C6cqut0
zOx9BY1iM8xsfiiOkdW+W+b5FMdD9mC4jqFgk3i01CdTxvPWY9l368ccL5vGgpW9icdh/IBZgkAY
FyJ8jLu5/2kPsujvrKyPqfjzHOqMQKmUN2GCRbzsk/lBFzN1E75u9UNZuYW/bXGDb6iPcqkGaHnU
lUPf8PAaVHbbthNoj7iozjFOUhgydio+QaeELV162Fi3+KETNNV59PdCDOYLdQbJK89sGIZEjKDO
uD68/FIa8iqnePwAI9Z/8SGqo9/ovsSun0blNhM9Pr6EduZTMrTlM+Zpu900XZtekcExnau4nO23
qjbVRBeVPlHzp+oNGWesPe3YXHWVKx4n0xNnh8vInlIBYi9ehBJfLeP9Urb8QghDg3Zxu+5N+k3F
6D8sb/SZq0PesXNpFy8PUsyLj9gcnWtX2zRuzapVb53QMXyP0WYcAq4jw1Oqa3WTxHECcL7J3ioM
UTcMbI1zCJuyxyKP2+Dax3X77kM1wfCgvphOzv0FGSgQhsPHOXKWwNe18wxBJ6NBEsj4xmfN5wBZ
bN0XcAB0UNdrHXW8FlOXkTm+kuujrToVFFcDV/F3cbdQMZRBPEbHz+OzSii7ntfaa9RtdQhDY48I
EzcA7alCq5KR3gIxQ4BM2ONsc9vN3j1KmejU7qnX1iFF29yO185ti/rtUFLETYJyqxmMduZa0m3Z
7Ue51naPrP82/VrlbXXes7OWe4/+8GS5Q/2mCRkeBkej77iDx4mVIp0fMD3gr6+oBGFbNJhcYCkR
TzA7H5PRwGho2ZSMi0vfeG9ge9hWfd1FJAmE8wWtaP5WQ/FOuB5SFLihYIZTPS3Ctj8uLVtgCPAM
OiZM13bL20yjTNgD9mwxdL4njRr5JfrIXbPg8XmgEdXaEvzO7tO55Jvqkw4LYMcb98hxz7kZuRQp
O+FzYqas4Su6lU495nUwNWuFZW1WBs7LwnzugL4e03zm0UsoZx+ZFOzlyWA/j84J7066p8liUxet
vGkL07wuzNHBbM8qe/Jx+rhlXJwKyywpDpqi+9brakiv1q1bJNatYlTeNNocH0JE0+tsya19ZiQG
RSQWz9gNIk4sEb1GN0CwFXukuvTWAoN+HTXFmO0MVqDFsUAavtELw+JGc515lYMkx7d0VWwHAqq8
umoYEF/7SNMPYE9O9Npw1vEEm+VjjYCSBjYWVntvNWVONN7wfLzrcJpfUr34t7jD43v2NwYdodE8
2xxi03L29NB8aZWlXrxczdcqd1knO+WgXjHjyAcOO4v9YmPG73yBzT0CS8kIbeBv5jtTPrlgzG/q
TGpO1K4Sgb/U3lnwD//pq6HogLrjvAgy5s1TORYRbAXqCfE2u13LFqToxN7GXMNdP6/tklNztgx6
/iQ9WVTSsKlZzIJ3qYuoGnL61k12UEek2GrcNh9U7rVPGHUWYnTM7EFNSO0OgmH/XrkK8waCVnnT
e+62cRCotrS5MOLMNEffeUTB3lt8Dd0uRlwv7lhKm2QxmiaXgYzBr2x8IyTOYw0TNiAaR1v7ONWs
MPlG+AW8QeG/hW7PRWdwQ59uA5ePKkjbpgUtmDukLetyxsakFuutbQ0nOnTK9K78eaS0MRVR8lKR
ApwfKKGY+72Dq+tnqyk9O9Rsz+Z9aHar9dn1QCDlER+Ou85eYVV5XmHR8QA18dDL/ZFn1fzIdwaH
vF2007aLqS3UnP7ErQFx9kV5NXm288axJB8VSK1Nkob+2sPVPU1z1mZMU8vbuFA4yk4oIQFO/1e3
1fHaIsSRtKj/rUj+qg3YdG33P9qAg49P/fE3NiR/u/3ADPy348fwI0/+tC6Bef77n/LLEmz/JmzA
CRYuR0fBff0/S7D4DUO7Ay8QK4jnMSP/wxMsTBYp2Ck88qoWaJA/QGTN30xbkNB2iOPawFf/KxjQ
Py9LsAKjl4OCp6GbF2KulPM/2DDBp6KqsgrYjXDSU+Apyon3FjGwbHJ+N5f/e6ANxIk/uY+RT8Ez
WJSCswXw+VX8+e+KUCWqWrYhHrlqP7gD7IHmSJiPgIXcL37zXpDD6sY33BqGu9xFBZnF2P6SIzeT
yL6a8nqvaJP9w37r/nfH6R+R8dZKLfmTEXV9VTzvOJH4DwWH4k+/gbBOKl8VTbir43mH8nDKsSds
R+HuSfShOZAzMQpqrdTeg3tOFCeYQy6pIWt4SSOaqB/+8wvCEf6vr8gTNjFZm8WbL/+ZLF/gBsSa
E4W7dunjg0idU1RK59HxrfBuimNzU0sjv8Mj0lOPoZZzUq1dVIvsN2k2EKeMy6+GLuVD2Fn5lU3o
9MpxklPtlvt66nVAl+RXd/qOTygYum6jqvJGYf4jf0IybjOXkrhlxIbK2Nk4CjCYgZTDGlItQcPT
sRTyxmyMgFl9DyUzSHPnxs+Ia8TJWRmPo6gel7AIBOK9Q7uPRLcxzD4YkQ1LU5wjFR4o6r0mMHpM
kNQb/WUujJMR8xAZvhmIRZzXG2e0zysBVzjHzH8d+uFtIIK1QeqOt/XknpzuNRz7E4TxLQrXwdZd
ULSMel30sDhnSIS3uSd5KmG0kvOucMOzjLsgY3Dww/x6luMTxb1nrqf7iUeGyoBz9kW3b1Jv3htj
sRHCha3ub/GrQPPQN0Os9qDYJhd0scPfmY87uN97G8ZtK9+U559TsBU4Jk8WeKg1d2Qlw55eI/aD
FbBbSsNzaAN8jnqfkstmfKxIQfF+blLDPvYdgeVlHAJXIu6lOrCab7F7J8rmukQfRmHejoxnpumf
a4dv5uDtzLTAw/CUwY039O1cr1pK/DGk4c5xvjVT9bVtv5d6wOqEhyPy79qQDu35nrDn0QNGX3ju
PimmLdnS/pZyzBoUcvg1cgvjZm5459w+uzPqdGR0nCooTny0RBdShMxm83tkN+jH1GEV22Ko8S+i
gPxo5zJ+EOTEP3xyz4pQ9vqloSIgscL4hJ/qybV6bou45k4tAIx3SGMV0r4fHbCUYpSBGB29AlME
tIGdekMacAE/kVlYFEPZF0/0YvZ7iH1u0Gk2f9iwpjUNV6vpQ+o5PwI96B30nCFatYnk2u7tO6lb
9aAXGJwdi5f9/3SEv6IjCIg0//EJefeZtPHHH5+Iv37kH+IBRz8aAb5/LHmXtMvvyQTP+o2ZzYQY
ZDqX8AxSxa+IDMkECTSP+IGLDYjoAs+xvycTXMpM4AfxMxbiAg/N/yaZ4K4Zhz8/DzzpWZ6NA5aZ
y1T/DPRJBtV4TtUt+zqvADpWhWQHrGnnvoldHe+027L1rK1wh9EjLnYiL6hUUAiOIf7LK8LLFkxr
/NnBgHmzRkmAFSZAWfQbLxxdfRCl1DeTlcQuV6QOaG4HVnhbUt53JuDZfFkSmQe9QOpN7JyRm0XM
sS8GuAXQWWlWjcq7hEGj2zRRN/gBpmdMJgXfK9zWs4OOLhyNWCi83LlKpgQ2ag/qhOYl27gZU539
f/bOZDlyJMuyv9I/gBAAilGkpRcGG2nGwTmTGwhJd8c8KhQK4Ov7gJldEhHdlVW1qVVvUiQknU63
AcDT++49tyN129O1DJnT+MX131fsx63wMwt7MrWmpn/SzbOrRiHdgLtZAHfxoHohvoonmsweSfIV
7dMQM+1H8DNCITTmdf6cD+WbXszsGsX7Me4XHKpJNULC9voP8CLp2bG79B5uuUfG3imvzSy3D9OI
Wmn6yDQ4stLTyHkRt5x5AnNX7lmYLLuQt25nsf6mRQsNnSlf3/dsk6MiDK4DnABn9L4MImbxk9X4
aozA/Un9ZX6qLfaarj/O79PSeJfU5YGACZpcbZRxFCzZWQhxVTQZwA5MM2A+Odmyvm9KNzgbA/0i
3KAMbkBlaeHNaSed4y5JfTDMyWLeebOc0KPLMsT8ltnw9ug+uy3Eel8KiIZ+sLXR3UlD0jl7SWJj
n2x0fEvd7uof6QJOzlWP9HDWrVVSgIknhtIU3+H5t7RJeCdHQD6RN/hOsK/Zzl5BSoK73ZYV7WZx
0GXbhG7obI9tmYOnLnLqZaV9k41G/m6MykauQZHH5tesL2ks7zt4TU/tIN0dAtt0KWQ13g6WX/JR
hmuE35kCbCm27seHwKJ9d1Nlwn4hh+k9N62Fa67VvfUjdEPv1rMdYixuHzdH5frlkUIbvUry4/wy
mHby2blZ/kPipdpRypV0uzyb5+SieUnjHj92g/emXAtSPS+7TwnEHwe/MNcH8bSnhK6ik7AYm2PX
+s01dIuBKMiD3WcqcvW496npbXQHvriYxxs18B5b1Ky/UQSn7tymZ+hwUGcCPIewDtBeZovQ6LT8
KPA30FRr8JYZfRP1tNoD6eFMdmC9MnBVz7S26L4HY8sxHkJO29s9O/aQg3lkYF3bOoapf/l5/EaT
IQH9TtTXugsnags0PqWcDrujkpVzoT67uarJztCCYjO15Zwu+029gu/AJOCetrXFbqw3M/9HnZXy
2YLGO1BIW/rXMrT614klJJ6jvmWz5lMHeHbbWE0kqm2paN+msmdnjiKY30k3ZeJBBp3eSsbqnxw3
sdVEVocOAHFvnEOqLzvysy9Gkk7TKc1R7YEWjUFHytopzC/hxXF4qRFM862LYMpH0RQhfG0f4DPl
DWyvTGucn1JOOFtXDTCK7QmtLW0yBHCzKMALD1TZIIpxm8bfKsxi57uqfMGrpA8qpIIvIin5rLpQ
XywxyBtQ5fVT2bPTwtTs4aMKysn86fu5f2DTWF5TEFTsR0BP+3HImSEI9Yjbxprmz5oMzFvZT2Xk
94N7nLiKuMO2CfWlQ/uoM5vYU2kupA4AaXfNz2QcGkZCL/6VG3I+FtQ3/uwxBWFHMfmL8XJaya4U
UEQOE7qzfMxwHgcIHzJIOKc3wXQ/yw6Pv49i6+39jj96SiiZ2A6ARPQuA1ntHWMbEOS2Uroqr2uc
hfaJphdV7Vw704yCRbI85spB3BcpoF/wyxyytjJwEEmpNUrWMqawuJ7cxuDxkoh9C4SJvaNC08GM
2RxmGg0jM2z4KMvktpRVeekD0v0GbPJpg24Bp4gHz6bSsr1SXr7AiGPvepinqbrG1q6f3Iy6nYGD
TrpZOLK8q56XE/UFl8RG6onuCF914pwYBmyKzq/IXKP1+PmxSBCEojir5i8TXNBMf+YcfqadQZ17
+72Pbr930/P3npoOTnbW5vf+GpQJ5iIwxuW9/N5wUwLFtjv+3nyzo0P27b434v66HNdVqptTTo7h
pFvb0dflukMX6zbdkkZ1JpsD5jIGkYnsSlty3nCbxIoz3PsTW3lZ9uZHNyz3Dr58sYmLWD2YU8Em
H12GyAjUIp+xtx7Bi+Ht9j767/V/0U7eC8gYTAGO1wI+oCh0xOb8ranIb30FgNUQUdI1/0oAHT65
1qAfBipLCyJ16DOeoCSo4xomf2Y795bsnBcaH6ozN2znCiwheIu8T7Zaz9dLWDpTpDwOFYFbXJZw
ubK/9SFplcShvlUj9a0g2QtLetogK0nxKB8lqZ1vxUn22qgPTumI3wxODMTttz4lEEmf3FSM69+O
gFVYlZccYJaLp3zC5r33TW9oMVliZ9z1VTfcAjRCFTNWgQw1vDpaOGvpi3LMThzpOh7jKP5W1rxv
la2q+sLdykKyimXdsSpxUL2HXTDKkqrpwrztv1W7Sii6kftV0GtcNtFbc5X5ulXwU6v0B98FFRCe
oXyQqzRIDhWV0FWrYqhW8dD81hHTb00RG151y6vuruIUcvwRXRNVrkiV/CVLdMAt1LEk2MRB6PjH
BstAsOkJdaVRYHQZjY9myg0bZc+gYHio9LU/me0SNUQFSIC4VvuTGK5bcGgjx0yIRrSRo7svsrTl
sSUm86WAC7Hrm2L8dYNNoVXEk2nh3AcSC6XETN5YsQIsJJL2YmQIphtzlvn1aDVPge5cG79cltAH
4/vuGT5EvsurMVc02dc/TceGZgB463Wpm+bUd2uAZVSeupkKIhSbFL/Uhk7aiXsKRsNNicd93gPS
7+6wSC1c8vFgYMgDEE9XddfRjKAKtN0EkcfaJ9Rd0fpS2eWmKCj+gvNMx4fhBMkTkMn0lyoHwSU9
6rLZNaqhRiNbagTLKam67TL0+OsTmxps9i3sM5ByPErEbA6co1LxM6ZgTu0ixR3pDfampQ88gvkC
129ODwykxwJgCsp4ntd7fGmAo8yFUG8xUecigtViUuG2NCXJhG1GkO0FFnyxc5Jhinju428p+FZe
JYGIj0NStpeGdNkjZApCgtT/boXlTHD/vbKMZG92nwnRmIy1Qyq+pqohCUtpSNEsb1ihf40k0DYG
cdGjxCcOM2nNjG4cNrukhUiIssqpZjY9WbocUN3tlancm6+Ww9PoZQ20cSqfhHuH9Tw4LSB6+p3o
KTw4JkMLZQmDj43LJKyLzzZxJwQMbhBb7DLwUYgTGCPJmLA99jwuooFnwGnKyva+CTP9HA9TtxpU
bY2/lynTSOvV6UC8ECBzOh8NWQUTAeQaAZ8iDv0YFCXrbbfjH81+qfr0wQS+2iyc3C3oNOMXuEsw
/uTK+bunoP/BHchkcW6KlvN/0cg7s9XhxTFJM25twOB3RV73D+AG3OIQe3Rpk+Kou3cPZBncxjav
rS0D2vwWBFP7RSyTqwMbdEcfmikYDLM65aDvKfnoWqMAdiXsu2qy5FMgAgiEolX4sEXizTxnk9mN
Rmz+B4im05Fvj073VWqqnw5dCNmxWbLwjJO3QkmHAQlcr9dgjc1Z4I3JJR5N27TTY1lW2NUN6Sev
tm97MBw1dO5SlXyAQyNgVzKyWR9hINWV5enkWkOeKjdzsI5g40B3Nh0DAKNKE6PBhpkQET2c5YXG
5Z46unGmhHHBgx4e0tqpfnGTAMmDMnFdBmYutvPU1TveM7OJxiCbonGw0mI7ZXUcEwhp2MLk45mL
lf4jFm/R2ArryoL0SItv4WxSV+kdd1Xwkr5hUym0IqHY5OeCFdsyJ095UoY/E+CtfOipV3xOys0v
feuG0J4zmqrwBvTWp1AZ7HIzTShZKjDlzpwbiSO1O9Kq5z6eWV8vJAlCkZa3Il/qOxYsuR3B6fRI
gbBd2MDeOmkW1MhyuKrDEjh2Eyj3PSvS5XMqu6qE17zCt8I6/2zthq6PqUweKNsuXu24Mh8ynXD+
83mG3IwQS/XBJm9PCYlvE5vnwqKsgeQ6ieGsB8HNZbGbKj3QoGccdYCpra4fiGyxLgMwOf8IAWYQ
tm/FuFV+6J/nBKd9pKahfJapSI/TwnCx7b1yWW24Mv1JfIthsQEA1Ll+dSDAskDxrur0nMALuPNW
rankA3gM3bF84H7RXRLBy2AysshwF3QtQjJivKer+NHWxpXHBxpz/Hrzc+62U+gkDwidT/9a0f2/
dG+QyYCCUNmR6Hzv762kFDl3lSA7cCh6K//Raky0TorRBKalfwXWjJhwPaXbf/1L/4768BDzgSv4
AewQ37bWitc/C/s2xJwl9ovpoHG5XTgWDHeE5ZstZY7pY7v0ijq12UOL092vf/2b/75SWH8zsoll
Enha/Z5/k/lb19U+LPIFVFErGHV8B8NQ4xnnfhbQz8swXu2neFT/P9b7P8B6c6dz/qUUd/+Rf8gB
P+9f1Lh//NQ/l1PBH7bv+eGfHLv/EOO88A9WItxKXegc37COfxPjgNJYFn5dQmz4iW3hwMT+P15e
8QfKHjqdiw04sEz3v1RxGHh/R87zNVq/TatvmCUZiuFfv8WkfCeDo7jcmxVejoMRT5Sf2+XqgJUh
zHyycsAomEaldwi/a9M7MPv1tlrb1GUfGuhcdhKc7RFPkBYTVqouxENTfVex+7A32Mt/V7TnqrLV
JaS4Xfk5Fe5F5+vhQPYYz+s4kv1mbDU0JCoa4EkQwgRhfeGdKEFqQUKqqoJ/D9LuDWcKuC9LTOSy
YLJxZiuaivS7WcfJhQWL90lPm9oRAdKIX2FwtxTWct2RYNwRXCoIVxTNrqWi8H602+4L/pNBqnKi
3N4sY++zKob6lf0MsElKy1c9yiUYhpVNJj9H089fqGmCwYC9D0puq/0iOPhjNT1I01Rgztzevpjo
JG8UMsbA++bpDbv2pDH+mu1NNjNTbavayom21wMRtsK2AQmWgyGWrYe8VW7GivT3ZuzXwqCkFu1t
1UMx2cyWCt/axhLJh1ljPqIVYzaKncbExeEFRfLGcyz3Dec/BeaDTi0GMYqSrqQUGAHhv6pla5Dy
EOdgnCVGUgZjmhyBoUSwG9SLUgNjNyQNyQsoSqfdUPxesbHhQSUGxWkqd9q7Muudn6llTU9kQ1js
qzlmLtc8vK9aIt7UDrcadHip22fKHcrDuKCtMNcr9vj13DEwmItyn1OVDM9d1xZEdZaQpt5ucZp7
y0vybse/YHoe9VDe0TqX/igsxsJ9PA/hMc0GeRDmlLzmybSqLLab+VhUazWJbYDy8KKgbPRXnqUt
I2I4MCyMwulsHw1nzD9cOTI4hk2RiLPFIMS415vUs83WSF+XaZJK7NYKKahhc7uhhYrtWtvIId4M
s48EHM6BfFYeR/BIlXp6w+sUXPIsDIsN0m6sdiPPw5Yv7Mzhg5psHW6sHhDHQWNv6A6xzgVld11F
rTBenPHgQJS+IGbZP2DaBk9FLhmbcX+PkVHLitLBsVru4hwl7H5KWISR7xVHXEHiziLIc55GkzNC
KdnLbNgJ12/E+ouz7xsgq62m976Il/lbq64CY8+5bbjK4tkjGz6tDEwgKruwbry3MMF0DM8UUk7U
KAqktu1IjXQkWrvce53dnwIxDfm+wUu2NxtTsbllOzRDJR6Se9gLEAa6NA9fcTB2Lzmh0U9vDJyz
r0dwLqbBX56DW4ycJnhR9ImWEehBZzMPlvPhu2AybhP8Hh55TV2yE51KddvVi54RFJVz1ePHgkZZ
YsDfi75Vry7VzZ9pngR4Jv05KA8994F8bxeLEscClxjMZs/kN9NfDXOOyRtFpGsTKtOazEe7T+n+
GaPJC4EVT64Cy58VQlIVnrVkCcDfWVu7tXt6bAJmHQzVAZd5ag4zKCQgKCzE+MJ+NI6RgQZojfho
h2n5c+6ox8rDRFCtLRl3fQJAX0Qgmxui9O5hMuHAp8QVSFvFwvnCkZLfUuHtOTAvvay/SRReQ2PB
UZ3XjozIpIaXgJPlE98o4nNVyLey7pdmz8NkfivUXN50IO40Amfn+JuOjuwDwklNV4o/fuU9apuf
yC6a0xm8SToxeqncUvJcDdboXWgsWB642bjVIxp//BHkdC+Svcc14PldfyUhTr5mbAlZqQyBT3K6
rIyXDh7STTGG5m/QzChgQU79KOeprqSxwE9o97Kbn4PoiHQUXWaTDqWMKHh2JiMfIHZUwtgrVHD/
4NQ9lxmAJtCoQ42gdd3783D048Z9DKips7aWVvOmUlwpjpRDvZN5k56Fm71jPK6OoszszWC36qOc
VPug9EgdnOScQtLLeHC4nVWM7YiKkS4WxM8EDPyKrRw/0EyEd8wmUd+FhcHCANLTCC1jcE9+2S2v
OGBVuyN2EuysVjQ15sLByR5Mp6JCclzi7JnsAlRNlQblHp1eYCS2KzKCztJyO9Km9RNPu3+Ldibe
DfyBd/ZsNayxJ/VcJlOQ3VXpUHFDsRN3XeHq+j2nTe+IxjmJSOkW2AfyVQRoqgl2UHhCTkI0XvqP
iaFG1uOZzVKgqrp3t3d8Wgil7NMoxu4ccT5lkZxNsctSGnfsDhYCp053nBGi3SW+Uz0sjp2fQcLY
BoPPXcsxLNZOxIV4cBcxcXrT3NsVQQsnjPVDEfrT2TZs+5jA935sqhWxYwXjrmX3Q2nOoN7kLHW8
SaoGyjvMHVzu63VooDZTMu+OvbjFPHWvSjC2wutemgTRNU5WGk7OkaWh/fickQmmFVw6P6c0N09J
GgaELVFIhrGl/HbO3gt2qpu4839Rnfo5JI5BSrYELxonFYUPsPtzfHyT8zIUGQHApuVOzHlQ4gy2
G2wOJ4cjuIhmtNX2pJ0YbRDNsHEiYXjUEyYsw5FjkNEws6P54npNg58AXxuwLtZgPadtYCy4J4fM
PeqiDKYbJIv6Z8zCDTWELrzISUscfuztGihIMEkXrP7Iurmxs8cu47tSjmeOXMEWhpwvtyVlw6dm
KCmVzHP/vnCtcu+OMaQFUpJfiC327yCLh7cyEHI7LbP8NDpaNuiZcrKtNtFlN3h5vRsfEvSmDumP
2BVgu0BW4YMncJs3hvHkpFlJFasesyYKkLXqrd1l43LTrYu0XcUXhsZfrAXzLokHYe3GPplOLdXC
Nx1MhSwqJ6jtO1DjEE/9tMhP4SLkr2Ct5Kq8tezaWXuvq4ooQcQdYSQPPpnB7fLdk7fUfXitlza8
mN9deoOl0s+qleLK7XuDPBPSJoffwWNQwcT6btprLd+Mck+iCn2cuwU6pn+ov6v8BhMp6QQvnrzZ
d+Nfwbt8bfU4fDaqECvDZfKuioptFwfqALOuZ8tnhijWjQVF4V+ym/tXRXXJVUmEHkC5vTpyeShN
N0kfoqOUYY/tmkwJFYZSWPmt+i42FJ47bFvPSJetVQy9dxnXfkSXCAS5eW52e63paWR08buSx+pa
rsiuerl2Sy7TaAqDgMg+AXwdLs2zQIHxUQWy5hQYvv+a607lR+KX3Y+R7Dq8G/aX805l/JWXrPHn
7BYIQnI95bJXkSCp/YG5qvtht5V3H8seQ3VsewPNknCXW+6VNt8T8EG8ZkEgbz/KfNsHFFWO352V
BoPpDxq79VnFvD0RyG5KLrmNu8/0mqyZgCadW7ZNddHtgu+izMTNSYH0FVSb4rtUM4FiR8EmIIz2
EK+9mwwK8f1M2iS5UGgsQQV3a0snJ46k2hUUE1PH2uVEjbhB0/EZr3WfFF3T/Ak4brhV+JfPtRpB
ulll/4tQjnWvizGVW2vtEE3XNlG7M8Nne20Ytccw/KUETn2M4vocrE2ksxmTao3XklLd5FheTItx
wekG28GBI/MDSijCrwZKdDLrZH5pshlHJ6m98sUDrzdAoXJADySlmReHZsiolQULRrNqIlAgmZTN
wjmZRskUI5Gi+iNsBUpav/tamzElKCVtr9x3JpmtLQzfdcebpt18iAX1ylfLQB+sqxxq3pRj0Rqb
5SXOLhWW4e+xHqsv2QdBt0KEansnOUs9O/mcphELjKm3DiYbQCPi25tiuWIfSpWCkeMKcxetR1zt
FO0YHw35veOc2+VKgCLDk5/SGvbRhNuL486azWmCV3LVVnDvgnKWh5BvGgS3YrJcUG2x+oChTH8B
oLS9HigsHabSp2jYaYzDVDveSXA98cVcWIRcYDaANGaFQmkRK3QGVtH4iE+B+whtrVuuingGlBYy
E9yVylpqQvpLmNiX0qHy4JBWWpU74Dhqh+3S9EQkqnHkpFJi2ZizTU3bRHedLg3jEcE5mHG21VbO
zQBMGIeZJcf0NtC+Yj2exbE+5jIbYFq69Q+2252Bj4KZhDA7HOJDSMGA2MtpSbOTCwUpf82Stq+O
rNTned8WwSzfqwWuRAjvhRaTWbnxO3gIWnP8KbF8hiSChgmfu2Yxjj4oGTN70FuRZc+gnkFs2Oa7
8EbUuX7oNb1Ba5otztw5vPD47vSxCCx15cyV1e8Iz8A4orXhMCDEYwCku/UhrYeqOs2Zl5v7tG9F
QBGSSvLrxvG1Hy2V1Qz4JW25h7w0Gtsh0d6BJvAwhh4HM21PkQvPLkj72O/qTs2dTYbHNsniNV6F
md7wSvk2rXnOtpvm6rqEPOpj8sCngYCOatgSm6rn8MiKZxXu3MpPn3lIefLkTEPNmGNqfRm1CDCC
Z5kcq6fUA3v1aXENk0lSw7ytvXYlUmFY42gnvfEu78LwLWe4W0t2h9bfSl4OnKE+m5ejlbAxP6eG
s5S7IHZ9Z7MQbNn7UIUgtAW9cWZj8RbmRsxEbrXJHTlEnolO3L4bYgrhfZjLXQ6OJwcyorZ9VhBG
RXpb4wFizA/F5LVsPWLVEZYiUMA3yoh/k883yHlhKzC2SAz4eIYynb/mpBcCfc5KGFjNEUZKN6oH
xWY/AukvVqzbXJ1G0RnORjvlvUok9yZs+8U5mbhimVqo3QMyDeiCbGoyfko/UCXTewBvrvF6kEMz
R+HymEl6tSM5UjctE5HweQRLDqyB9dXt7InSvg7Neky2/LQJOKYeTWPb5U0ID7NKJ7rEenNdn8MG
6bj1k+nvbPkES4YTU5G3/UdF5/bJAE0QlZ4fX/y2lCvbdbG8TZkA+d8ulYtZr0zEfZc1ziFr8+qU
27O5fAqLt4OgTI/AOw2PvPPh0aGBiJ9vfGwkepGn1qynj0RiH5znbHjBwDjkByu37CsoqGu3EETz
SAWIvEkx+i3dYHDsI7+xzGqrR7cFK0QPTnkTKoWpZBFBFe4NXhh8qCI8B94yw7QrGnI2NQ6ubtty
2Cc4HnvddqADmkQhBMERh2sQc8fuQm/336turjLqFygZTF3pIP9NVt3S9/eX/9h9u/9+qF/9fP9L
sgX8X//zH97u9U/+Z//P//GfMtrjX/fwYf/7HILHjyorcdj/VH9WLv/5Y//0EeKQR2UknwSLABvh
n2z13h+ozzZebjTIv2IILPGHg9UdtURgJbQDF8Hxn9Jl8AfAADAENMWykhX44v8rPsK1cPDPrnIf
S3kQ8j8uv40N1eoy/JOvvgcBprwJyBC39TsrrhAUje69cuim65kgjaG4crj7YxeiwOVP79T/w9Hu
kQD46y9nSQ1hIUQcDiBo8kL/+ssRlsxcc5ntrNJYjvGAIcgY0jnqJ4lHmvARmkVu00k3phBwzQxn
iGV+caulnaadMDWmA7TvTciq+WZ02aBRfeGeOeGznnIzcdX1XPtZL8NrkUny3v2MWStmuToDBgLH
2rf+D8Zut7hu1+0sXqRHgbIR0RnOX+gvDeF0Hvm3TmMBN1KevGZ0Ja+ZFQMUZayXK6dv2LhAy258
GJSPltkxu7SVWH7QeGVfaLc1Hn1cO5FHT8ItGUJEDdonMbuskplhzE95RgFa50M9sADzb9LSUwdu
Ke45RCM4rByl07JyLKKpNwxGY5avxdHxO/vis2aV297IlD4ZgIgEAXOgNAfHF/EhyZhhe0hiUKLT
OXgPaAjCu2e39j3STdJGsgoBP9HJR05OzMd5zOVlSHr2X0WXVj+ASo6QxGbzDSVFcipyjXqOTEYR
svu21q86SQiYMkNWD7WQL6oz3N1ILg3U9HAOauccQjA6UkUoj2MfAGXpjHdPmeG1qZzJA9zDZrlU
UlFOXOQQXlgyTgNdttN0oxCH+LCK4jyyUzyUbBoPNihAFeVd0Fxq1g2ntJxQMMZUPyaUCB44aVP0
2nP6lBKFelF83NIqzA9qVqiMrFsZw2etpkNhEB6GpXBBXU/2BfS4a2EwtFJnXbPp5vntGzI4WkRP
dyFXDi1Ng7Iuc6bTFgG2wgyX67jF0FLy8ffVAqgVL1DiswevDRv2LBTHLfFN+UI3SfCy9khft3nL
dzpxz4HViQ3xZDxbSVYS+Q+dazH34eOIGZQMrxq2MIPkTpiTRKAIsYkmXUq6F8300bcXilZcIEsP
QYL7DriPB1M5mkMiXVuYxZbaSOas9zxQwtq3HpB/3mKzJjEnx4yrxdJusXeWhUo6oXFG7rFlLjdB
7YvP2omHe1PUaw4Zg+xhXitvtYj9Xwsnqgdfy/BpFbW7DVFz4z1f23MzVTmPogCbvp2aqfPZFgLJ
3tEB2fQcw91Y7y3D6A5e6ObAv8F9JjygMFOdsBnoz3aeMoo7ctu+5L3VW+/swOfD4rtzFNL0QzJz
8fJPOfXlna7yYgsGsXyUme0eMQGeZI2SAIPn97JO21U/aZByQvxGtKGrGAfqcU7c7BqueXpaemxQ
VtyisSedGG/IILRn0814pKrJGp48bYdfeSzik9F46PsuI0DNxpGtt6xcnCJd3m1pQZXXi4W1mpV/
/0IYiTZupa0bs1ncj3gZ673STfbb9ixrp6Fr39fUnTw0OrQ+qmTx7ojrq0OcxryFUyCfOMc1h3Kk
c3PA0fKa5m73TN2HeGJV6pxSie7d8giPt26x0kuVKvShlRKTNzrFJCPaN6z+Cw2vTs6p6BMJV60M
AC40WUO9ID/52i8xcdc5/R3HwvOPzmyqZWcBil2OLJUXMJBZPu9wmOyDORWwaZloA0gS/WRGidlx
7HCn2dtAQqeYesrH7INv2jRvatreuCH5YWZujYy7MZZgbH5p0SAw+y0Wja1YfYXK7/zwMrRzdbWI
2WICdwqOKYFhB6e4C6x3YuEhitoynuA2xC9SwEHd5saojW1ea7L8cQwb4IwtI/5gZkYhjYdQn7Fq
6GeV14N/olwri5nyiuWHheEJ0Rew9C4GD/8BL6O9GfpU2ldpFYS70ZjfZnxp9nZOeGPqsTQeaiXa
X9BkCXssTbrTvk25makUJq0Z21wHmbiqX/nyU+lULdS/RAgeoTgU8cDuSLkdcmmnR09Hld8NMlJD
hxPW0a31NrUj/UeUTlurjaReaTDd8GbUWjo7Hy7oCwUv5muXgbM1u8X+ytRgR8JZwm04LP0erKm8
1SjsP6VYmhsTQGV+gDhgwgjyFtDM5bI6LhPObRF/LCPM2yGlJa0vHmm6xUCpHS76TeMMHQfbnn8A
JvmCPWO6oDZqCyMqKOG8MjYkN9uWeyaYiU26zFl5wLFMLjxOCLREtieWiUyZpre14hSM0WV97mCJ
a5559IDvoIqI6sNmovq1yCiBLXrqYPnI6CnLqYh1inK6dGttbIY2Hm6gQg5XcLoxaJSpMAZadqv6
jpEc27TD5dCuZbRA+t07CeY3Jb/gi9t8HL0bRvU+SmhAuFCNhHiB+HKuwo58d4HigwGZvqYo8Bxi
OuFai2tAU/IQ+9a2XGfU0Am0DUsN75i9S8ww+JnPFd9bNWch1vMilL97GLHIb2sfrzlMxp5pnUmI
/EP6Wjmjsw3MZvhhFLibBm+6S8kj3ANbTp6tgebfZu0AhvHCeqxNbTSQtSM4XduCZZqkt9LHGM/b
SZswiY3xa1wbhtPvsmGbtkVwfCnYYHxowtwIx+2vgyW9YM/cIVnwQCYNfHDMhiJj304fx7XbeKTt
zQew3BU39nf3MUC0G2eyiMlpqifup2EwiSgP5jmNwRJWNCiP2FxZ5sF+Xg11zGT7bO1bZoD9Amjq
bjnC3BZrJ3O1gkCdvOX38YPefowr/2poND3OhWdHVdumexwxel1g1MEdVHo4mJ6EFL4t7LUUugE7
dAZaG7zylNOc5PhSMQcxCP2u1lZpUINTeQrWrmnPzj1USIFnE5GLf9DJTiunJ1blQDsl+vGLtQMl
Qk6QDV/qu1qo+q4ZGnsah3x2zxd8ZyNOwKBcK4mqtZ6oRNCQm5AuRH2qM1yzMMkXprWiUjXbjbk7
y3lYVATQWQaMfC7Pw1Zl6mVwpf2iO5NGvCTgiL+OKt5m8BQbQjMInGyXw+r5WtrC/+Fgrn62QLUk
UTdmxeoHbNf8ONPXrpdm89QlJKl3Fimygbc0DO862S43hdkTqK595x8nRdO281tsaMHrJAv6dCdL
Ic0XgTe1J4g0Di2GgMf58LiBt9G6h8k2EK/7X2FhZ+kenG6FV0zn84NLeJQlgsSXH9VzbrpHc2r6
izLCVO7mpGkuaV61v8mD82vYWU7j+rmw+4olVOnI8hxuYtmoXXnpO13qW/g/Xrnp2ZsQeENlWrBA
GjOkVHMKCFXiNSZ+MC+8QXkRZiV8/BYMmYtL8WHsYwotAM2zHcxH6CBXodeNwZ4KMYYOku9XavTL
gLHHnJiAPVL61uwUV22ck+kHxRbg/9H2i5+aHjojzaxXltOLc0Xh5mXhplNwSy/8JxwCI8l0j50v
SHHdwf6a8H1sA9bJjKzgPs+Q6nHx4redIPEvCKq+yRi103YtqT7l5DBiB/NYTvOZhP1VOsfxS1mO
+TOJPUiQC5jf4OQOOjmVDY6ktO+MX6aVxwh1Fr4Ok6fKaYbpxXo0SPNXVrNkkpBLhhc+7faaGkkI
oUslhhMt7BxBZGmfFwdvROjGw6Vq8jID+Lwe3XnpO7AUlMpMnjPdtDAb0q2fEoAkBSRntYUB4z6S
XWEb+x+cx6y/53k5ZYZYKX26nYiWYY/563GMxfegyswZdrFlluxWks86qx8QkF5FWD2QAODB6qdo
CvJ/s3cmu5EDWZb9l9ozQdJII7mojc+DfAyFhtgQUiiCM2mkcf76Oh6VDUQlGoWuTaMXnchFAgmF
JJc77dl9956b/NBpP9/++/sgbpz/chV9fHtpmj5RYoJ1JO/+67fPQm0XGQHSNYBfoCWzKp948fPj
f/9d/txo/77xPr5NQGxZ4Prhv8G/XDonPfc29Sr4DKIHA6wH6UlyWhj+zoln8HpZrwgu2QFg4ZLj
ySayROnNwmJ/+Ea0w91PRtk9SWgT9wyD5OnxktGdbtrERdT0hhFFLZOHArrsOBfbKwJtFf7/TOf/
kR4DGxKUAIfRX3/zh+rzTzXn/FH8+vd/e/6Vf5TRR/nxtyTz11f+U5ax/vGnIYp8P//eHzzB/yqe
8uAgIJoi2PxJcD6YBv+Md1oBIARcaDSguQ9yo/9XvNP9ByNPgI/QJw5AVv9/JssEjw/b329T6brC
ktChiNYT8LQfws1fwkySQYwT6RAxgrR3ifK+KygppX3Y7TaBUQy/yIDDM4KYsMPEPC29MddkkSQx
cR40m6DCBLzueV9iy+fed9Mo1RtrDst9S6k2OgN7Oy+M5EmApt2jV8KeQkv+auyw2lC3mXr8k6r9
1BQT6lP6SLsumgfKiDtn/NKqUp/qquGi19kt9R4NlLujN87+PhmGlvVv5NIkTPzgkese6MPtHIMe
yXL4SX1zwyPOPzJS9m+wXsnBVcomGkSD6swZ5zm7RvoJcj1HLBB1p9lzKU6/k1iCvlfC82E5lo8E
xsgKGOWyZE92AQPhVBRfgipcURjinrrQT0osI577vWzM/j2gsgCGsJe0exWk4TOb6BGjFrkwimPh
xJ8n8ke4g4yRFEsbi+TScgK8NKWbZGuCqPSqon4s+mE6W1iddlwHh5+VWRRI6jnPK51rfWmz0YhX
A7wcjN+W+xKag3hqhTCe48wz34yqREVjhdnvp7ofbj0I8XUjIqowJ0JHy0iOjx88J1mV8bN3MZJE
5YORJmb7ZFJRxOV8zMtPeOmw8GOTEYlpyeaH9APcJYILZWam1gX3AcM3FJlpBb8SDBa1A490vEy2
NvMX+0Sr2Ttx6K+gZx0A0ptru7NpbaGP/d6NibEYSN5ZD+owo7bhpiE9LfPwEcV1ehgmbzjxhurS
cEGxvbGVRe+sYS95q7gJVv2oGV1I4rFGa+TOI5j3onTV4tA26qNlMH8ahkck3x/ri8cWbVsV1YTu
N4hLHGTmOgcDvpNdYUKDqMK9beh6U8yZ+aOe5/kQO1F4hZucnqaUN2pTDd5nm5XjxhSj3mcVFnwK
jZ/relgOAeHJMO3iK8g4SKJBo77jRgk3Uec7H4nVTcfEbByWlPR2SKYc4TX61TTVexEnUO08hiP+
TC866PEGll1LHgQgevKtGIddM6ZXZaPXx+5Bqk3kzYwdJeicbsRURStCt3PLVqkls13mLZSOkmc+
B8QmyTzdg8yV5Y4bRnrIWa28ac/0n9nHV6S1hCV8GrwpuSbJK4gbJE0+fWODW+8y3lNnCmIIhzHa
hwv0qWRfwA3DeFdJ56VMfefsFr7YWc3DTjQVFZh6b0h+mz1QkoZIS4v4EOpPnEhMH13nB5TsWozM
9Ojw55dm8wgdyekaO9RrcbGQK/Y9Jqac2Y+uaqwjbs9oV/fR9ylbH4jvrFGw+3eVpPgyE2c4TGbp
njEHciEbRD/zL9FiDAPEugd27e38uYZ0Hiq3f/YDOty6wht2EkjCZ5AnxfPU2lWzs2XqfPL+Tn7H
sheCGJpVs9ab7PjDCnMH5QyHKiaY2PMuKcj89WQWFPiItBD1JqvSejtENfa1h+l0q7qsvGC+EM89
HluKgV37Gz3b4qkxMOYteFHkNSYUCgxE1nSVgy5ztp3ZRZd5SK0bng65TYekfWpjVfxMeQvzVw2F
/YJS1z7lmRYMTHO9I6ufUJiT++eyLLAFkEuBSYgYax4l3v0dF9XoSA4lfYJPmnFvcl0LWqhhWc+G
Kwe9ptXKgJhheWcva4sbyUnzTj0tAExlkUY8MA1736O8MPE4sUb5OUC3W4IR1kuPaqp62bgg3Dv/
kLKz5TOf4iPACthjejOqbEvHdK3XWeLHB2ES2B+C8mymDcEVy3DBXQlqweOgtXajbxU3mbbD0uWD
u9Ykd7eQsUE6DnP5TfcIRa0muWYlwYVCvuhErZz/MxNBchqiMNtYdjUjvbf9MZKFTS2Ba35mMyDW
vncJRJZhywbb9Y7c7vkb2pF8CoM6QxFOERE8XR5hO5J0B2I/rL2i+AQWXq1zy2h2winlKwiWjfS7
11SC1OOjTyM3zddxbccrA67Ml1Mlv1KtvLXUxkTFh0UfVIVyDticmLBTb93OdcjcJxfbcLwVHiDj
Zhkl2/85KveRER7MqMFWVsnRXMNTnt4m9ZBFQzA7Nzt0BK0VkaHWDYgT7hXPlHyPhMG52FSxestN
WJi5aq2VbJLPh5SVH7gO04OhcEyvqBVC10OGGzdt6PR3q3fSE2wBhcCi2nNj20fPd390o9qhHqhF
SU/JAtmgwwlORtyv7CfLaWdcX8ScqRhqwB0S8KrYDHtderQFrdvkouYJ2on7KIyOTf5nVznFthbp
oSFvSjTfhci7mmNG8JXlt6wNUQwVMn3+UUw5xgx2EO8iVzrA4DIlp3Rq+20ZWzXkV2HU97oF8TfX
g8/F0AGI5vVjdyzg9hb43siQamLQpIIN8asAEJ+sOeJdonOqjRlmjCgnn98l2HOV5hwASEDuf7J1
qWGnpvJnWUFr9GQ7XEj7gDIt6eHwBg6xAJ4/2EL7VFX+hV8LWmrkTumz0KRBl2FAL9DSCofxJQzj
r4C3+/vsyhVjz8mN/W6T6Tr94IFY3xPJ/bliTy/+bJr4par6AUWwb0ic87sR1fRLwgo+pFRjDbg2
55pGRrD1ImjIZ/qZ+6lBSv9gl1svIlqN1n4gKKkqDG/TCNV8r7y+3GG1WudoPgc22N1VpWH0kgFG
3hb4+H8LEqdv+HnUBm4wmwc/L4tkl7OA2Q0lnJtFz2bC55fvsWM6TnnlDCCjnmf9GXcGeVwGspcE
V+Zh1MZ4qFmPrPDrm3tVuC0Hkuc+IUhX9hKPlr8Ht0kHCLLiT7t2zR0cOL0SmBk3uoBDsyosd5vF
7nZus+8wKmG1YcPxXCpYlGhWtn4U18Gt80fcERAjunU3NL+EMzDPVbwVcQvgQ+EazIN4RTtTscKl
ssLtcjNELQ7cap19piYXjlJYfbg8z6h7Z6RwdcES3i/NjWqTihPGptoXJ89Nzob1FIX0V+B2C08l
WiXUjZAkWV7SB0BdH8s9+xz13dG2p9+WBaCfPUJojgiI0v3qcr12yNYDX2XUOtO56GzK6IEJnaN4
a8xc2PXAqRI0Vv/cAvr4Do8kX47J2G8GC2p1xLLcC7ReUZKdsskYS8LnkVhnIbTDyVHBBsjqGC+F
GN/5ov6Jmp75k6ZOPPupmW6cOCqfTJWJV15vusod2ZX0d6vE29An46zdiJxZmTjxwQs976ZwvC9C
FpxHDCDZxQZUcSYQEN5AtfmAI8vsCchARhgNNOKVTyhqJfJb88Q9pLiVke3+mrHzE0AIy4sYbevs
drY8dE3u/qJrJzjJjt4hNljJNxq66qNrSgelgTT4u2EV7YnHZr4nkgeaofZ+YlMNdl5JZ1XkpN25
dSz/HTMwTWjA0hGfOeiZi0SqTmqqMeGCDU/2VRFpjV9UTTw9MJpG81hu6FPtdkHjyb3hetOdzkQ9
Q0rvDnjIw1VpBKCtxmx6GYQuL2MRv1XYLq5mqDIsaH69E55KVlMm4GYxg0+kGjZeIq01yx5E59iq
zo2XctKpMCLujP2yJGmGLUwmIAYy99XkKsPL7BPP7njgMT9WbzFrox9AnbMDdZG8gRvtYBHHYLOY
ow5AMVno+BbZLICKTuKvUvP4M4RwvZQJ515IicyKTGa/0R7n+Oh50bHy6u+y7aNX3wiZMgvqn0iX
vzdNtJ+jbMuaVe2tIv9gK9ZfOVFH1F1G3pVJnhzDjLEyTeiSXLNaAL/DT3KZHXZyVRwImJK2Rvje
g96zDvAD8rWtKX4ZC2zGQ+wvA/PBeq7zFNv119CbZDOJsu3Tin+KEdZEmMqbnxPZjWPe04cLXTrP
NvaAJy0sBnPNTrraEBPg5XMG52IAQdvOcdZccdKVy1hW6tPkDUMZsNVjdGkHOn9Sin8szThRBwYI
jqk9FQB4lmOUTN/CMNHMC2n+AYd95ldhtV+Uc/yTy5i97/F8rjAPOZTUtvV3eg6He9bPWDDrUljv
pVcZPwqUr02dmGrH5ulPIiRXwXIeCy494IeuDakhIuGg433iSnhmg2zjqwnd/cETmbnJ9clSaf5e
LtbsNwJJA+8sDF8Vixf2Vh3bXoyBNUdKRfQdlzhB2cT/HTDw923wNJYB/74CcdKXEHoxoDKemodM
NiZ4tuJXPYw7qi2ffVTopbT65EoyhQ1KXk477XvRZnKaGrNT1e5Z37fvtVn1H3OPdS3wQvlioE0B
XanCnwYzE7HfrkSAbtxgy5/HYdPReydip+pJtk7x7vlhx2zkuvvKZKTFEm5wCk6jgV/CpvcymB8F
rKVlsF4pSx7xdVIEW5s+M8jQFZ5p6C7+JmxS/6dJ9a2DyOuCLM1D7wfUPOktDNPPXhQj0loFU3Bu
hzl/q8c+2U5xmOykLcYPCaeWsyMrLZyIE1Elp5xv4Df6Q+bO483Qmg2Ai990STLOJtPuzfsZpeIe
kLb4iKYw2cpmUG+K841HvKbpenKKtcwG9hu47DD+tkquu5YebBva7a11WypPCXI0v8w56p+NUg7e
QveOPkmXhAuRBgEBYrL9d2wX9ZZOit9JVtJmGMf4DLFWiasfWeZywCFOjRdWjcaESLVSBq1Iozfb
hya07Y0xTcVb52ZMrkBeryUf90Xc5tX5UQh8zpsGG/6s52lVxZBFFg6gpGvmterCcE0UHl/3tGtS
m0dNzSF6jyrMJoskdvO9koW/JSzXfEsVMyzFsZDTCxugXsAt5smOLJYFeam/SxPqRvUwNE86e5hW
sUnQPICBMZh7AtCltBeuHuZDwXh2qOnoecOl3D8HTKG3zh44TeZUvBT2mByC3ko/I6/jLAqH+ezO
rsKOp8zoiZ5t61RqKh1jiypNN83dval67Bcza8dqWaXS/egdmvmITQnzo5BWRscNKN5X4OEeWgua
NMJDC3RjHQVAooxZW2tRsXxf4DiZNxPrzBPnuHqPx1C99F7tPopeuRj4rSbablcXwns+bPDMgxAM
PNDqelZNhl2c2aAyYqWthvflpUn/ZnmtXAGriC9UFNvbRluzRyQkk++zFVKLSEBw0So/PxqZy9SZ
pB5FYZ1Tr706TDE1yog/rf+hBhSQODW2M6LVxpy4g/N7sPFiU9E/cFWhz9MVuTmjf/yhPVBWDF6k
xVbRGIQYRW7WhwocOgge/MefBnWYxAhSxqUggwaFTaQGfiEsBbEwQezlt2a8NfCjJvTFnRLH5Ye1
KaV2R4eo2B9B8/9akPj/RaudQ3j3v5N1sZeAsb02H1+/dPy3tCv+8yv/Kes6/4DvZLNGkATY6SRH
N/3PoLDn/QOmrW25NJeKB8MWS90/ZV2CwoQ6EVu5vNk4fQRfxGzSxv/+b7b4B+Q/k69E2bWwedv/
E7fdvybsLboOoOuaUhLGIOzOj/C3qNvSOiqbzu23Km2DbwOGtEvJ509xs0iaTyOYs+NgBrVa/vVC
/W+cdqzp/lVOBjnoYDzxXYzHaHwPP+Hf37nTgOQo8Oq30unCTdIIV30U9sCMkPQWmFhIgVm8TDBg
v+XYleb16FSor76XU+BCjZcpt2auKLnQjcjfQ4zKKEngABaONUXtkkYP7kh/WOzZHy77YD8iseT5
AIJaQ8snQFX+9CmGeiFaqPMcU8J7L0iEfUyVHbxQhlTEa9LA/W0i3KZWWYuakiBT0yGkQtrvesvu
3krHSzauReLIL4qjk1QJSs9mGmZ8wXP5iclsGbdgGmYab1c6rKjrbawncEQ0WHSZ94qlqN4K8OxP
TaEsnhBcGGhkj2T43ejzJF3PkUH7GgjBJZWxvxgSsi2Ru02ITWkPgjgFkBRf/bjzNv1YzND6K1pd
rfIlSdCxB8V5bA2sPgmnkGa1H+RgngBp/lieVt2D8e9cSgWddSQ6ZQsalaOh4wub2t2USubooBg8
pGrg7o/2By4zLEuBg1mJkSeGuI1YuS0pDSUR3vP0JSyDnLalJVIvtTtTFBVT9mRD1LsMTVc/sS9u
9zQiN4sQM/OmhfmCh9zpAK+BnseKjSt6SLx1BmFwBdOM/mOXXg/b1NbGSYS7d3BwPvhL9dpquu7A
LoAm6IHK5Rm34rJz4RxnaKwb8JGg1oqMeLubh6sGG8l2HhoK9IhAYP+3opw+VcP5UlYf7TqHudcz
pHHmiVruLYaV+zTnEMRLoFF08nScqyCNYm6EqSlSEj9xEa0QG5zgsRfH4jMIR3+Q/cyqpZoxly+h
43jvUef4J1I/1id2gOKL+RRZHWnFFQs7HjqO6ezJpHMuXw1A7c6pHdT7FitAZDrGAfiFOsRzUb0W
mEh4rdMGZdWkIHNeN+5AuQvVpdwATbOSkoe+rK4FvMIH5dB95MSrjHwYOuTZ0RlI6JE+lqdcF9Z2
BPBYYD2M/W+FazQ1DbWOuaplOdtrKFaYNGbqgU9mI4jV6XrqbzZw+Y0TxVN0iCLFKIL8671TWsSl
NiSme649QUF6TUz5Pg2+uX+sM0oGWzoKZz5Q+8zCpUji1o/woefOc9U0XDKpD05o7PIfgXwxOQPp
FxruL6Ko+peAICtl8IFHZlGO9gOy5jTD2neRUg/T0Fq/qlph5hOF9ZJRK9Ft28JyfjOehcEGsM7U
LISuhUmGYHKNu4+CsyFqhR1I+ylXcdduBNsbQvELkcP26GwS5wzs8DaUiV2R/whInIl371BEBn6+
Qm/y2WAOmL5klH3qIn5CPd0q03A2HYT8RdHb+a6PA3GRTpqsaofMV5tBXkHFeAraJFuA1WLsNOma
Kmaj3aWqPpdy1tc6Nb9wZkkKvRoYU20e7ah7UKfS87ggRfxG3kTvSlR4yTUOjfZRYOFTcTza63YY
q89ZNv0GILQ8U44TJSvcMsNTSAfA76IISSaQdklo6fDxw1KARpB9LvEeE+VwrU8PMfmQ211+DJCv
R1yprHm01YqVBaRG/qqrycoZMKCkUiRvFHwujbe2oA2DnCooSsv9DiDG22h6Wm4Ba24mu4RdDqpN
f5i7+ZcSNc8PAiMOTgXwCQG+pFMvHNSRDGUOnmq0frQnsOKPi6thWmG9dEUH1gzu593LnQyp3Jgb
UM5TxkUmwqzUGkV31gM28HVMqpNSk3aix4ki6ImiBkiNlGryzsLxwdMi+vSxE6+M0vV3wocqQEbK
pBxj4NUYbZtuCHLIBBpYW4yYLLFDElkdsnMfktpGQ951uV08iLYHEibeSdkyBhfo/uZ0Ss7EtdQ2
b2pKfCXvFL2nQWVcKppYojUwV3I7iY6scmVMdfOVGAQ5sbk15pMngTKSGGLWXMcNcD4EeCDMY9zf
kynKXtsER0juCaorY6vbco8AlRXwgdm6uFb6HQjn1Fn3fe+f8fgVLx5/p2U/Ws2OG1X51bFrveqx
Dj8nMKzON10XPGbbuQToXbUYetnjyIb2WaYDJtYHsx338YyjfBbLtDM/Fb5MGEHwaHLb6o9eEqzG
pnwzyGYX9KVre8TGmwlvhd1QWMj5HVtHR/k+y5k6aZ8HbFcPlTp1zp72wEdMsgHu1g/1dfLLWyjY
XsbY5FZaFcY1b53wPBrERDKs0YnvbEwiMXAOHsn9OiLQGlFP4lHq5TvNMSWaabhwugWuaX6F+BT0
5lcNnX3i+c561mNUMO1pn8zUHhsEa3YG3vNFQsHhyrbzJwb2EYdh4279nmE5jOwQATrijxyPzjF1
o5cIxPa6bgfeAOHA45no4GLA3g8N0ZjjezEqnKppsjGGcJ1wR9nQdWQ/xaCtVrnRWjASvORrjODt
hl1PCZUGr5gYlr2gIA7kkybVFWmKapSH2sJfaFgzC4qltuiA68f5e5iz8ITFpdaF5IXN6zI8VT7Q
9lCr74Mbw2qqymbXBm73GDXI/Mmm3VbSt7Y8gfxj5CpAKllDV05nZyuXzN8OTztQrRRErjHx8S1s
5zLyd0eVIe1mNz3VBUYGIjUbvYgKYzbRQjQY6DS3hyPjgn5P/McfNUYD2JDR1leZqGCd4k4nol2G
wztQmvzuUQR0NIM8+61HF7GNI2dv9cHwSl+qZD8/goAfXLMCUULgik5EM/xtxnO3k+7ks/rLbbXi
mA23Ru/T6FYlFs0uRsDJmUW9eUCZIDZlp+IjYK341Jv2eEHVgsP/qD1PeL0RG6OgwLzX92lxAMqX
fIsCyz2afm89k10Nf+UagzRytl9sWWslGQ8miyKl1nQPES+1icSTButIGAnLqVEnCwyRPathBIpt
QWrlRTgQNUnD9Q8bHZWRsZ1HXyz2TCj3gJ4q/gglVa6+bzzDEUp3SaynI1DJeVuaU//muG1xRAQs
oacxPpynstQbW3dIkK1pZgAfYjE/Z+k0/epSWfAxZUV3bwC93IO4UtyHE4nHvgg7fOxULqQhrYT+
VJnnMC7LQ4xjajuRU0czYD1OnqyR0Vvi1M6qKMz86I7G+NwPhbPry6S/GQFOsNaW4VXoyj+Ri7WO
cCG9N4NM+LKGUvImnHCvK8tdyDY6N34qyZJEFOnWhtvTOp45BZN7zOqPJ561gCWUQM0TNB95TYPY
hYeGliAAcF7NzWLRoTrm+EDguS4ymnvPYeDFWxp36oXdlw/VcsJk0hrzHvd2tiz90vpOJrOnQaxp
8ROHAxXYs2Gn1pUjgvMN1F4/8QDDXls8Whdy3A8s/MtgI0VJJkI6D9XQSZdeHnykibLW8OQynjNU
Pdp9KjdQa+IvhhYKfSXyP3i5nHa9bpzKbeEOzV7VvX7nQzvfDWDRS5SuEiwZ38Q3TEpIWcKs3aKK
gHqI6FpRQ3cetNmPH5Wwx/pGsqDOvxnw9cDwI5KE3ES44C3Z4aXDAiTuGC4deqg4ZTsiMPgYemPr
Qp27F84QPdPNk/yeUdy3yGYE+OeByp2uMfVNTbb13lWB89yNA+DKqbGDt26Oghl0NGa5qDDir3GQ
6cGQjvioHfvRg1UntGcNVADcTQbUX41gQUpNKEJPkYz1fWosnhUzvmYGNm3xVHPbOtrWY8Yju9Gi
w/1YmB/0ljrfXWnK5tnHldmew6p2xHpOsTGuLY3DPSpIlrOfTS36JCLMgkERgbdgtz3Rq2HxJlx1
LDhT5nbdrNtiksA56S8kXZv61qriPDxWVhpI0u+1ItbvxbhZDFZutaE8i8+7R91f1atoX1edeM/n
Id6WNKu9qMDuPgiYF8uazs174zo3+hdXEaakldK+f2yniL0p70NyptL8gLA7/IjKIN3LxE1e0rk3
3ixVUR4qg8l5l8k0Hvp2mDaQp6qLPQt5izBeRQsrGsOdk+brelIZdRx+/ITXddjVmjLEjpfwo/ei
nqCYIa9OrJoNS7ktTZ7ehbaN6dBKsIZ4/tJ76RgUgrSi+7MZM60ldd74g/wajdPLidRXzdzwxPHC
UxT7P7oo/gJEMt5Y04SQNuqm4GltQx8lrRv87nzlLWMw5xvHlnDmBzt+afygex1SPjm5UbavaR5F
q3CU4lSCzjokYGNvbKZ+R05MewkFkPeacfaKybZmukrUL4cwACfoYO9KncnnGT35MEemubbmdnjJ
LEEFpZHFZ6ro02s1N2I9NbUu14Wl2qcxdAaUrEjtqS2Pbz0CwEpQIUM5STqoK9zG/JNaVucG57Xd
TDMEBu1XzaVHy92z0njtzDGpVqNvT4wHAHPXYwVThJWEvcm6diaOkeORGTtzmeWCGahN7bc+rmy2
/KgYucyCtwRJ7kfI/mULMkHvOVap0kE3/ZEwi53LNgLGqsP21BGS+tYy5bHKpul9M0MEOkBzU6cQ
/Or3XvO891TV/UjoBVmHc5t8TISbXMyyXKmtEtEc6T3FDDXx6Uo4VVYxoj7gTM4Uf3jUlk/csQTe
hFnF6akUffhC8Yo+QCtPX4yK95Wmg4+bIOhL1gnZqoiFdfVITB5Crx9WYOrz53FS9ik2ivK3M4x4
jaE82IB20vZsFpx5sNhD8eVHGTcsygqaoxlpzNEzWJmdwRsNyTTvoeG2bQYmrM7aaFUZjnptR1UH
3LtG6xslj+rZa0Dyp5BWx4X3BzkyBnX5RvAn/BhaExxJEPF8OVIuKa8zT7+X+Q+wBMA38BLoc06z
STNoRFE7cL9yu0R89rIEjW8XM7KuV30QaaQzmC7z10oi0rhFWz1FTGqPAswp5QdK8fCXoHmS3nPu
gcHT25IN3Ba31+A0dH+as7796IquP1oPNou2/XCtqyTfTZ2A3PJguLANsRZVlKi3xjOTDeYA4+5S
yos736Q2xVu2POKrJfi08qvC1DeeATfE7s6QOKlcstDTohsi64WsFwwZRbva796kYQDIyLSeUhIu
i5DNFWwp7CKvGXfIVQQ1YAejGYwOvzz1Z/0fTo0da6dAAu6bp8ns43c7SKxnL6UgiE3WzM9AN+F9
qnwaz4woKl+cov6t/1Bwam8qP2ZIB78rZtB97Bo8hlC8V3FRVyu3NzC/QdPJIoQtq6IS0ZtgKbnT
quVoXg5tK5bDA8fDMPbC+r06TI3+ZoaDvY3A6x+jFHxPEAHyAWXhUv9XPWWdCpnS/XubaOdCIq14
MiOH0Ap9w6gAY5hhQy/LIzhVuaffjrcDbDD3MBdNV62I0zyOqQILFNGlwMvZowSaT5oxH8du8k9J
NMUrRI9mawWh+Rnz9vlUmL1nvGtVwdfn9VHGpnvquUFtZC7aezp512mOrS1nM/u60GAH3FoC85jh
DtvcCGBgIEpdXNu8PDShd1OGUO8KNVhilRllemGye0BzeV7RTOID3h60GwMpw8qHRZqLJ6bG2UF/
m9uVoFrgxcy9XC6CoZE3RoOcVtI4Cy92mqD8D57etVBJlynrnRXWD5O6konPZU6BSJuT9qBCFVcQ
h17VHJ0GLZGqPzt8raPe3uhG6fd0EuYJ/g8WLBkbPMCd3r2JpKtPNd9tWdV1eI2hhp5MZUC3wxnr
HTu2WztRZSlthJM+woRTx8RJfJy5GOvKAXjzih6k8o3dcHtBXNPt2hWakcb3YEjUvTENEO1Vuo6c
6WfA5mUFvEosCVeaXwZ74n3Pwv+b5Mm0kF5HeqNWM/vJ2c82UdrRcu6a8wVLAoWgtoddxUoL/zRm
rbrNxmjy1qtN/i9DlDtZDTPL5tw7KFel36Vb8xQcK12jN0rAa4hXtB9gvrlwJ7BfZDxRnG6aPTMX
zluhOczaCviVRyJJZCBbGtv47rc9AYQJg6w1FcQ4TfpH1umYjzcvtLHjTb6xb3OpDkYFqRaHfP3D
TBhAjKhKVrpIEx7Gesd1ncVYUV96YlSbJgOpZbHbpakcN86+dUCj5KM3bARNsd6qjFM1AesN27Uj
Yj7jVY/cIP2JZq6sbiiLpxr4TLm3foEiZb34QxnhIptoekK5IpHTy5SGxxwWD4m8RD1TJFKYm8TV
I+4n9vflxsjR8o59HNtIsqrCaVcgfgC+yiLjFdS8PvgmeCn2zIgDyzhO+zvWqiZh6S+Tb9R2A93M
AwyZC6xG7rBK66T7nXrFvJ27Qf7I7Fne/TGorI1HAoV6kRSf6cYVFc+ttI6DhsoWacPfwgJ+p2iB
EXlg6UwI3w/Ua0fb7mdvmNMMRm8wnf34oDkcZqT+58SZy7daQDY20rK+jISnIuxQtb6Bx8AzZrMg
vaoBIU70Dz591r67Fljm0NcZnMMg+GFUIt6QwSWoIjxx0L5dvKT6kQosseZuOhnb2LStHCGl3fMq
zGz21XiWCXgOjD9B9a1t+3FlhtP8jHzpHvza9q5iAsS3SgdfPUXAbvSihTDwhWog3WUEIjxbmA2r
A2McDQeQJq3JaMj1vGyianxLfMkBgYQ6ndrC8dZdfEuU13WrqJTBc4a9hRJmcnWZbLKVDQ/tBO99
GneYaxUmNmI6n8RvdLWMpxFzxQjQtF+gOrs3bBEC08ww5QFU6wncEWx52131lV9mhFUrupGnyb7m
TtDexGTPrwjnw83AuEMs1sJIRwx+22olvgvcxBdSTs468SkI2dAUPa00xKALrIqJe/ngyx+tymKs
QTI/AsDvr41hZzUSpBU7x9of2bpY1oMIHlOud54Spqxl6xn928SqEfmf4XoTu2MKuigZLzjdMXp7
Dl3ky4wX4lbR82KQ9LSjr9CKiV4mjmV9i8JH7jEpzOJbmrCKH42QC3QgZ5fjVLtLQs9cpMZCuOem
svSdHLZ5twdRXibDLVMYK0n9PgPXO8s5pSW4r315MimlQMYp9X+wdyZLkiNZdv2VFu5RolBAMYiw
ubDZzN18niI2EB8xT4oZX8+DymrpTM/sSJILChdcVEllpUSYGQbVp+/de25SHOK2Nh+dyJcXaD+w
sOfoNMg/7+h/IjbFHZhMRvAep/n8WsHltrcIjjh79qJe+Fmk/WGmtTjGzbrPnnna+n5dZDE7AV3P
8boBeP4+GO2ywPESoZPNnl3XkkfLbOezkIV7YsAv9mGdNxes7WxAjS8+GrvT0cYn03aPQdV4dIy4
uoVn4Z5Imq8v7aHtj7MVdV9NZyNF4LGtV3Dba2iP7Th+Ogmsfp11G84QWbJunbY4FPbsnhTr9qZ3
y+zexmF7MiRQyZlot48iWSIYZgA++yoTxSGx3bHYLJkEr2YFr3Ibdm55xxGJ7jcmice0t7xbLJIZ
hkHXvYftzn9p1qEmJCoXECMSYJSwjDtitzFObSqGbcc1vMco3L6zA+XeKnEH/8GYTYskolzLeFs2
0Q3C6eYO855iesDaUqzszoa6INr2Jrfc7KIy+UMw3xcxluPeOGNBN0FMefdzpq22bMi9PHtd0+wC
l1MJkNwhu8NDR05O5CeyQs1TzrcAZbgjFDdwKWPnluFWccyEGd01UlVrmY5A83tCfci6J7JDm+S2
RIRH5f3knPhj4TVvt/E2QiZb848vUdCnW5M4+leOzN5V587zzTTmH+SZb/K0QxhBls2aSf10dhCm
3seDNex16WLtiPz7CU7YNnWyRblD6/LYNgLbrTWMWDJRID7gRqWucFxenmmhkmW81wism2HXc3xl
QtPR4TCQIR5byvafblQ6N4EQJvIOa9R3NgU9J4FM4VTxQBev+nGsTnGvSDeAOdLA5SFimenqO8Hu
xINXRFRdR6F0z4NT2rcj7YyfhevZapXCnGs57jK+iTqepoFsB1ZVnAtxQZaQoKeADk5+VUUANBcZ
Ke5Ks2yMeE3bHZVUqoYpXytKhIvOcItnK2TLinKfkiVaEsVMOQA4YtqCYcWsnpintsec64sMui0P
Y6S9jXCFtfWwM5d7YSmb3TQkSSdu2/ynYwWYd4K525LR7H1hxG4uEEIg02e7/yHwW2qUSRl5IvCc
cGkGikLWTZhbWXPHCUaa0XDRgArdy7zGZ8k0h3ZvpV4rZRc2kuvWIAEbe7dNjySGIZDO53ZULHK+
W1eQXZroXhXMfCCRDA+xO9of5TCNbzFl6wOMT+JCSUpf1v9gcdr5iVfCpRrHn3XK/HIBqACAYs3j
hJdzxkMjx2Lcd57LHCZtLTaatI3OgyHEW2YpL98OVYAZQE9sXFPhO8cAgtsFP8qYedT1uI4qC0eO
Qn0LdgA8hW5URfxlKAvy1oNseq69VDK3iZaQ+4o9v6hJlYG+VwbrMpBGsGndeD53cbCwGAeZnlzf
aU7h2ODLVenkvsOyjOnlCSZ+6GVLdisZVwHSe39SV1UeR3pFow2tUhKxi62wJCxoa6ez6kt/HPmY
NLVDfKNlSeARhOrHrNfMUWSRAjB2x3LVBoZxpMmeo2jXzfJ/DLx0qEpj+cjM1sowVkvoJXmh1Aci
ueKqYoJ6y+ZF7ZKxXZJeydZ+bAUZChtQI+ML/Wa51WliPITL6Sr3AN6QhjQSJst8cDuQqbUhKkSc
Pb+XH6mN2ril3bczAkLC1jYan2CnUBGsfZrDF3MuzBMK4vEKEzMIPnNpkudRicUGN77nOSZvVi+3
RjLc2gadUQgYnK6bl44i/DQFBV5xEOvbFpL1Zpjq/tOsVHLuKCeu5LI6E9SAqs8VxaXRVxKRIP8L
PBieKYi94kXg/r1qYNac8XnJbdkKBJSI3TAAQ1V4ibpqvtV9X1yWKerAJjKNLek3+TEzXfGeVT0w
v8rTl3lXokya60Svq3iINyCs53doZNEBK7R7BC4MT68DJDuUXaj+v+3zf8n2Sb6wiaDlv8ZwPX82
7b+tPnF9Zn9QBv32535TBvnkUSMxwlns4qn8PYfLw7opUejD4DL/SeLCefwvZZBcvKAslb5w4VSx
svwuQsD8hyKIBoemcD10Nfb/ljLoz2EUnuVL8jeUNF0XCsIf9TmujesgYzy/11GX7mqR+Ks+dOIN
7kOPhvV0/N3l+StF0BKr8Qd7KSQy05QgxLgi2Fm/BRaAEw0sAGT0RmH/7UOZJku/sb7tTXJaxome
Vx7MzMFomwsiaKae8UsSqY5uU5AB7JUWlQ1U783ffK/vSDCH7yUx1tpCSYBp7jed0nLCBd6JgJLu
+s+24HuYAw16TBIH2donHwjsvqThuIOUOG6i6axwnp5+/SUWo/n3a2OZNCwErB7sxt++A8dSJxiT
zttXdOf3THqCk0fN8vDrT/mLO27zUykkLR8Km7/8+98ZfF0uMot94u2tUh1UOjx7aJsOA9lLEGWa
4W8u7F/8JmXRY+GOK0mk7bfnS0ttijHx/L1fuM5u9PC+Jh2gzV//pu8qM+4eKGB4cvTweYblt6dK
BqlZDypw9yTO8jNSmh5F1t31efz+6w/6i4tHDrxjEgjiKqR+3z5IGTNXdHl8g5gOUG4kX8hzmNJB
JLeS9Or/4MMcC3c32BWhvmfPj51d4kuz3X1JEO86A52winq2r3xGsDUmzuHXHyeXe/Ht+UO4iOLK
ZkWAjfftXsWmZ8/kK7p7kJnpSvdQ7Ac3EHcZgBicFgQ6VTRMdxGVxmEuk3IHITJ4o1tHhETBPIn2
r95bRd5vrNQBxiwUikLH8rKNUtTbrazyauNFBdonIErsfzl7+4qIEbAwBJaSn9rOTElUAkdGJM6t
Jlfvb1gP5l+854DdHelLmrZ/fh4H+NmDmmJ3HxaRPCbK8I5Tr8Bd9urRmEiAT4LmWOjwy7Wiip04
lQ9457y/udR/9bz6rNxEMrtCMUP+4zuoE/A62OT8fZZ1tFds1CXCIW8C38/fSDD//Ek+sEPOq57l
Ka71t0+KqgXolfiknJBRuR47bHrY8H9i4pbbXz8+WD///HYsLEfQkgxJIHf/89//bmmpc9MyXNkQ
EUBltk17I16k6uMNZ6TxzjF4EGTdPnCaybcJ9Nl003oCADSYPEzMJe5mv6lAwLmYMTjfK+ceu556
VXQEDoweSIu36m6695vWvqQHVF6kERbRQpOSsKrMLhl3GeA8Rq6EYYjc7Y64D7wDqcEO3XsGwEbd
1Buta7m1lEaTXXeCmDoVlirYD62EI5+bhNdARLsulDkiZYoaZxv2o+RE7sXXgciTV2QF+dFG5bAV
mT8fJl8ZTCZr95jWrfsSW7N9PUh++NygKTICxt/K1w79PBmczWRCxd1a2yyoctr6sQaHaKLFR2vz
YEtdkVxTVK9eKLwVnncYtdFUc/YuF5Nu0RNxiIPoEIs2uTdEVV97IgdXNzI7x940MjYcB6t+qcY+
OKOQCp4if473PVHK79h8qc0DYf1IjeS5yKSPVgDo3EXS6mvshdaVm0cberkHyzbyQ9GbUMk1Act3
aHvLZmVFjnchbKu5noEBMeaonX1T63TPzyHCsOc0BJeOlutcdhmQrRi3EavUdOnTwUZtlzK0QRES
dC79+zreZ/XQf1IycU3oBF1GESeeEuQ0EqcAJKWyZMeo126eTdRmT8r2AOHlqmoYvmjhP1G2TfAv
Mc2g6crtY9ehxxhq1JjaUfZl3Tv5tqwF8JoYZxJT+Jmtn3kBbfpVQnJqt0l7Lz7I0Ne7wuN+y6bn
8pG1DVEPjwhIcawQK9Gb8daulPoRVXK6cH1p/0CBKDimizS67jFsKtLzIMhwbhfQnFg8RlZOe9KM
svPBf2LkQFibZSGn7YVI3muFU2DlBoon3kerdp/Re0UkGA3VNqLEOeWEzyHjcr/mkJkYjt2Y5rIA
ZZ3sPVklM7ijbrqUaV6fZqd1yk2cDROvEOSsiCHvXs4UOCvWg/zNsVTvQ4ZHCuUv7iAN0Az/SNod
eiyLZ2c2aKAldujvS8ZMei3SPN94RXCVdmN4oFkMWpjmDd83GpAO0DREGr3OEcWRMWvE86UcNJEg
Zn1CJ7QAiIv83ioG2gTxtBsRaz1I4Y9bRsrkz/LdDoNRhju/JgqIILyc+zvCbndGno+MwZ4PG6Qj
Qrhk+Ebvyr2wpvoTJUq9jTuNExy4+E8/8Bki9KFVHw0TcbFjkN+Xws7DJD4zFjLQz27qDCB4ioKH
LlOBYmecGKEVmnaWrUK0onH+KgidvCLEccA8r4OP1JpVAIt5AI2RAGjNuMX3gWuJQxIb2XaY4MAa
I7swpah+7xlc3kqfuGR/MHKcIh1xe7hrdhDUUBbC4hx7CsRxNu2LQA7JdlySazThh7hrT8AhPYao
Xg1/bh6wEDShBy0ieER4RJNWm+G1gcvoAt2s/0pj2nqUs2q3DPEttYJs1S0yEnJrhCoPUd5Ck1b0
tckrDE9xCv3CqSiOaTET+Vf1L56nmSWUgv6+YrI5dF1HKMpcnFsy3Lt1ZQ/zpsQRCoJBJxnmEpqR
NpmqeP0ovPHqXuF1irZ94s73UBSaM2ED8dsYs+IKZDnYWcx4X9fpeNP05YBXD6hERZ9p1QGOf3Rq
G0G/noxNMblIDv3kpXN8THFNPq4BnwPqpxGW5XdIoYijiHLnOHQWSmOitsMZ00DWkX5UWs7wCdeS
NFVw4ojfPZpBL0ynrbOdNechAOvtEU68HgcxraU9mZew30nDJGQ02+nM5cCflcOutH18lmbLgQL1
8YqGV3+HyK6Id9p2m1XW0iNJCuNrJJ41H1z1QJE077uakTtjh6fBQWtlmo7aDkNpnu2iva1ifWkl
dOpd06A3ywpOZGrxapZI3tBuj5YmWyoMSwK+QNPgyd5E8WxvRznQiOgG66oeuuCuEEG+BYmDbsyz
z3aJFsBfQkvIuhkJqejqn4EfQIojimbtTPMNkzVvl+DSGlYOkp+XwmUmRvD1tEP3QFaKJxhIr+3C
wChdTkX1SF023soitg5wg4O9jgeIayw2VzTtScqqDf8+4vf+wHTe6006Zpqr4eTOyHJeo1c1s650
N+hOA7FVk077rVNyRUiYm92bTBUgTEIWr+c+0s2bNJjwIxD3dUcQOBLbnVPkBF4289eE8noVxovc
wu1emSuXR/46bN/e2OwSGyQKJpoaG392x9q/ESw+V7yE9X5O0IpKy09/wFOqT+ikad5388xQcBGS
ZmG0i2NUjKbj8RoP+gIA6XiNoPipl6BCQ9/AVzXgdmGTv3HQXewa5BEp810TQWXgDDy5aQMpzbXr
e+mIezdu6kNZJcYK87o44BJLTuPU2Ie87rpjB0KVVb4rUKWD+tr3tWSyXmbgOjBFbgNNlsZAANfl
1ObypquyeFOIqPhRenazrW0FF2NKwEWzWoyk9H2xIdFIpg1+mB3RP2IixCESj2r41NkMiL8UZN0D
NIaISDgNNaOadgSRl2Boy/w4xM1XKWV5GofAvLdMv94hVbiJdZ+eplmBhvMt2mymafRPfZqGX2pO
9Tbi3lzX9GmPrqqDnVH4+m4GMY81P/jQft1dmYUR7rIYpaLjJUjaoSWnB1LLxj2pfUhNyO1AyiVu
yX7z1o0VyR0Us3E3B8qm9W+HxSlRPAneKMXOtLp2hZRz3pVjnF6QC8TIqM27eFgzSwYyC4TuXY4y
uwgKmba7ouWK+E6S7YPCN482zXnQls5Fancvkx7L81iOV2NWNh+QDTogn1a1Cc0MzKMnrzoLkrEf
NM2r1TgKGWfdH3M17dPSeMJcg06/m9HMIrQtTiUBXduowtcddk7+ODZje4UTgd41m+BhrMJTAarz
0a4iMDDI6je13+uPuhhmdm6KAtqpZbym5TZsKsnanJZOeEU4XXhLmm2xZnLpQC6QpObAPik3NDL6
G9rkz9UEEac0ustI9hmMjWELWAP7UEs6MNzHjS4ZiK36ct6jvkJqymi2YY5zljNDAxnH8S2FvSI+
Jgk204wJZlVYHuE+Y/HULIHmlVts+xRmuRMfusFsj8ynmeUxiUNN4CIYRhrC3jfaB4KRUH4bBVoQ
pP2lcneTg5kVo7/hnfwS55G0YjQI2UM/4gkgeBGh9qDIBAirPaV8uvVCFNROlBAQwrx6b/H5K52r
97ZWwYubE25dAfwQw+SgGZwP6G8ep7YBF9KjizO6Jy+R/U3UY3vu9Q+/JZLSiox3onaepJWeQWje
A/PA2pCb10zpP8P0Uw9ev0fc2MFdDB8gZEarvK7QHbiXsTLPhgSvSRRYc5lp41LzBKFR9QlyHixG
KKOb7EJk/uxSCE6rfm85df48Wx+04rKdJ2tzbQ6keWd1hY5FTeRh5U380JWgZ9qmeNSz9+TUCf+p
X9Mq+DmW6jIiPMGWqr1okEERL6gZ6+bRYyT9g8rzh8FLiPerjwxvM5ykxZXlpHx3iTPDqXrmbszO
V1CYhpU0umRjK/oXUS0xLg31bnCyu4S36si44422w9EhXs/warVC2sqYu+/BEEfBwTFlfw2TTF1P
ldt8QhHzaZqpI9KZ/OTHakGpDoQwDcEban4O5hz3H9oaZe5yyOeVBQb0Hs1mtcsb4FRBrnbaF9lp
SjN0gsEQLaWUU6OJQNoSZV6HP6RINp6JmsAvirO0mWg0xUitUgU+h/sBlXnIEaEZ4pRTvUENww9O
JKacUXaYguCLYJjjfnNuJffccO89J7y2rSFeO1L/7IGcNy11fuFQfeYpUjcVsOZXIQW95d9Fs3W2
kuC5nYqrHPHPqhi57yByBIPLTB+jaK7Y9ItH0QLC1z1WrDGpXhLCTzY4DCroM2+uYT87mWjXs2bP
nqqGm6bTp0paHcCLPn8aaYauJqWyg0YVdiAxkfRR6DSrqibTKe47oEJ2hI+RhsjJLZYJlktGUJ2D
I0ED+7NgHLG3HYdfSuYAqOz+Wpn1BHzUQt9L1tOXCwL7mskk1R1ZIrsJZcjOYNoBgUKcC84su4Tz
z2koAoojTINK6hsSa3BUV179EmEvh5ETdHtaLPeEiZZY4rDV9OEV1rX2uqkNJJSsHVtS4Zxz6UuM
jcnIuTlGVH81S2x/Oh7TnUAmSfWvn60UyUUH4mMnY+gDBIyhghyc8UFiiV+5Be7MQaM/AHhevo/8
qJOr3WzjjNxSaXbVQUZGt2e/FVdVHWGwwZ52yutDMc0JRHyUmmKqs23IAP+c4s9+aszSefJG9RmM
JtRLWfT7KLPEMxa39kDWqnFfVb1+g08T3rQacQAWGchh0O32oH36/ZiDRBmQ44AfafKtTRsHcmnk
AnyOyZMaqObhqJiN+ygW0yTZpdZOgBMBcESPD7JPg6a9i6ru2OSZWKFY/zHVlIroV9P3IIyKbVyb
EJ00pVC7yJ18xGP0qhNqpUTgZqgLxfzOcU6VbqcfHd59DkzONuP13aGr7o5LBsJ2SBDq6Dwcb2Km
x1SLaXVy3ajf4L26jWhErfucOz4D6z0QTmvuRnopKfGbHSkBTXy2R62PJHRuCY0bdz4vOmcp5J6Y
U3pE4Jq6koHx2R86Ctwii9YqNQf0D0R+V3Ov0dFJZ59nLVjzPJ22HZSj/axkf8Bl653IEArouZTM
WmOqeQ5g90MjLeL7EHU7Y/sx+tbwYqYhk+Y5O9djBKk2nj84jus7H1Ip2kdtIAkxumZnprq/METz
KKV65mObE5Fyx8jp7C1EavKIifVaa0j9jxLPRcON0tGVFAa9oQLd+TbvBL2g3CDgNo8J5/EKHp+y
rHYqKgN89om0n7uQeTWPYPW8BLARaLjAR4gjI84U/th6Spzill5F8VgZg7/WflS9Jmlk3cWQC29k
XVvbaOJoiNQt1jep9N+Arfp39OOcdQW1EEFWRUBgMCPOIHqZBlPnXqZNoS8RhqZbxx+Rzo1oeKo6
cHBHlPneQDu7RnRerCzXjE9ThKoG0EvprjwiKQGQzT+HxhaHkByQl6jUSNKTRNPhcN6YpCYUB/60
ti0z3DK+ra4zKyA2EFj3JePJZO35VnLk8bsFLFqZK12E9WFk/ncZ9gX24bKMLzAxE+NkoEmdL4jW
BMRnk7h2O8Fs+uhJrJMnAynJvh8wm60tZ3ZfMFILCFmDO6qt7qL4C0eDdtdWNSXVZRS2E5QxzILr
TBg62HrG2NpkrmkQUo7qtmgLOenN7fwgJOi6qs/YHafU3jA1uU+cjjXT1+Q/BRAK0PmPG28JfRaF
06zTplKPQVpcpC1kqdzUp8xFv1Cm7B28q9l8LnSO48glgntlu3ODNo7h94pBb/nEB+nHPCvKl3RZ
O80yvyqLNt0lReVeqsg3d9isQDMBgS/IXK6sU6tyuZ1trI0bu6yDA1mB/eNQT/N9GvT1Q5xa9lnA
k9kOBuRvURjgSoyELnuTVdnBrPyRsE437mD5BDNM7slkTVz8QeDMiZRDZIgLO3QHYxsjkrRXdmQk
66zF8V67Ib30qU6DTQrMBM1p15Eb4dRNxsB6qF4RrEu13JP0wWX9uepyjwSiQhn5KuAwue+41N4l
+3eU7mKp7wJF2LeZ3jmen+/9PoI9Rf9yVfkihI7Z3dghkhY6Of26CXpSuXrjioY7rnAgQQ05lduQ
OcIODS2T/xRfrQtZYoEoEpplr5EUYp8c0wUEBhvvrNAyrdK6eXLrOIk2UUoIbJNXzqvDUerg90gr
NBmr2wHYELOytrvjSBnw/ueE92FZJuqq4lu10cswsftJ1Y1bw0zFntbHx9xg4SO0Y16V8/DUTdGh
HlpUN8WETtQLxE0DJntr+Z4Agmmk+DjRiRZtkZGLm9Yny4uxDhXdFnnmKbBxV695WuDf0RXe0tXp
zm6TyLexJDN1kyd5blKDT+6eNC4ygcnhaS/IYO32rkugKIuX8D4QP/h7HL7VM+2P6rbwmvYuHLz2
hXyl5Jorz7mY1t3O7LV7TS03LMZnb5fz9m1ELz/bCI6aP5vjtZqJeljhjQve6MFS4dMvry4KK8QM
bbPmiVXfuK67w0m2pICHNaCBtPTb9gv0vDlu8cbOAobcyNgxVwVyhcaq/Ef20g7IDmGCSCGnjmMw
0Rd6Prb+VOHyzQUjVa/FDEaC7LlVafKYOn2wNSOvvmxCZ9gEYpm4BLHxc4IROiKD22ZRyd/eDc2d
Gip7D55AXNMWcfmrG8gyYUNHT7lItUjMzXMf7UIts2sgY9s8IriBSQ/MAg3Kv7L76yDLNkTYNCj6
ky0nIEI9dfXVzfqxaEf/ESxSwbYb4o5H99XkG9ecX/JifJ4bSId2m8odDoqNsYQ+eVUbrsspjk9h
SU+Igc4xzGLjqRmMGEISvUva7li7ojkG3T5ieItsQAOcumqyLw+e8DnMwpeh8RJp60gFC/Ux1gDt
d6JlV1yVjQfGShGUUqy11yYrMp0ArnoG0qkVUxXjqiShqNwJI6ePQ0cjukewqi4o+sojyQHlFrl9
de/04E7B1DgmTKy8YUpNw8MJABHK9qaxMLaygFnOgwir+qDTkEOk5rRSbqzA1idMTgKihZjGXeo1
elWHtDXF4Dov/K4Zs2kOKqHuyLyw5h45FCeWDO1YiKEG9qf1Mcmaohfjig+hvYCTQWexevSmZbFE
AkgLObUC68t2UiRmAzbFfcIMge2NfskzCin3pZ0i95KJVHnG/+veMfh0j460rEehQABsHGVECVW1
DW+pzRr/B4nE5WLxyYsjCuFW8GyLmHaaQ9OuUyAXV0mPsWJjEDP4iS7LekRlLEASJ9VX6ha4CVq/
ya9x5CN71hjiCaH27fQDh6EgdQBZrWAych/DUA03aWQ07Dul83NybfcaYXn2lrlzsIQmh9fdWNro
dCzUtk0X5q+J8udTRWAG6tvBpw2RGRyY0J6Svenj8rr3cXpVGLxt87VBZnUYdNvnGJAi5yYVAd0I
r27CGxJq6O1Gxk6Co3oSjd9+lYUsnxgiBc85eck/DN79rdFw5RMuZ4rFyFWHqYjn52AqoxfQeAsS
aokBltpwXukC2z8z4pbXfUXESrBopu2GEh6qkrsteEROlWHbbCllsiVEYvwCezusDfo260LY9qpB
o52vJ3hlTwbipaM1iumsh8H/kaBnWgu3gS04efHJoc0MaMhoSYoqdfA602ThBSiz+odXtMFpptam
qJ4BaaYUgEji8ibahb16YPMqPvuiK2/w5hD+LamCVkppXGQxRZCZGj9j2j0I8ZFR0LsRaGuBa+x7
slyu0HEgdGPZr7cWIrMbxmXE0Ywh/S4VZxQlhcyr+6kZYFWlU4bviSQdgqrJxT3LdsiO9jB5x4W7
cYpRbn3Aw2QwWMImqNeJ6eITkV6cPTT+IMQGE3x5ZsHwqg2wYOdGwqQt9xyTR7nuZc0pGgd/Qh4U
0DnqbMeV72aih1sa1sONEEF9rxDYfqq6y84EaKawCwLny7eVdw4gJ1+GtmsYa2n21pfCkvCJ5HKw
oQuU3Y8C6clLonXjgnV1tUPWwyKhnAbbDpD4EU7Oo+pvIgakD42q4Ud6pYKVYgeNuDN0az+Fbp5/
FKF+Mn26okVDRdJPOEXx/oUmxgdVpzdo+KdXspkjQr/onXbUU1j3XVrv86Fpaespv2/yHccALnJX
9RQYhlPN4pREtZ1vIphmzBvGIL6axlZhGGLqyhoRFt7OIgLxAjuBdklLUe1umGsenZww22wtPTYb
QH8MognNFue+tiFE8EjIK9G5NOzcFhapctzwtQPvkG5C3byA4amSDSFE0bHPdXkXcaO8ne019mPD
gHDairx2PyiN7H4FG3V6T9D70lzJKjc5VC5xqGsmxkS68jQnzR4/89IZREnorF2/cH5iJCJSqKLk
vwgDa4B4uOxsvjPsw9mga29gAz2F7vSmNQBRJsfDuOJozXtCjcQvYJhgSgdzDVsufeyROQ60lmzO
PnQ4BLQsW6JynAmpiGleEq1HEIOGPODsLehPERDqaSSWVWkGHhb/4sFs+74jecQ2i20VLpjsznQJ
eiWxm9ZZYybvQWNnR9eOlVxnYUtGmYuCeZtnQf2OEhR49WiDtO8Z3UwXaWqQPT20zgtJJmwfBHv7
K6Kw8/Sgs9T6SDIydCZtFxxw58ncT31e7K20d9ZZAqgFRXLJMM8rjkPYMShzGabdOEQUhswgO3aT
Jmje56QyKfGkoZ9xvy6RnlQTIIO/rN70L5Rh+6cEtdXNMFtg/vjZzWIX0+dp6owNs1rO+BPpbQ7U
DINp356zTRkRg95UX7XXk7PqZwmwEk9dZ8x99zKsw4cozy0CTkDEHhJiU/odc/toVzT2qyrFdGdA
tHg3HFo7UBAusTaXH52ykkfLjTJxmIfSp/lr1y+QD1BVhqV5lVWlcReS3/U3QoxF/vBHyYsvbFRQ
bNwSF7+9yCd+p1iIUuFCNK295UzP8JQT843roLTM2ipm36ZUve5NI3kUfc9W+mvBhP1XcgkkKExB
gXIhvPkmJpqlAeXDH7395ITtte9U+tDrhikCWeTAjghDCziTMRgXSf8xzGwpuuvyXdWnJiHYzXta
Ya/wAOOus0rghS8YMBVI6ncDZTzzZmnegJ+1aMvkDiBodtT5oB27PA12gjK6QZeKF301KHqDFkqt
bN0NKSZ6vLbkSGewSDGryX0+pgb5waa3cRbuU6c7mwpFPYwdhwM1TOZNHTvvSQFZynD79lAbLPhJ
CaJqxWEMqdQIEuPXl07+WUYIFo38JgtYBt1B95uILedR4vLZVOtoKDk3iBvbHqcSX990LEwkSwNx
xZMFaYAZUQdwv+mmnZ9tqQIWjcGwJD2HPrLkqCdyrcudbeKjxRYYHNblaJC50HHezVIKYCsh6D0h
GuzXP2ERkn5/9HzFQMsGIo+ewVuUc7979GL2kqr3tb8Xuko44vj9nK1B+UYXs9HemWPvbHo25zXY
1+hkCtF9MvHqjlosaj0absqE7SubASNigW7j19/uz7K9JWvE8XguyUJQ30WCIT08x3SgesKTZA0d
rdC/xH+u/+ZjFireny6Cb6N45BVgaTe/3ceKgbHdBJW/Z/w5pWzfLkGgEMQ245g5b5IDPGtkSvqG
GRQbACvOXUwROm5ojIOsa6V/jfUpRTbDy1KpIr/GWA+JJw1mZNSxeKjatHn69aUxv18b1mthKrUk
5AL/YOH4442rs3qmIcGz1zeSRWGWhVq7guYgcA5MbBxDnvz0uhRxCahgQSLkUqyjPotOkz3BRSFK
+0Ml/nj5z+/1f43N+PsU5P+x/yyXUJvmv/+B2PhbHPJ7SUH1/05WMtNQHlIL5OF/rdM+vxZx1enf
a7T/84/9S6Zt/8O1LSHoOCOFRhvIbUd90f77f/PlP9CVkrCBdIikKM/lTf4Pmbb6h4NEm8Ae25QW
IWc8C81/AhwtR6DaRMCJvhox3H/kRd/8tgMRNf1bfvS//vnfii5fjDhtA/7R+/ameMJRfIwrFcwd
Hr/vywUOy6IyIMYcEh3nhylC0kHW7gkov4UhKJQhDLPxIcXxtbf7DC9KNI+PedOSNWnGzzr067NR
e/Mdg53xwkWBcMfh+NYscho8+APBB9oIosZSLCyoELSXDp6QEVNspcax0Ux07M7rLoiduDMKfEYM
EaI3ZVB0KRyta8aYN4mXeB5NzTyFELHs7nbd0WqCKDVvKuUAkJ3g/gD743A8TNVZJ/YYbVQ9cYZc
mhCzQOUUE293YBxtK9SA/nifdQC646r6TGfCEjY072sNMj35CRL6baArcIhtGy0PFXIKtfFi8PJ2
01g2W6E9fQl8bBubSf0V43QSRUmmvyOYpj6ThAI0gFpzwHey1jEJEbMezDVYAXoaUfw/2TuT5raZ
NUv/IlQgAWQCWDYJzqREarY3CFmyMc9AYvj1/dBd0f3dqrupfcfdfHEty7YIZL7DOc/5IOiQbDmW
lUxUS4YDAIdx8En7YIo2fUtdAv5QZ2GQtgqx7nhEUDX0Rf1kjun3KDtMpozv1viH79mgJngprzN/
FmIq+FYhK47ZgiJD4mr0rMcJV+hoPOvBzW86V8YuR8xcBrUTmjc5uneSOwk56BNKoc21aO/f0xrN
sIX3k4Hbzcn5xCbZz7fQIjySpR6IWFm2OhgMfL77vI4jA49Ijjtvyvt0Gy6sgdYMorLwBKWm19vY
M/yTJgLhvbdQGR066lFIPTNot6aXDUpEzOPcSHJWXPquqcM1YRc5o07a/y/V2NNbWU6QzT2/o9Zw
3KaBUlYUvb+Zjdm/9rA2iCpoHOJfMKxIkiJHxAyMxtPko+9Ue1n63qk3gtwgqDwidHC4lYUI+hHn
V9uzmElYr6xoCtigIUQUNxhxXrX2047lNUVe7m5GR4SwLlsxjk9p64bxnl56aI48YaRp0nZGS9C5
DYlpxlj+qeqkODEBjKJNPzOmgoXdIHZLUQcf71xgfzWKVjLjG/1bp6ODl2FJtSQhphGxEr3ZY9Rk
Tca0n4W6Yz9gePggeOE6pYR254kJszRp9zHUALYA5iWvlwjqMh5NW/8Ka+d5KNVmFs78kPg2a+Ls
UqD1OadRiHy6Oqj4QsAR9wk8cSxhy5r4LD4yi9U7AJ3iEJmZfU1m2/jN4xxgJ0ZPyGKjTxBbTd7N
NBuWn/dmiCNq6xegtvin/iEgvOh10Hn8HkHAXoGI6wbM4FCrOAlGmqh8FbsgQrtUBVVmfDs00c9+
bYAHMLqrp7AcU5CsmpG8DS2hPObQP3FrxC8Fqdi7LHPJu8ztaM/gO8NJhsneZ5S+EkXVrWegUZsM
Rs6n4+D0bdzdVJJ+u9j07Lp2715FVnVNZQeukza0/r5dBaEoq4uZpOqnP0fPVl4kAXSyYTeGec0r
k24zh6QOYbs9uUKh+7U4S7dpxbwRyIrOlsXFbIdkUZR5eNDSfebou0SQ31Y2HJojuTTbvpCbOc3z
rTOzImugVBS1N7C1Nb9zN8LPrWZUB+EjlEyo7QtyYqfz8MVq8XvsvewXHKY//7id/t1x/9cX8f8a
E5TpCBlZC0MUtl2PSfC9cflHdVgi4jV0Ivw9KB2knUVqrfwlLwVooxrzJzKTu2dzkPWGiUF3MdHV
fEQpCq0VuRDo5ws1xpyTveKtIwfQv+KsHSA1TRnZlF2SUJK3ArIBGF6SEKq2FF96JuJoJWjEw7Vb
5y4wumJhxjFXA0C/qW5hr4t4iHdxpIz20ArJYVHW4YnWSOut/HuaGH9PlubvKdPdD5z7dtY4DP3s
WnveS01YF67R1WA6xtYjHempT42ZcUpj4mJDwXtoRxV9WSHzbBhW5Fao4ZyH3Xb0TXs7JAmfZqrP
poMVVJrlCTVBfEIdm+LERVTIIi9mEhz5awvD5UoP9tNSCGiuHGdnVYYSsaKFvk7T9gsUHUExhVgW
SutoD27/G60zKyyNTbaxaUU3ZLfQcHeZYHDAVJN0TNaF8w6oHG+LIsWIpxs8VLV2apFmzyA6xHi6
K8Tpz0cG9RK/4uQrtLUN2hl2tuVb3PhI+EKo+AQcPSRVm57mSDjXAcA9aEiS2X5wKHTIT9xly3C6
IjFgaRM+0CZ91PXgfUc9u7ekTG9tXllHZUIirCBwiYtJv/pQ+ImLmKTtzfsGqoDPVniWOsVskx/B
4BksfGLny8P/uxNG3l9D9HorJEHRVwjGHxIVE62fs+T0Aj5psfQYzFuiVR5UQvxy8lCQ7MqWHaVQ
E9FYttecyC4mJNYO0vC8E404ctuhNRoMffIiPI1qahs8+QibOytIWuyzTT+f615+xBHJJfzk3nMS
YsErsKipIn/eGB6OEKsWL+D+2IGixMLmzSSb4CV/sr8jU2Byb4yvBvFlvGJ8uquZHNouO1SRnhlj
o8MJ30PIXx5zqUqPvxKQq1HlP9DH39MPBrlFK/JdxGQbZY39u0IFfYGBQy6Ra7ZbbyKVk+njJwmt
3RFYAss01krfrObHo1ZedyvIXD50kI9XaQ3xqSgyb6d193X3861LaX9r5+5ILVq1hg/qBYVIkpOT
Gj8WeMK7YjbFQ9n4F4AKpPtkg8UQ2JgD9sbV1u7vgvUBG7OW7bJWNRwKMsPXPh925iAn7hl8UiVs
q7rrL0stWhRg87wjpLBbF5P13EbhBNtPJAerILLaELOi+BDqIZpcccuAMlxlGbFY08nB6L18HY0m
O6OwdJkf+9K6q5By5zebDL2xBsHUXkeI5zPi2h1kLoD3UJhDseBXExkFKYKRXTNOCHDzwZp/TNLV
EG6m2Xp354G9oGYv9QFtrX9reoKkV2WSpn+YrLOQgFkbAyGNetQsSAHqncEWOkK63xan8H5Ht/fb
Ovt7cdd/L3H190KHMxAle+/vRa//XvosdykAkAZRDCApvL+Sf4sEda8X4LH1/2cC8f+7rZe5Jsv0
87vg2Ei6vk2++n9pm+hl/nGX/bcQ1P9Vfsft57/D5QO653f+X1q+qyRlHo/Tv3piXfUfLl0Tzluf
TowvYiLwn80WIahC0X6ZQrjibxf2n62WsP6DhRTmP76dYpjg/086rf+WRnz/I4TyQdF4bNZp+v71
5lVdbmjMRHCCUHV2z0CxPDgzBglQaJ7Vo+PGHjty0OHbkozrrYMbZ0OAlgz+8WP7dyUAPex/GY7w
13DxNLJTZOpqe3//pv+oAUypFRxhH9O46Lq3zINrFCqfKiYqrJchS/zzpNgh4f0n4AoUMalHHlSg
jUgnuef/SrYMwbGtshD/KWPKiJJwHm51Ih6DIgrl1ezn8LBYHMucbMNDnCYo2VISvjdOY1g3jmwG
f9yXB6Rk7dogGJWAmigPN0aLR8YmXGlTRmxPY3NAG2Q5rrXtlSw3qTf7JzWAlWNtq7N1ytffzQeT
OAASApZplBajOuehSGxj76mUMKWl6+1PatX8Iu2czqZvctawk9mcJtWvE977X7bdL99oiyRJJCau
ldnWcEvG7kqNyvWAKJs4L/iWv3rX6w6D0u1j7PTcRxW6MnXPYlO+018jRPCBU1rsJlL7mFf1nuRR
EHaDigjk8kGbpQ6rOuJL1IcYaHwrZVqv8egb24G19yEtGaku2rbODW3Vli8xdxMpO0FFybVH4eOf
I8MeD0BtCfWYcwg/ESlQNMOnuTeShyFxCD4am3rjDg3bu4G1HlkmI7rw3gGALFX/IsFBsuS+V8JR
Ez/n5Sg/3AXaXTtD0LRb09zXnb3wT2uuaHpmygNjvER03i/DOBnv49hodIN3o4iDoqWtgLc0CNrX
9tLq76ZIAV4WWXlzCO1MUMAbw2Wsi/aYRDZ3oIJYNo0XJ272gMBPXKJqG00GClLTfXTtFPmjiTBx
vSCGswpsaoZs5cYlDWeX2fT9XafYzdH67gGdBWW4ZOuOhVynOsJ8ErXK45DUFa64YCSKbW9rNi11
jxyxzrL+I0mjfld23PxLRMQD7Fzjl7s0pN3pcn4oWH4F/nhPz+Wx4kaCDF4j4bv/l/qOcM3sRnTb
74yH4ZoCQZovkTOW/JmVuJmTLQDY6OnRrIFwNDUgqXGpqa788jHJ85ZKe1h2ddT3N2T2Cq29s9zI
N0s3zQIlpbARYGpqwGs2J2SeCYt7lFtwU7J2PcQN/DQZN1HQlvf6ye3rfTXW9VteknJAXdbgSs5i
BHzFH7IMog2knOIldNxx5c5s5PgeTLDjRu315C/nCUT1oZK9tytZKG/scvZZ3BQuBCTD9zekdDJM
IfgmaAk93be94W0gAqLPd1myEPFF4s12wAMGaEMp3jU2e4FRT3TnJQ0ktIjcRqTmhnRvk3pMOsN+
0tO4NsvuYaqXBXFRJS9e5cw7ciR04GglLpEXP/ocMhvm2Y/mQJ0bM72IzHI4YRlMvuaqjf+gcRzW
ft7DlvGX8DyLEUSfa0Md4tTf20OujhAvgN6PDiERpZbMiFz12PHXvksdwqcI1cCnVd/32Wkv9z22
pa/WyZsnTmbvkLtV+9NqCJRExRtC+VBFDBRjGMDZO5HKDkz4sEfLtiGDdhhmlLHIcQMcD5S3Xd0Q
GhFn41Z2vlc/EHQ4lsxkI5AeYx3RnRjplhBie43ngBosvFcoRIq4fWA1ps2EftCoA4U9MgxJQvjQ
RvjoFAmJqIzuKgubwr1zAqbWyx+F8IabYVUYZEi2aN864HpAdMLoUfUteZfMxC4hI6ItZxpdBalc
R/g78Q8SQoBUeRHtBQsKkkwmvC8wRAHNsZemBD7fE/mOLltnZ4Mu6PecqSw61GVJoU1e8NHLO/nh
JH6/X1LUDiuUIzjiWaPsCDKZULeAefuTVNlcgzVt+z9u53WrEBDiRyH8YV+r6rGMjfdmGrt9Cah/
xeQep2OZ4L6qc1bXq1kRWLaYi/MDfxUbY4Wu88Mp2vzgp/NdPjO6h3BMvPVcIBSJUd8AdLPCCQ19
E+ZXSD6sEotwdKaDSmftn+siFNlvZchueAIy6DxHROuRVlob9WfHq/AZhlb5VhFbfGki0sFWYcUF
vWEYtvD2LuNrjYPI4JIKWbJr/ZEVvnGaPTmF+Fbndq3UPaxF9uhBzMQeSWK6P/9R3dpPzEsKDwUv
SaA429QfMVvyiauw8w6jm+bpre+66tCz+Hwe2oaSgHYQqq1oiNzQhd/8iYrONjcxeNl3QDP2F8kY
8wEpgYTmr9VJQbH4jfkS/35omene8IQ8h/fh58poRhxHsVSXcuKnmmW5u8NRyVitMxoF9lI1hNWo
5snhtH4m1aXZY1HT26iLLElad+wBrHS8ifS20N47Mok2qN7Y6zuhu+pRFb7h9M69x06EbnrUGVRr
7Z3Q4JPJ5xBcYKIfQ0vtm435Xvlt8mOU6WCt2jpZMMGxv7Y3STXIn8rEjvyYYge7q55K9Apd7pGZ
TToulA4G10ySEekbwohu8SjHj7ytxattjPZz1Qv8B6KTW8ueKhRiRvQKTY6+jDg/lJCab0GtNaaB
fZ9Y5lMy7prK6k/CxVhElWbcJMNSOsuBFAqyh3+7yWRtIWcbuP0ihJztJDAiZGnD+FGV5MvPWWH1
m2W5Z3UAFyiYhhcVq2gxDsFIwAA8o+lX7BpjULVz/I4bpLsAdyrWRhwLUGeOvdb8gNeL5v4sSDhG
j88EqZiWx6EHbd82GNXXhGAa1GLebmLiRxtKkBc5GVlY9dOpDsmcKVb5OBBE3E3LeCRJPj5SzlQB
+25iSCgb1ItDQNy0RtJVjmygXXHNGrQuOGV4FJYKnWza2u0Tv2srGUvuWuDf8xo9YIBnwT2NUTeT
ijFHBRpytBh1SBJhmMr5IAhN3IJDYikQ2/62bO4mdXQ0O9Bq0aNeZrntHZ5RB2LXWRloxZKIGQMu
m9r5jWb/HgChzOEzlOQN2NnRcj9aPdooGnQ4IGA0ul/Ul9W2F7JmGQdS5J2wx+aat0QZ2VmYE6vM
dvGhMrgsd7M5EGfaZf7OM+7OzszPdyk2sT0aLrWTZsL4rlS6eajYOkEQH8RKDAU4mNAU87WbTMxt
VbXIi0Jme43JRMCqTZbLKcn87EUPaPksgJo7qbv8kHZQqSFr2t0mrav5t7aKnIT7akzfvd6/x39K
IluYGrvEX5g2GVijsCvs4oxJps1UEiMZstJouWqZFsYH8LzJGpI8E/wwLPBFT8TKLlVbM4Foy3Pp
DuZDOtKmUt9mbxNAQOuoI23AohRuuPfDsMn3bEbKM9lgw121B3XFRGqmEBbsmQWLXwMcp6szWh11
dTebz5w2RCku8TDUQTwxFCFCZ1PokPkba1jwpVvbzfINRQ8OrLCMzmzwuxXBLsbnMoZ9xyC7N45e
mn42tuE/NsgqjNW8WPnvoXSjx4xTkdufZJdVOzl0D8MczgG60/Li5gnVm6HNNwQF/pULrjlV5gje
zzf6relYw9aZIHeloMH+yJyk4YzB6yMWZIsC2h2wwo2u4BStjTdDLZwhpL6jD/Xr0txlqCPBosrm
aRkVeqmpt+yHNjT9NQui6RMyeHhDTOQgITFgq/REQhQCtS+xur9bhzASTO5N4EpRc3NGIUUntBAp
RpITKQog9jEHxEmbkrm30TDSXmvLdTaKi2aV15gViyR0L3Ocx29iaB8aS2FLR+O6Y4rWoZGjuTm3
MspOKmtdDhIrH/YVPUbgR7F1MB0535xJIlrLy1Ne5a/KKn4boffYa8xLDEYJUJgyMK/ENsL687iZ
0o5ccTRKCpLkY940BSPWdnisqL5WPVXAOV6yeK+8CAuN+JWNGYzu3tlmNoq+aJr3tuHE9FLLGOAl
KLaCCwk2ICjllBCoaK8ScqmRFiLmOUyJPMazwuwWnbIlUZfIjcSp9OBgEkBPtMJSS3ztQhuUjMW3
NzaRwIA3vtS8TFsH+BzWSbRJZpMlAU7E7IZGF2BdGzknrx+cmyMK76jNWm96QP2Ba/zNjEzS0zDD
oVzZVSsoQUvz/hiyDp95NIypZWoop32YK0WIQnL0sh60KGglL96ZruaZntdjKXPGY35yDAtB+hjz
+lNrSTMgS6miz6qq4SDcAheUkQJbc2TbrousdYJlmfZO0uwbkxpicbS3ljhNMLKn+SEkCpTsNM1H
zSCZbLZiNu7wSuMUR43/YaJVZog7i/eWnJO130T5sWYgGAjycS65IZ2NHH29X0hf+wlYxX5X7lI/
UQFjwQgT/ZaVYXWwWcg+CT3Ip3vKPGclYWHElLbxue3T+AKre9mYFG1fgnylgydqwPlOX31DkMC7
58DKb8CpF6EMZjP8ZU7cffa8Jv5BrqF0vzTpYJysGQ1/PcIwNubcPUzW4AN9HP3nO/89wAOSopKk
gNVuaW86G42OdOszZmNMjGD0Fcjz2HboIk32nnrKqBPK9lOokoAQA6wnKlS2u7a1h5VoHE07QTYp
xv6h9/vuyObpSZL2JT2MX5bTPlTWewM5YshMdjbe1urVjyweH8vRFPssnp49H2ulUZA+1+IqEvdr
SUUI8Cq9pjS8L6E/UJAHlk4+WwYb67yFTou7J35Kp6HY+z2caK6Z8uxko8Vz3FYH38tOHlQnoIbO
clJtbGxc6eX7+8DVmQlhy9I434dmmRxG0rR2th6eTbuEDDuXem3lNHhYINCJS8rwA0QitWcEm33Z
Vnqnnrvpsk6w0gfpwBlpEY8dV6kdAO2A+OoD9a4yNzxNuSw2BiTOvS/o9MEwpjhNEfmSFecGS+fp
A3I9YL3uQQzxSRTwkWy0sMR5yNe6dnv2Fa79mqQORt2WvN+NtGYuRmwaBaiKcAbF4KUMpVG11m/4
lfLAs2lRFnZuK1CT9SmuTP2MXPJ6x66mM1lAHnEssZUe+6L5XU6yvWDqwjMSsUHbcMAfzdoLmlYU
W0ZM9SH1srtpcgJfzALosqBuDZRrmV82/z4m4wMISLec7mpqjxxh9vjXaSjlNgSBErCCRLOf1xvd
TOZWaRZtNoumDK6qrQzzSYdpR4cz+fONbaNrIaFX7bYHvLkbkxJn52jyo8/IaiLTwMdjA+5+Vbfy
XJSOE6hajWd3Dr0z8cXEUrHBWhCO26xNOxCmvv+MRylIYvs6J0Ai+uQXYsffc9TCjjXrikLcYt20
kgpDVCfaasu1aYC7ANOGusjcVEYxkgmjBV02XB5urn0m5F4glhsdHYyAQlb04XvWOLxQbrHhtv2t
RpbEJfnInbvspSFO0sOnQq21bbT+QQYua+zJtrNDw3XwDONsfrDD+MdgWyCl8ZnbiS8fi3TqPw1p
13t+fVVmlC0uDcTBbujGKFGMZ0x1l8pugjpFv4SXTZ0btu+rVFofHOAYY81GQo9hDW4gUg28WbwV
LgLjVHkteoV4Sw29bnFkzlX/GwKNBZN0qla+i+8xGzzMqIVCdG+xTU4ORQZxdCxeGpVQXrLYThod
rRou8G0RkoFX2DvipD+M2nN4e7ClJOPdF5w7ef9Mk00onpNc0pCYZl/017HNKfXsJL7Gnf2aVnjX
3IkETJGb1IsQw7auwLFrd8l2wqq9dhLc/RNLz4cJwAbwVjAXWYt9HX7ExurMjWorLLjwl49OdjZ8
81SPScLrWD4PKf5aXR5DBCF7lHyAov2JPLFh8IOhEsULwUXTh1/2x3SBMp7TcKyKesKYmU87hJzE
1OSIAw9JTxQlwVcCeExMfmQn9LVZdPQzygQZVa79Scv/YqODHBGVI+xtvl3mXC8QFqqDoPQ9xEyG
NliWzoYihBjLJ16SyfX2jgU3pRyHx4gk7dUwVPWbLfC6E+yEoyQxPHsj6jpdlT2Ajaae67PlMjGj
bQi3GnX3M/BiAq3MZbpUizMxy7RUc1AqHTBaTOAjUIsZbsGOf0wnPih8PrUVApm33NlfNbWdvGo5
OQ88Z6xs5vOswu6chuS4VKnJ1OuwpJaHA3XqCPRwjANaWGDO2KEwBC3uV72E3R6k1bMfps+FVcU7
t0rrXevX2Ru5C3XQyPY62MC6yUIgNgxOIfIWjMUR9zx1MizhNMamYOX1EwQLvVqoE2ZoGtCeIUQf
lhoJXzOOP2SlJ0YHbXxQSeRcchOaXaRjzF1pntXg8iM+s/042d7ZjWqJ6N1VEPllyteFNkOouIyZ
UDXy22XUteoA5VxB1k63FMkS+OL7PJwV3MgkFT+NZUXv2SIzMkGq8og6f6o3XZKGycoIO3xI4Qzq
fCTk4SfZNP2uz2y5JaQUwW2cDUEBgDtIFrMF5ewin+ZcmHNx8VlvRWet5lMpU+MttOr7DpDWY9MZ
Qryg3oKsbZHihVesKtLz1FGSuWEt9noU5onEtZKnsywW4EqzcgGckDcbRvBG+C32xrSS/kwvb72B
yJAH0StCQeKa0jF0ujOqC0Y4hm2Cc5GAglRl7xqMyTvUYRRAQjViExG7hDKlLuTZ1H3QUvzZ5AO3
q5QpxdlvpfU8FFZ0zGfLeuHgLx8HZcf4OBosHCYr+J2VFnaznUwoQuzl62lN819z9bnLenYaXFRY
J5iEVbMVf3qK84L175i9onC+DL4sGWaO5TVtKrUWk/M7ZHH/yySnJA6A1IXfYZ4UL5QhP1JfYqvK
2ps1dC/op3Sg7wOvYRn3/TLXWzJjutM0mTyu7CvXnir1fjKW8rOWACm8mpQv9n3mRlc9TxHjwSCa
s+UK5RdPpJmz0pyJ69ou2T2bz3QY0Ck4UUXlgs5P6wePwIV13Uw4AuP+Vc+4Bk2rfU8EwhMkdsR+
WVI9LH1ERKzRNT+dCGcYkavuuLPl4DTrwUH8Xksamyh8iWPfPyDqoNwZoDqglEOjlnLgTelxttw/
CeU/ygW0aRkjKE6CCYy5HjxQ6XnBZUJYOyFZvSjPagmv8MmvKgK5H7vetAZJj5ant74gkPAwysS+
TAW1cZsu9qmDfv+pFSKmsPJ/+r3w9qpmfU6V5KxnnVOE+TZxskWYp4dJW2LPrUtrbB0TqqbXNCcJ
wBI8fqULQmqYPGNPYzeCbcpvfaJA1LCYgizUnwWFeuf1ADMWppIE7C7dAUe08aDvwXh8Hi9xrfjj
SKsLnBYNIBpiFGh4l2fMvISv1ute2I/G0phn1uxwnAiQOgovoinOMp/JkMqIo5uehIXfLmxB87jj
KI5WCIEd5/GJxLtnk5doZcpx22qXeJE+f6ny9GGG0oONo3bukBmE+0smcC3LYTH3uJn6rUWFw1nI
aNTZ9L7mTMZvW538yu7ZP5uQh6p5JB9SKA5kgBb16+wb6hsaClPLCvIFhcXCx0uaFNFFOpgJ7Yhp
qTNsVhyLlz7uwishoMtx7pUHmBpWYUYIiozUTXWpvx0c/1OlAlt2dPaYdu8cCTK+ne2bT11E3vSw
bsHnJUX7Ng/ph4T8sqq7mqRd7ONGdgs7HQcLC5bnFpP/2sJ2/GSbJM1g3+kDiL3xm8SSuM9aFDbj
1FUBpAQYWsINmrh2NmgIjR1ivFU03CZ2TRf0hCm+j2X8RAGThOBSasruvmX2MkjegKiUZzFY7MUQ
E5obzJjHSDteQO7oAcxSBWQdY9POwwFIt0K1AHNj5jrB51KuTbi/jBwVXpUG//jKRQL9ZjbxPU5i
qOUBCmz5i6zZnvdnsKoz3zQ9lt78ihphx4DQ2lacbxd/zsmCNODOfC0ZhRn34XhLxkUforrEvOYj
cvkAomgQFFjY54VH+W0qcw1TSISkJg5x98i5AE2Y9Lv8p5p8/RW7PX0dQwNfsxTKMrmcuhLYMdNb
Z3iTmCIetTHxGs8ZHwI7pjF+IO8pnfG5J5SZeW37LwQadod4qhaOK9zEP0ZUH69DLOJyhzlRXspI
VsSDTo5TUQ3ilo0kDPG1nROpsVqiYsSp5CVOjZzPTV5BeZOBY3BJrvFaJVs6amfvkum2oNyqLb6W
zIq1n436I3XLL8ghxhosyhdtOYEBTQI6wGysr5yCj4XbwsBqZaSMRLrB9E4aRSAnRcX/goFciMuM
vYWS0pQfmBp4l/hls7sYtup+2bmVuIh0wmpbD1riwrOr7aIddUCWpC5sWaeHAXoo4zF2wq0a+22d
5PI2KIcTLXYjHpTG5dMbYmXfg1jBA7LdWOP99++TLmIGO1tD05YDhCfcei7iT+RE7ZOaHNaQiIvK
NZA+A45iml96Q03PTNbibVMV5E1qH5qU0SBtDTN1p7KQ4R0FrkJD7IpQ/qrgPuiNk5vNsTPy4tXq
fVBFTGX37pTbjzlRA93aDb2RVTQJrHajqCodsUYbCiuknZItG0WULDzA0eJ9lrEZbb0mTK88+M1m
MfzhUFmV9Wjq+NMnWxo3MTXtahj1D6fGYNc5UbPJnOU6IPYPrLrwUbktAO5ja14rpFhBM3/UCcG3
JmH0VvXARrDi9zfiNaobbIBZu/MTb3krdWyS7EGwxZAOI1YIAaQsb492Kek63KXd0wXG284mhHuo
oVG6g/qJrDqeoYiRbWQCUrqkHsOviRHYk5OFqDrTUjovLJuWbQyq6TaWY7LtSWb8EZKwDX9RrjMf
0W3ZtsVbmXB3VBk+T9f3k9sw+vZOS5UXa8hggBXYoqhlDZTIxwwdarqOLE1f4sHsn1yLhc/GKpKI
AF3LTE5ALSgJIo9838jmTpY4acLFnp6nORP7RA7gcSafBg1+BxvEA6lQrE7vvtj7Te3SeGzcu1Wy
RhCwqkVjvgFLhXQ6dDPTFE0g42KIIE1Gvalk/UJnRpXSO+3OA/xwScdUb4sZAtucWT/Zv4UnChE0
YlSTBMnQ0MxJoU4SE9hap8Q7kqqtL5CW5LtL6mkRmeM2TewZ32Xv7rO6bk/1IpJtNnTmUzxaeseS
gTFnX49kRlG1NLu+HMPnWE/orXgt+a4sBd2mdE6spsWVn6pDfeAgfxfhgFbMMAncqxbXQkZRe8sZ
FaD7Z57LIt+xfaEHZOs2HceWwFvwzDw9zFJfosUZHu2hvhoomkumeQBZenVwchd+O06C6hSVEcO4
xoQKFLBWGba4ALM1FPM/DSBDgM2KlYpb2cN3jnRg2xt5uLcjKJPY4mtrR0aLOMFU2OcktH5mGhnP
xtfGiG1flskbn+9PnOfpbmKIwNXFXh1cjqBtm8JApd2H6aToRJ0E2NAoYkBlDmM6hjvs78wAZZYx
4H0e1GbMFCvFltzpecHy6TXl8KOf7fmaztyPdYOauI9pDOCPntzyDmCoMaRn6MtH6v9mjpOnvvEa
xsVpZz8SV4J5tIIckfnbZOT5hfv2KnKZfS9GkeAfbt1vNnD+WQ7imAypXa/ot8kK8WCZEqGRiHzd
Tkb1YbCQfaxE0yKjLwVPhTACBNf1z9HHeEkens6QxCaKUTA1wxczUDoPq7EfIwS9G4RBpH972JFY
/E+HCuQ15MnJMU9RAY9wSjHyawPDJgl5P8J2an/6MfXGWlXaPDF95rbRqcRKyrCSNsEZsaOOIt2j
2YHbWw3NO4OhH5APfo2Tn3ONq/bVtuL8kDTA/VZcp8mHoP9872diKjiFzBmrO3U6vUZHNwWUOPPo
WSAjwg4iV6q8eTMpjWHpqce+KNyNVefjfikzvayZ9PVb0UWVs4XTjCZjxOgEvXbsjfWc2+u/DU7G
WGK7uO2NjRdy/aS6G0Sibtp7huWzyjA86MuTdascU5+hjIJk4Tx6QuRhrBcm/WSjTtM1l5EDbr+P
PuK+tF8JD8vQOqBaYduDMNwwHL3rhvt8HMiNeEitkbmT2RYeC6+eAO82C6oEVtfKjbgJEpK1ipUm
GApzSxT0hHKfzSGHRVlaiHzKRSGKrzxUo6pR5cZzuz+pSPqgr8IG/nSKnAE5/LKxbPHiMttfJ6bw
d4rTdMN+tzgbuXWVmtThDhwmxoDFfSAItaLfn6ZfOrcbqATe6N2I8wC2AmYP+Wnyv7k7k+W4kSjL
/kquetWQAXAH4LBedcwTyeA8bGASKWKeZ3x9H1DKKkk5VZrVptosN0yKDAYCcH/+3r3nGukNQ1r3
Ft/bcGaAPZvcguyojTZzNVKlD/gWyF3z/aRdCpiAt3JkyjiK5qmmDz1TJ8luFzOwCyVNtWUrRe9C
4t1Va6Y3SPDi00DNtYvcWqxkrx4gRAWrmnw4Skk1RPclep1z3w3WsNBbGT0MJfyjhaYmxE1hVywL
MV1U3BDLDDKOIPPa2ddBvA3SPjhYKaym1FMKsqN1iQM8XbUiVaCZxmxPL6NbTuSh8UQM/cEoEM5M
UUV/s3KcdOmBmnzCQIjqA0/no2aLG1V59+5Q9Oeg8iF2eZzi4qr2V2lvoeEeouuAOSHcumYnlcPz
47rjcYxA/JDAkF2iXa/gjsR7cHT9NdpV+gYcok7umI4YDxB5XRSOiz3a6F9VDV5bH4++z8BIadYh
K1OGNrry213kDfpTUJWYtwFAbS0p03uDZNhw0TCT3mdRdjByuz3SE0ATIq1hFRpm+YA7e7pQpMgu
OCaXQNUZVMPFtnHkolcql6XdJxus0NEOGDiyDhCRS0iUxaaHlJCyfY2wUwqfuWwg9eSaZRphMiP5
Yc3OkW+YSerH1uy+FgCBt0XtWzvwFLT28FoXl6xbFqQpMR7QE+C6dXF+dY0/XEJvBpzVYvNCYpms
p9CjJeUa2U1JcXHTN6O59klIeAZtR1ph0A4d+nzCvGEmqXd7EN5DV8fDAgoge72KvDLmyZ+I+Qst
9xGewrgiypeuQZBrJLWaZGFnVrBH6p7v08Axr43QDi9FVtMonwKit9xeNGd6A8Fr0jNPxsJDTpOg
EYncwbCPo11LmGL9wHo21XQNB+sIPs2FxAeFFt1WyDzBku5r6bnyQKHiv9IkpIaI5laUKKPrkEN4
ykGgJQaweZpbQY86hn/SuHK9eZ4823yguxE+o0+bruhtiLXvetp6qtzoa6BJ44Y8VyYHXp7cwWAO
1owFON7P/CfhFs4tTjx9G7Ql4YCkt99gDCDesZAgzpsgit9zQ3S3Gdsrg5nRuyrd0oLiVyTpLm0i
SaSQ5x3aVIhNWbPXcHjO9HOSjP0zbRb7gpFVsla5akl06GV9xcRA3qYtB3AtH+NbcKVforqCn1ux
f7aJdyBJixwuYVVXfjkYn62so60Y88wssrzR2RNDDWFQlSKxmcw9zFrQlbZGdOTEuHhh9m21wiNe
bKaKRkYRuQQuuKbxbkbKO6LQKTI4C6TakcjXBmeb4mDDMA4kec5z2Fdlym3LUZ+jM90CplHmTZ/X
3k3kuvka6FRxl3nhLbsrNY/FWZrtV+yq1HGYpQXxsY6T4R5TCrbsWeAu8R4ws6asXVEjx49uVMDA
LDUveOrAMkUzVaCn7UB/e0JXwxIVavHG0YU81qY9fc6K0N6qgOld3aRi6XLkxApGoCPTnfGWbliz
syxnVvfNvfdCb+t3xDXjUuW+dTuVxrQntJkUDRMzE4cu91DEvU1Pg0kMj2q5aGTa0z6pHfoKo40F
DVleyG3JBDsdLruwuSZVsUEZh3euBc+8QU1GzemH2jZjdHNbd0S4+V1t7XRJPuWyVgaGkJHZ+/uk
2YQvVlN2HwdcA1vWYhMmdj4bFbzLKmqrK3ghMTF2/P0+Uef08h0iKOg+IspvtIvOG4l5tRNNaQsr
SViD/jdasSiKzGSEn9RbBl63GXCSezABveQ5IQWdEQqS4Xs7Yf5hob46d5kXvcRu3V1agqELfVrE
sGQ2YACTUfYtd+O/Wy7/P8h2jG79by3H/xe+cPqjcv7bD3w3G9ufdEOYbAkou7EWz8r4b2Zj5X5C
Fc/vttHlznZjvvO72dj5hA3Zwh1p88PktCCN/66AN+Ung9Qil7Qyx7KwiRj/RgKPy+wn5bmS0K0Q
5xPHarqO5LV+0cDngdPrkJfEzgsmvHmw1QJj3RqeIBo0R2jJYzQlZxV6QYBCS6hsiSyh4ZTaROg0
gsbBAVJZulPBd20MIhZ00kBFarWEBGqtF6Ldlgi/3QoPiWHIryOknx6fLQ4UaSUtPHF6GUs5O1Rs
rCrR7FmRYWZeu3SVoA3haAGqnJ0G0w339ex3aU15q2YHDFdw3OqzKyZHRHaBzmdTY5iJZucMASkH
+Du42/DUYPfFXUPyOj4zFqSpUvnGoYEM4BA/Di3eEWqMe+H5mnHZaYRVySkA54qPZzQxHEZImxBA
1u4mx+7DQmotewxAqMAUShc8Qc3sDmoHb9yjQ2qup9k7FJNc+uaWZFEnowEVE4uRM3uN9Nl1RC6S
XPUur6lC+6vXOcZlUw5v0+xW0oeR8iDSLu3SYaYzfeEcvtcwODUYnYZSHDkdnySlbDO2hxRDVIgl
OODcqb3KXPUbD9sUzJ1t/eGjssddm0DLMHtx57s0i2mIT2tr9l+lsxMLcNFjEljDunGcJzvST9Hs
2lLOinyoahm2Q7l2fZxdavZ4GbPbC2ryIZ39X2MotyjFOXTgLYurgkHkNPvFJJ6FXV/IL2Ovofeo
bP16ErZ5NbYWqjJoNS9pbaLPze1udv/BTwuYnp7jFsorigT5WlUtvui2VFfY+wiHwJT5XrlNtyBf
VZScWofpiMKoP1VBfKUbRfguK+yaSFzFwvCBDKd1znIZJs1bEbecIBTijdI9xAihloZvsENOWiWu
KNY9llp1jnPHXfX2dKOC/Dp2dGDGvXOe0rDfW10SEkZL/AY6eM88o5QuV6E1vpLGO2yUlrykou0u
asfea2YyQfsBq3TjOC0ieZRI0EUUjTsbHVdU9MwTxbSEUzwem9i5MjRp3TR+XRsnx/Eil+FLZpQE
KGghI1oZp+2mSan9l1rS+4gh3ARDdtTxZlcJBD7Ssu2WnZ1RR5qs5eSlzCcwz/KGYSjdVErheY9E
WjNtCQX80sSedH3ZdkS/sU0O8L5qR40+8poA9CqGNM9ZeYnXM+yLDI7wxCIGwwKCFVMwTYZps2sN
t2iWgRnXmEdiGRaPqPyqkClbRnQjLEo1n8j0nHzVTmVsNwFHaIwFCBGOoEGTHr+dRRAP7NdKMX4s
qSZjK9Hy9yIOJzyrMNZ4AuogcZc+HWmbAsXLJAgcV/nrkSB7YN4deRjbQNijucCZyFbe0HwKNl6q
qfotN7sgRSijsA4YOYQ2FByu9QK1dHzMep4Yt4no3/uVGlcRiRblArtJkO8QV+E7NzuN/hOlJRmg
Vp7g9KGc4mI5sYaYQ67B2/n3kIB5QhpG7iZ50IiuCEOpMTJ87b05yyAMcGSgVQmN+GznURptJgyf
ao0Zu/Yvgzjj06cnFGx90oaaNYFmTKF1W01iNfqcgLdpGzjGHslhk7yWgHbDjevEyFrMlKzKhewM
SiLXCdGgtcGNm+GzZorDC7YFKUsGQqvHrAiIRBq9obIWJWPYJJ8OtmaaL7EdBhcAF5rPfZbD9kmC
obxoQQHQr1VTtE8H6i1FV9YKasg/dn0XNc5d0AxPKouGVZ2V47OyIJWjZkuuRWSw7IU+jpEsa26h
CeabrqvVs2+W1JaikdOLoU9vvd0ibNTb7MHTqpldCPWR7FFQfc3R5vcS7gI8yxIsoX2Xnpqqi8XW
1TyuKCq6WQxInMyCsNjyaqwSY60FAxBsvy8ac5U7zEHWZpYl/ZFV+6Fr5OBs7KBsbqPUScQNWUWE
hCbYrlc0Em1KykySRM08YbixyDyYdonExtHp2DVuE8cI3hj4G9aiD9M6WKlKhncVyNnuhQNBU0HV
oys7kyvBB5RErBvAFXcca74MtFrVgkotNxaKeR565WLaGF6N0G2ou3PTjOGV1JhudmIYLpRooRqQ
COYFdnStODFxKKVO1CbdobeWDM81Y8NrOCAu4QB4tu6wWI/Xo1elyblz8/xLJixrR/ZKv/e61NHQ
pKr0s+2FxrVG84tJQuNeDU3aUeAakfriU++CcUY6jWXFwplTidaLl14j1LtKpvJUjG3/7lFTQnZ2
cwcEn1ZSzDoainpT2EGwdqBTJe+hshEbR1qgX8b4z8mHNuzHtNfgeXSh6WxcyDfJyUAdz6owBus5
b+Iu98vCX9Zxn301HZW/dyiyn/rSRPYKlt4FPQlRbkFrh8N4OHAM1XJGn35Sa+kFcgF5hyKwTE94
5VWMpieXhHWFWhetXT1QTwQJgTmOYIhso8LDPGsbMYG/WtVd27Gp7vQ8S05ZSM+Pzqzn3CeVYb1M
LTtIOH7Q7tLRf7I7jVn7YPgYiMYEdQaes5UyHXvn0RRfG75lICk0m31HVFyHPJFOhtX2usYaQVjz
RtFOL9H0jRKTlDvV9wMBr5f0Qeh6Dn5Nn8kGRod4S0NmP4+Gsp5VskwI59Yx1jE/GJM1wcb5oW6G
logNIWrruoq65AlKCzdd7vtiFlJ2nlgxKEXk7xIswqzSaxsPHSrYN04gOvsfpFo7u6aTq41Xls1Q
4lrTR5rooKc5w2g0xBWQWQB1q4IjlL/q+wSCQ6rFPegwxSl961eu5Z/CDHLbssv67tpAg+IfZDFZ
+qmPookJuoscgNZEfkN0BAzZKdLG9gZnuVU8eOjwB8TraD0i+q4uloks5pF3mZ0jwsYLE+P7JImt
dO+8IbWvIyoXuibk5EEgL8OdJiexcy01QLMLzR37WXolJk7btO6wX8uAkeBIi3mlRfV0qj0J6zZj
SnIMkUqXywItAxjuuqteB2UTXI4miPJB6Jf1SKJuWHk3Og/8sqpDb93YNElr8neflNGWxzQK/fuo
Biwe1wQ8Izyz/TvipDBxUd1kfMI5IpsR9uqJDoWKt0LKyN0xclR8rHjdBcRSzIhnE6X6lUJ8jsw0
EPeyb4ZyC9YW5kJuxyzLaWPbAD8iUuY05Yn70ejgwObjCGTExbl+O4ioL/YG2KtDYE7+G9sci6VX
9bT0uj4AvQF7BOYv54/PhZG6x5EG03mS+bl0jGFbIw9ZJC7ZFlU2WSeE7GqVtdaxnIDaZyYIdpsc
qUWYeWRzW9NnNozo1nfM5K0ANbkt49Igk0JoMdqUygOvBurlzfczSjA41CB6QbcTnMAGVQyBw5g4
rCJjrUPk2ZTCmXtA6PWqLTNq37uwAux6dd7TI+4H3BUxetQldID8tajH16bU6Lk1Rgh1ONdNq2Sc
mCDhpzkV/SOM7x9OPJytfuRtQFrN9Bznxl7CSm0WwqqrQ5Zo0d3fu3qBSBU/Yj3mg5WSMznMtB0H
GfPPL9NNaZZ7ONv3zlAxf8YAES3LsZTON3v6X/KifuYazge4+fM14OPpnAj58ufXMVzNbJArtPup
zdrP0bzD283EicAfFdEAgxaHX5OOXgkztNRU//Dq5ny1fn6beLSBKkoXdolr//o2w96PNZxVzV5W
YbFBt9HcgpKCmzIXBx1d+2tVIjGKMRc+x2NOm4NqotPdu4nqQn6UGTArk7nwyGzq/mk4D04OFEeU
tFV03QcrEE0NXWGN4NqruqpYqnK4wLS1IOsvLPcbXO0vr+cf3xAnYR3WGxcWXIb1C45lQo0Keb4t
9lNY12gi4hDVCrjLXl/jM3bZ4/1Eif3f3yx/fFGh20A7DEVlajv6L/dkhfdQdnRoeFF/OglHUEs3
9A5JenPG8vPfv9jPOML5juHFQPDxBvlNJAT/fMf4rjAzUPbNvp9CbW1V5hvYx02qD80/vKs/PgII
zilDFNBwUmat+fs/uNrxWhkFONZsHyJDa66kUXhsnJlhtf8EF/yT6wdekVMkZaKJ8PiXD82PiXS2
CLXaN5JmM+QaF4TgEPgnHlJBBKQpzHoLnp1zXhH09VXct0KeMect2YiCt/aj+isMRAboYrxpN3zU
h9VHrfj3F/8P18SAYefqpBcbXBZL/PqXatIH76TCfRwEcHCgDzXnIQen9Q+Jwn/yOoLH3rJmoJ0l
3F+uvV0Gden7bbDPPA4Dq4qpc7jygbZ/S7L+7273XTBBy+v8vfkVM8hz+R+Uwf95LEJJ6PBfswhX
n9PP2W+fs7ff6Lj+2CD8RiScf/hbk9CBO2iY/F9HWiAx5H82CR39E+ndtmKRl4604aD+Z5NQ/8R3
HMYRtjINMIL8ut+bhPonYQs4GZZu2YYFg/rfNAndn3uE/E1KCXYx6MmG5K7VeaEfn+OiwrsqM0OC
mwjfW8e+RNG8LWz3LvKKeKGz6SejQ0mieXdYJa6LyX5Glr5t3Zegp8OHU/RId/Ehbm3yzq2NoWnr
6MTE8ND01IkOQRVedxH0+kNpim08o6AmaxshftEhuAceQp/iiGzbbpmQELyB+/OURNVOlsk+tsU1
U5NL+n3bvsS85BmXqC5M2/8ykBU4Fu4aANqt0orbafDWni2WRMwtY3KAkubLlNyOKHmidNpaAzJ2
2V84hdoDmD8x1bzM5PBQCIkgJTuz860L2DtoKBZRRWST6d1RsdMZ8+Qd3pdd1UdXqSfRxAYuoHmr
2k3kELDvI670SVUrOAmGVvfSVO6drqqnSHLJfF1uhWfvKX/WrMivWiMQjacniT7lhzvvTyAj9IV/
3Ki/f4hsbPRouc/+AKEd08rEIKzJNfa0lY/NJ3XSk9+XV6SFXjkV9pMAY1s8OWsNsQqjhX+g4M49
8x8qBf4Aly2OhjZed0fqkDJ/vovC0lVkUlFww+2ZiiI8qbZCekw7qBstax0HJsOQ2N6y/iIpnh46
YixPAHW1fcpcb+EsvjIbr3DKQFqiQxDiOsADiM31RIzlri3jGGMb8EO94Swz1fqS/nK62tL1gURf
EdmgegJehcs5KLEpYT0Gra44lgMjKNgIbO+1iZ/bQzM2TNctwAs8OjBdTeNRlObRczi1R+2RuIXy
kHOcPX58QP9qIf2vrZJ/+a/m1/qPxRTm6PfXnsk9P32B2CSEEEm4zHjztaY9+zuedP6X/9Vv/vb1
47f8E0SIT5qK9K/XyB0ZvK/B5+RPOULffvj7Gul+0nXFxINAd6n0H9dI69PMVoalzozF+DZi+T5I
EeKTaVlM0B34OqZp2tx039dIwRpJWUKYEiuk8/Gt3y/D98fpb6mt80jmp9sbNqzhGizejFKggcyL
+4+LpEl0QdHTFtxmtCxXoVPD36ldGleFNpavshHVOtID96EvLbW1tR5rgPSaldNH3h4LiPmmMyfc
xR2IHqYZV21K6A9wz+gF6xw69skukCE1cflaNkS5unUJOK4f/UsMDsONmjMs8jb76Eg11RuJu+N2
CGrnhtC4sF8HeiFfPVwKROdJO9jQ59yMbnuBTy1B/IV6su3tZl9OPlYUvOEjtPZNWLiAP/BdFq7f
PmG6ct9izW4FC8VItqzmtRuRGXRekigZ3vxQei8gPdrDRBjPyiJJjAcoD3acWRgWkD63rYeyXflm
gtw3VFewf/r1iDlvlwew88uxtRcs4VBe23o691DY1i7kWQPIvz2iFc6IxJ68sLjvcIp+DSGRXzS6
Jg6lau943N1H1HnqLJxSGkh0mCeZ0BDFgnTJumCxrypnTX4wDImRaD7kzCMs1tyMn+CF6wehhuaQ
xeYrRH5IHXEYnsIAI1ToKJK70QwiPqlRKJPVYy382Am/BIxzHgn/UMcyrOXJRyHyBZQjtr+htrT3
brSbi3RU3VNO8+KCD5z3aTHE8EpEp5YuLwG/gsVxlJXj6UqStaer90HGOP7tAPdC0nXpoYzn03si
Xvu0x8Q9kcW44VTtLbnhJRdKy25lakabBIEmZt5Wf8LcwaHFTkraJ6QfFm1sXIggqHc0UsoVyx9v
3Z993bAFF11nwR0FHB+RDuA9qAoDsoVwCQkNwTFdTWhOMwXieRiLeNeaoNaY2KczPge1dqUCYokR
oywqkwhEx6vR+DnE+vV2tU6t4KvJJfFoLxTWpWF00Z6JDtYATwcIqKenPp/cN6uQ/v1Auki76EX6
QAJDclABuIQewAn2QKKfT6ojbK4vdPO6LoWeoYHRsBLmEqOBrNrirUZQQeq5tjRav9i0RWReTgIT
ddTbw2UwJESG2iZ3bUjexH3iuGa5gjM1bbSUa+ZGhr7Sqqx9mUicO2pKFTcACZwj+ia1GXtSHsUQ
vZVy9nbX1bYYHechLpDnxClk24rSxqrGaNVbZOwhr8/uDYhYl+BDUctbWocv2EMWSVRd5F+iV/TP
YjLkqgkEjpLRmBD5ZT0hLLWgViBEl7RdFIjEw1jZq5ri2l26llbuoC7JDXJFhVljTg3JX2tjwGTt
RUtN71cEC2mbKu8v0g4Loipp0LIZ3wXEU/pGZoKLmcdCZmBrqx/W6j+pKsSvVQWrHroj1mmDaTWL
MDPsH1c9UCNE6NYsB+QvmsGis3JmYAV4GiLEVFawNaPx7YlkE3X2lCDODmbkX3UpkdYiJPWgCTVT
R+M5DWAfQm49ut2M56CbGZ9o62ZPeZlUm9rpQ7HGvCTTddNUeJ0bLBk37sfzHH882wLFOSFjPBf2
vp7XhZ7YLEznnZDZGv18/PL3bx3Ezi8r/jzWp6rhYEtlzubzy4o/ao3EUeoTFW75t26SLpw0Frea
Gl5ow8LBJcFraQH1OjlVC8qJITvzL8Qi3A1VgeVF863KWFtTgM6JZF+a1+acGxkl3VcMS/4dFJJx
75T9Tg7JvhRTOSzNtnpRdbPJkbFtGZUfzMRUyzgOX8tyyEF+Gel5wA265/hfruhjM/AyCBUwkfSg
n4k7ZOtwpPdZVwl7qcd6g3kvNpdeD60DmGy4tdwhxZTUuy/0NrOXsdO7DYE72ReTQeel5Y/lZeJj
Rw16I93mTe880Wf39nYqvPOYht0NXzqbampD4lcFHJSO3HnXbdR6Solo7tti2uZ2L04m6vy9H6iG
0QXYrY3fmP7tSB8OXvTkQ9Ku8f8JmK9Qf11jS9PTxieGSDOBotmwB7Xhuqq96qExga/5iLgeIgGv
oEwy+c5Byl+FTRwfUfaB9S2s6FiQeW0vKfKsB62xzCt3UtqtqHsTsa3rs7coPf8K9WZ4IDfcfrCc
PDtDL6vOCn/IQQcuuxOGDE5eqVc7s5P7FN9N0wUKbGvVoLmsB6DVrTFcm33fXw99Gl/iPGkBrCdG
iEQaG2wykvgcjWV125r0unWTHB5oZeYXWQjvLvdk7i695D5oIrBFzWRhH2nqKX1J9aK/mISJYbBq
ICoE9XDM6PJDfI3FRtlJeEIMwXS+IhhvUxnRiNU7VcFSr7ri5BS9d1VrfXFtO71TbhlyjGCoIb1a
UmTrqmLkSyZFfG77IL+wh6lZBeiqFqkvigO6b8xp8yqSlB7lirNnQIbXJbvCFHibuC2E6IRITH+8
GGqA5rgRaL2zTSzJjwfpwprl26xe3ryOCd8IkFNp2ruaVzhwwgiYKnq+PdxhidaKLn5ibaePhbH9
WCRZKSTeX1bOal5DVRWwziShObEQBHqDXI/1dpxX3mFegytTDoesz1lzCxMXRuZ14Av6kRUdkONN
R7b9cdKN9sVCprjKGQyuYq0yN+nHxhDNewQ6d4QEiYFnKZ73kJL2krZzzCkL0dvNW5DugllfuNrY
9KvYKJ27Uc+tqxmS7q3wCrlvYRWADlO5EVvbmtPeQeuKYlPP+2SLl28FgpodNCt89aUvIoutgnta
sE+FxRFRYccaitt/lxPYuvWwAoar6mNLR4XCB4tJMVgxxOsAhZQOPqOaj8j5qBrGuYDQqCSmuaRQ
H8VFbPdYllvHIneUukOnfPTcoFwCU8MH6iVKEVPfDsc0MQCHuNqw9yyEq4hX021B6bPqVBrto7Y1
gTmrAGpg58plNuTkjblJHF9YMMT3osnR4KD9eARZLS/RxKgb8h29dFHVQU3AWuV+LafCPA8g71+7
pO3OYT2G98RgN7fkpA31ytdbZ9/4gAQxFGnk/OkyvAIk12M7hQpwaWui3dGMiC+o6Qgu72lazJNO
0zqnTNTJBizSy6btGJkWvVN9GaruSbcL8IpKG4NljBUK/7sytmrogjvH541HnBr2lVYgdQ8icgt8
VzEoK2omJCKW2tmacrF3MC3dplFunxnyWMvQYesyAMHdFQgICSfUYaEJLQTTkcKEYZbeKdhHRkFa
jztE9YVNSvzaBogAKiPUv0D8a19FnhVc44n2MgWpLzZA8i19Ydu+g4kNrsTj6ITWlrE+TzHt8fCA
P5rMg0ppB7fs+h3IgeEQORpUHwYv9DVL278O4ek8G4M6T7TZ7wiPTJdDrqGtRrB5QOuLYayXyr4O
RjN+iQTmbiQhlliIKm2++BYG+aJt6rXuSAJ08hhgtg2vhHnZmr/IWjdpZh/NwuXm15wmYSvXw2uN
mBQy6ZO8Ro9BFThDreR5RiB6aCOWlk2iLbyDWcv0VTc1UhqbHHona6LQVoUe5RsVNuV6buw+5XUs
D91Yt6BBw57r4LRrMsUjftiZ9o4ZIFnuZ+OTomBf46OEMOnaB1eX72nvfhkHXNJsYAkHJC/P9vSp
FE87tL9FFpX+DYa6ccvKQ2HtxfpDhN8e9Ez6YMjCfJKl0e66NikegSxFj16tV19jnveVy5Bx1zXT
S+bqD8KGhbSIIsveWzK/MO3+KoLrStEPCbEFeLDGTDWR6JoEdb7WO7gPy9aFK3qsClnsld2w73og
/VyRiN3UFNGa6IHxOdS4T/VJmseh11q61Lb3alZIrHxbRT3EiLmsn7KBQnlop+UQyLe2DbytK0tt
Y8OxO4VVGh6LEaXLsc20/AY9sHmHq7gelmE+NF87Iuyhgsa1OmVlxmrT+SK6xehhw3Wb7RWkecAQ
gVyyrXJhURoXiGg0z7LDleNWNr8VmksSdrDtnKI6mGEGgknVvPcO4D76g+g4E2Vmf3DxwexElcRx
5Cq262CXVc60BndSbwtvGjg4CYEGOB73g+uaaP95fXpBzlNKJRiCKhzdC0id48YqcCYKo3VegjI0
tgBlooUHXKyFWTfy1FajTqRVhtBoUeQ13oT62fXai8nR3+f+xbozPONz04FEd0vckU5xVyOxhWeO
IPfGhLuYYqog3ToSpKuIQD2kTUZR3bK3E/djrPqu6rdKL+FbBWLY6jPfDHeo/oAIH7gP+twA+Aou
vDDHgu9LE9GG46UmXmOX+ztBGHVHe2K6sxmqFstYR3bMHO+kx0GBGo/3fCbe2LwgXBLO1Wy+FJIe
atuHjb2SWHuzreu42q3FVn0WRta/y/iLV2P16osBI5I/BTZ0gFHuqjCmLNKyixTruNSJ8KjqBDZg
lkRbAFIlq4jJGWOotVVqvQGeS6INsWsNaswRq0zvOsaq6LxT00fTJQXhsTFRcOntk4pf8ulmDCBS
wthdlJkZvZOqcBnHaYbsodCvHcsrn7m/2LwIg7nqJ8c/JkFWPEGI6HHJJHQhMPJouB55op8nq+7v
iZwSz54eW492ZJfLRq/lvtb06MBOEJzsxNOWKojm+LMEUpFWU1RE/r6pohDoSQh6A/nTdRgV9g1M
pfEF6vGEucVPCT+RaDwjMo6dDHEZtBccAeynzvCENJ/M7wwx/zxlDna+tFJ4YmO5lnioGO27w63Z
esWWnGBgdgRVbxhGRjs55y4j7JpWY+KNa9Iahh01pI47LVfw/Suhe2cryYq9LNth4yfEn8eQUe6r
kMoPY66FnbIFsSsrd+cnCYn1eTgyevfQ/fA3mKvST6d1VzTRU0k3FKr/4PtLIJwAUllEifXUpg2x
lMQGoG3aGkZ8n2hjASW+brexV1CQxfg9gRxx5ifO8I4A03o9tUV+iFgzsCeNQH2sMHfMZZNoPaLa
OuYJjDOdBRt9bDfLCKMFf0q+bNyUn+iaFCKvRw4paaf1EkUG9BA/E7sgZoXw0BWu6gZ5CAK1dJeZ
GDEa/BELQ8VQ9aKc1azvy37px0CvWsJnTMPzLjL8iJlLmhCNmSgm5pcJrhF4xyr14oUZD2LdEqra
pJhSZ2HymsiR8UCHL4PW6t5wLl+aLnmsMQEQOH+I+LkIZuZD2nfOij7BtA4HC8wi5mbO5ipOjgFD
OC6BZ+z7KjdQ2Hbkb5p1BpWexBS7ZxCnxKgtsSMYBekhyG8y3NJvZpLHz1koq4QJsOnd4L92L/DM
JWfOKsRJ42YlE9ems2TZtXiI8Kst4UcUz/SqMe0XSX5EIhVx/isIv4Q8tIO4lWxlV5WnDNvMrg7x
ZGC+wj/o4NiQ7oSpLjK2PGHivuG4dm40jDtZ51TrMKX3ERChY+i+WDRRfMxN6zDUu1FxPdvMfUZe
tIzKQN2YWedugRRGD6ha5L6Mk+TkhDXSFB5BMK1YnIXdt/+kAvizozB+KXrhDvluCB9+bgP0UWZ6
nhRY/8aRIFgZ2a+V36ENLq1Mubh2OP/iifeRnGTgWKrYJe0iCAoNF2E8fpmZa9U6kVawHtEnIxCd
+5X0dJCKt67egjgLJqkRDj53OHWbkGR4XDQIx9xWh9DKIbnUnBC1bzOLf9WTv8tT/vv/ZmzJKBj4
/F/34w+f07T97X99Tov/89vxcx2kYfXT5PLbz39vyUPwn30N1DcGgZp0vX/3Njjik5iNOAopwzzP
VNwQv7fkrU+GIA6RsSaCkW+2h99b8uYn9HSmQSuffDZI1f/K2yDtn4UOGqIYkqIBMsx36w+6g8xs
faOliQx1uMLuotGBWwRgYbDBhd1lIWMCvWdaZ8hoEpvSoq1lvAZfVB7HAfQTQrtyAy7burQziAME
djurBAfdLpnpoVrj0Z8qNJ8AjxaG1YpCEayYJ4hKyptxn0L/XyR1MD4Oc7XjcEhd16Ue7PK0Kq8A
bcSPPrFb68gBvpTO9RIz0vjo+lBlsgkFnpjrqjQLqgPtFEhLABM/45+wjw7yynDlfZRl9VyhqblW
i+eqrQP/ssg/Srl+ruryjwLPQW3y/6g7k+a4lewK/xWH93gBJOaFF65CjSxSJEVJlDYIkk8EEvOM
BH69P1Cvu8mSTLkdDkf0pjuiW1JVYci8ee853znNfaQlIK6pAKOXYpCupLjrlgqxm2qSaet6wOgA
HvFULZFioVeGu4nykuRQXBOeQ8n5EotWLunIUCgBKpZLdYrXekA7TsVaJ0MVYA6ev2opmkz6B+be
WGrc1I0n4gvQ21y0URti3vpRFfe5jlPXyeFn4AdYxQA4VyXCuAs7catHK50H2h6VFjDOM9bJSw2+
VONlUqRf6HNUXyIJu1pfqnaXI4G71u24OMqlup/pSHRMbGXz1KNwPZo9jPsdZXCqIz9s7cMI85QB
cQJ3UdNyhnqz5TIsmfvMf6Yhix5YzWxmMtOaC4ck9wetkimmX2vw11redRupE/oVzgn/iqzAhK17
s+k2Ld1Z0rZNsYlnxwjmDIhbvPxJRCu4VEE1iVva0DmmfO5CIBqz+oxqhW3M8xkmfqI56MFRGAh5
B+LeglbN9DzHTU8kyocl1PXg53V8bRP0sjaqZgm1r1DTcdmaclrXfTxdh7hjWAYZHVv8k+K64Ss+
9IjZaTJqnY6xALgXZLxOUU+NJdFwbiaAGefNIba0aZvHRvg8VQ7fqc19O6N2xqsOEh0uziZErXvr
Om34wHqcevSqNf5DGYK+nrSJ4/Enn0K8BmsUyq4NdJpiNyUaSNoTPnTEbT/j7hZilrfSyqJnu4bD
oMKyYgQkwZHapcHJOWuajq1qnDlVAJ/vMe2ST/0nvaPpYeb8+snkY+2g1AzzWacvwCsNgAWixpy3
QP8YfWu8P22FOmzAr0c/vPDMIKNiQbKfibIM1ACN2Ldh7G6F5nrWdSxJBQjYmCNoiokigrpGPxRv
MsrGj6Z003FlVhqOyM5uC7FJjNpbCIi9/n2c6vKgoSpeQtLnCNxbVCCD1PTQPhqIOFuaSL5/myn1
JHT6hZNR2k9kP2V7xKfdrYps+uM9dr0ZDPg1F4WuiuFV6rPSkuiB3RSQn4PtuZrCjr4WBmwCPVB1
u6kvmEm1Ob91JoB8KX+4TyrMugvKWHZWe2rkAH3N76vNSC92ibinRS2qHiInEPlG0JkKVKd1n6ml
40di38fHKASg4dThdDXTDrmWRasdu8nOr/Fk2N0qajT8YZYxWd80aEac4l0TTF0+6+UJbb5OwEMJ
Xy9MsKTHOmAGPCTr0fK/pUVabaiNnRPGZ/xkPTg8iSH2BP3B/uZZEeSHYumjgDNnNtaFNHYrl7VH
gr4fiKM3JCJkisADCRblkbjpCmgmFYMMOleEpyRx1X5y4PDGxA/Bkq688GS3BizoRtNBidSN20K/
J2D7gXmT/8kxe+TLbevfYm27mQqE2JFSiPwsr9jaGjjRlbL76s6xB/8irzJSDyxLPpUito49BSmn
+l5H9ktXfgAdsLEJqKf1XqZ7ITU7yPBcbgArjQGverMplzW9gFQc1J2lHR3opl+zqEX3LaEk7WxG
cliXMnmlse5d5ij3PvgtPonYDocA7lN7a7POX9fRANEa5ZiCJZbWO/y11rXTW+md0Wrxd8OlrF5N
Mh02vSf8ixlX/V73SQuG7TmSBRBpR/o29t4aRVFyFGQWG1RjnlxGdj6mG1IO5sdIgz6bpLm8zald
D4TO34ARAVHKamllKz/xxVf2bf8CvTvndZuEyJtZZ0iIswXPS+3rOd7sdioQcnSK9koZPydJGt1y
7grvRKVwXjGu8h+jETGM1jZgDCPRPIywUb9w/GgCpc+A4CWZFRZxp+7KLwxtW6An4awE4v4mV6Z7
yprZAaA7j6eh0Sx8cvjRccwZ4RGN7ZItGo0HhCZyG8Wzeei0AdSJbXTd1tWS7NZ28ahJ/Iyww6q4
+U77S8ZXwh3mB+CNBhPPdNYFbq/SXidYNU4xKSXraAoBa+uedZq9fPgq2ijZMuXp1zO72G7w83JZ
47244kyHrQI1V8Hw1qyuZs9Buzr7tfhuDmVxxcBDETY30ejXvXle1b3XPoUzjAJjLsR2GGvtOHtz
/z2nZ7lAPwdSvtiGVghs0JrTtDzCGkgfMDJj0Sp8EX2I0lin2w6RfYsr3VwvvNRD31sWu0Hl9hfu
aBgXQ86c0Nf0fgecWO5g77DSafydgzQiRm11qEh1jZ0dfLXk2DpezdXs6k/hWEBhZjuBEzbBU1Vl
ezuSVrZFsu7etYkPpn0Y6WTBXQ48Wi4XIGGvGOgXh3ZAbaTmlmG2mzjuyWdffXypTf+vC/R/JcWM
icjlXbvxR8k8743f+K+/8qMo97w/fMSA4i8loedSFf9lOPawIuuOQEv4V6rW3+zGHp5i/qBPDpdh
2xSof1fJCPcPJGNC91B46+gI0av+EyqZsxBwIuXQ6OoQhLAvMxu17LORKVAqvRhpFuwtUKBH+g5E
G5fy0qKqPLoK5lDMiCBAFl5uaNqqT3JMI7yzBeRTvYsDA9bJKsdb+JTErRGEXeXeFnkPd0erUFu4
xGy8Ovv8Yr69nFv/oW7/+ftyYV6fJCg7nE7C4t37EkrOZIGbrcD+kD0RBnrFIEWw6F36uR7u3v9g
DlG/+eizQ0zlWHnVVPCoZNRKnLVdQsOt9raMgcsNwPAymP1MA12LDgJ+5Qc1NDQ0ap/wSVBaa0Cl
zX6aC3sprPNV6eMmdpv4A+qq/iAqrp5jqg+ZGUaXYcecHEAZmgbSjPYtJVpFGd9kcvE62lQ+tQaH
q8o8slaIKaMLRpbJdRnnDC+7vP84mHp0SjGTktuo5CarRH7Mfb28tHtfXmI+Gb/G/djBXK/KE+Al
sQFBVG+bqtvoxdMEA+2QFdFO68BYsI0BKwL9iGEGo42L+2iXmZm3ClUkt4nbPyWN33ZQP0QPYs0G
2lGQ4zOXDNSTqGYmHGMPLUXyCefTh34ab+qkag7tGIyZdm+1hX/RkVt9nBL/SzsLjYF3ddFgnIG8
74hTMkeXoLoZIEWI8L0pwWHQS5hM6HAGz33AUDcHiCOxkvvJ0RzYFcQwfVB6bG9bKEabXueYg9+n
O1ZwjrZhHwpMtfKqhIS2VY2+b6LyLmNGSYs7DKKGgEfi2oQWrcukxrgWIi8ySQHBXov5ibiZrZxh
j5WJZ23ECB+LCA4oIgwcN/wwwNmy6g42JutvY4SjF68kY0t2u2nP0f5m7H3zyFsDmLi/CCcf7q4n
BqJW1Z0atOFG5aoLFLnOwLb6bWSN1R4awJ1RqHGDosMHdsM9IbGbLKg+MjeDaWYnPwaan6L6bT0n
PHiFo+86GYcHiyobuSSHBYCwRM1Ix15TgcpgwPZ8pynSmcmh0YAIrzHpHmazoTSPZbaRHU+zsk1t
O1YI5kClUnOn/UTsSawTMdHJnT7kj5Zb3HXQyxsc+LsaMZEf4+3T/aB1wHxy0iC3b7TsFeaqvWN2
45q8T4asLhUyKgmKcdyGo08I1uATzMHdXBR4O8cmzrrFC2ZOHjGu1JZm1ifMPTSPUXwSqAI0WO16
kHez8RZdnH6hRWytzqgA9gHB4iDWuRdTWaUfExN4GAqhnRotqC4QhFJPaet8imGo98mV4ynBHAGR
VAehdN0lugomTey0kUKQ0djGciiWhOJkhZuL7OkD9KJb6bGD1pO66xSQvYohdBdfDbVB5Jg9ByPp
Cqr9PGf1B3dhqLh6f0tnzfsksK5skUtuCuJdUolozIkaiE9EAOYF7s5mA8d9W8f5E5v1ppslDnGX
/NManfAaLc2VPznxzuAsLpMaGKd/1Brjg3KjYxIW4jJ3ak0w/5jcbRQ6sN8JvG4fUbnjqagL/aNq
JwbembjVWuiKII0IJfQH9TSICCBV0RB8Iwi7eogzgn51ftaBUoHqJcNASkuEEXxYV9mWeQJpo/EC
cKnNYk9cUXEQqdBWFVkqQZOn9o0XgufPBqrnRK/7PalD8XLsb5agk0855MY1qx9hvfrY3zW+x2JB
Ib4yGZXuxtho91nmSkS/hbvAapV+8Ou+ua3DvL8ee+RUskQuR+eUP5gQkTDMZkwPvdFPnJU+IAk/
NsKcAE6kd1ORdMcUSy2PoPW5n+Z40+AdhwBBBAdmElJfRNVcCRSLFH9wSzsro+2NcpxmOLWg37by
ELmQ7RINTZgWSbjf5K+z2LX2fV5oRzecWe8Sa53PXrIvRubMdNRmxOcu0w+jfIY5vdeZe+0QxAuA
qmm6b3351dQaa2PJ8IbRNezbONS2nADGVTqA98W7axzyKimu5sa+/c0+RgvwfAcFVcK+bxvCBDVy
1hkGH0tzuJ3JEsalTOqIJbS12QNq9RbpBVohLZC1kX7ssE7u00Krr7BCwaUCAXpBPk99AX2uWWEt
uXc4INykI9aeNG5Y+VC2FVc2TjAMwboMkiGL9jLsir1QilhwJogY1vVjU9N8d6vomWOEttK6tlzn
TQ6qjdct6rKH93/v25bjS8Hw5uee6eGQ09JlSG0DxR7AJJpC5nqa6PdQzc8/mtP/Q6PaXx/lYhoD
GULrfZE2v65NjJHxR5cqyJq9+9y5DOEn2/pmemSENHZ1//7vOhP6/fxpi7r/VU9Vk+hi8Q+LPbIT
BIi2+cVEsgcQLPrTkM1CQUs7cKhZzAlQzPtOU7iU04ooOSfqLv2ETg53Mmh5NMFYqG3S9t2xD5fj
CrSFQEKbD0gq0AO0T3YgJsRXehLDqUobxXHV4F8rGf3h8SUtkY26XrZsi737/d/5q/vn2SjGaGkj
lXLP3ZTk8BjAY4196Zc3pcwddBYL5CC2f/NBL5GuZ6Ul8pt/fNJZKZx2CuysiMz9EPUcy0P/uzG3
wwpQfgmRz3l0BC5thdycNHgqhQqdZfD+b31ryHi5pVT8xPnhBqFRby2v7qtbmuYooDT2kb1T29E6
dUKdvAGRUro52rUc4JlArMUl/f6n/uqHv/nYs5padLQs9ZIjI/gTloFmIfwjPBobRoCy0bVjMamr
kO7AdbZUOe4ILfB/8RW49L6z2C0xRJ4tSpluqLbKJYI+CbquZUtEgHCJMzMEiACoL6ucD7anU2+a
zjdW/Xr7/hd46xX4ceVff/7ZKtGT8kO7EwJml/XfyM1QV10Rmse8dniJteg3jtblpHD2pPFLdZt7
bOBDPne0kjehNV3p6XvbbJOTMdLRlNDFNu//pl+8OW8+5ew3taZuDhmTOIB4yliN/MBVuzDYc6f6
ze371SctP0UXHv5G8dPCV/l9Mc+OvhisxtXoGV8yxz/w3v7mF/3ySX39QWdrHucPyAoQi3g7K/e7
HLsPCTljO6iLqAGm3vyYRh0zTjhK8Yd6KZRF1VWX71/WXxyZLX1RWXueLhbL7tk6EcZqrF1J5CPD
/Wo/j81wV+E+OUipzH1lqk9l5S/RGpCtJWOgNVSSeu3W0GzcXHvQXIDn5GKxO1BdFBdplH9xGpNY
Tik+Jw1Yo/e/Ls7C84fNgo0Kn4ymBN/YPnsMNGNIw3xu+GoRXqmJQa0RY6Wi06qvQT9eKt9Rm6rX
930LXCgaJd4MmvpbOKeU73bB1IEmX9AMxYEyNdwkpRHkFWcaMjemFYeI56oao4NeL91vEIGGO9Qr
CeplNUwe4g4NzU81k0AB6ateDdl3IQk1ncY6X+vOYJ3atv1R4vy/9aBem7b+pRywOK1YOP/7UfLp
IW3jhz/H79+rNyPkH3/vrxHygrNbesauY8K5Q03/t24Vnlgk9YyPLc/2TFZp/p+/+lWG8YerY2z2
aUphcnYsvsZfI2TvD0yqAPJMmlauWAyz/0y/6qeqBwutS36EThq9wDa5jM5fb5F2OYZxYxKh5owk
m+Z4yEcGF1HefCM+gGmIqweoa6E7NP0uhDGL3kP/jH9FP5XtcG+Oydeegt+hGN2peOj3Xd1dJ0yJ
CCgxZFD2msTu2Vrrxs7uO29BHPvpPYzVwB+mI2wJxnP9kltJzJXAX/rqbvyiuXW+C/HjPBPjhg5O
mIagdfbjYEPHpK+ArFJ5EmDK36bhM9jea91xf7Pnn38SK5hhs9n6cAZRCvhnC2nEwdEdcCAErcHQ
FGIoybanqSsDgxzm93+UuSww/9jtcGJYyzhg+S+OHJYjlt3jVVXDIGjMNbroATmjT24Iw8jNiy8d
wSQ0MwxgSSXnSWdISVJgZ3IHomZ1x4KsH9XxLmQev5/7amdJ9yt/6q4o8kvNFjNLU3MfaeNF6bgP
Ig4su3LwuJWPjconUMqoCGgUnCYroimP424bmjqjqr49mKif190A7tciCzSIw+nBGeavdS2/mbXL
SC/Vf2e1NZY7d3YN8P7TaHUw23LwOt8zSDMdJlPzg9LzdjH6MSNXUHFiUhwY7vvlfZU7TDtIzYuR
XUpikqwh/xNMzff3b8bLB739Iu5CJ6GOprz0vPPNa4qVivIIWU/W0cMgb4dJnubee1HLrMfInrI+
vbBgoOMou2j6+a4kepOMOXfHyDUj7FncmH3zcdHpKrveMSp8mJPoWz4Z2zn73VFVLLX96y/rYqRn
EUI0rrtLM/zsKS2IwtPSTsUbXZ9RbiEFc/Xxzhr0j7XmXCIpuGv78pD4zn5Wzk6STwCJDEyehSMS
nUgzY6EBeuKi4FrPoFdiBx9b1Vi/2WJ/urt8T9BH+P4tXiUMsWdbrB3VriMlB+dBZh8rLwHSk+cj
Ngz1YbT7izZs8Uwm9Fssp7Po6c7fhnomUbrZ0DL5zZd5e4ZAXvP2u3hn5yXU9QbtkywMQogzik5m
6hskJ5lLn3HX/vbjXtaks3sEOoOnyeJOuYwy3r7drhmm3oyJLzA7RNYY/hCCdeSd5CNPhfXRiDLy
oqe8DIZSg4Oeu/LaiaeDpcff3AnBY5JgU4zGPKMZVdwvsQwRXM88ae9mQk8usMiRQhv6NG5teUNf
vw86chY0cz4x2CTG2EFiQWY7uVEDnTzG6BsiCi8832eeWRAdaVn1Kas1Gl7M41YVNde+84hqg1Q4
09QrE9o99FE7c75+/1V7u8T+uBGMdhy4IpBhsey+vTCTqWfkA3EjUORsZisiBeJKJR4cmd8UpL94
TRB1od1ifsMHmfbZtmHPmJWLkHfaTFxCQdLvhW0ghPUgss4LbMVv4y+JGj9a9XxgsnBrTuJr6OXL
lDj81oTemnCHPwGarQo93TcZWqSuuVRltnv/gvzEG8Dy/eZ7LpXqq41AB5EWiapOEZM7p8kYiQB2
k7We5PchG/SKxhohc9Ug0UzHJLip4rJRJHt4VX0fAW/CkzQDYbVabaNoPe6Zmg6XTdvkZE2O6R5d
Y7iLasc6zmg0PvcjAUBV3V0NJUZOi+YkimMYXzT8sFwDa1uTlociCGQEfU0LRNw4dZCYSWHF7d0z
oC+/MOJ5COPF5l2N07fJ7j8LpsfBTOXwnKNnQeERNUwU6uiicMp5C4Px8/vX7OeHiGqHXh2lFQo8
dpC3lyztfMoNs/CDyA5xqxKl2g1rabq7sBLb9z/K+NVnUXO45oInwT16tk+rpVfbmqUfkC5mHvt+
/oLl1ryomin6jLkQOGUNnLOYLtvoOXJRy5Ymalvhs8GOHRFH82Q43BS7uTb86Tdfbvnst6sMSCub
txYoM2/TedmXJYOR27hrgyTPjlO0dW3tYq4//eYKnFcqC5OAjqjAq81AViyD2tcPaCPSqB+cDOgx
ZjXiZdV+Ip4qCG2M8zImPb7tb8eoqh6y2v6UjNONTWogmi6E7VbRb+o5r9C2yGLjtuqaPkp8yjTY
F03oWr+p3371TR3PYlPksWB6e7a4dMg3MpK/w8BzSlYVieCQoE4k93Rh0TKtnNjd6np44eEQe/8i
LZ2YN3cC/7tAZOi4gHEW4PXbazQARZnLqIRWXLmfw9FliUGO4JeBWYhbuO5rmde/+UjjV58J7EY4
ls8OC7/q7Wf6DNcsN7Uxh9fhDvg0OAFZqWNlMRHkNHkq8/4pTodPpJw9MOR6ELOI16H22DUyWsda
WV55qnhOkOwZpbuWyd37l8T6qU7xBMW0T4G78Cuo3N9+P6XVBu6FTiNloA9oiu9CO9yGCa8LBHnA
nukM04GHaFQCn0Z87GfnW1s2ats54deGAfsKc8StGIfnJI63OUG/EVRjsufkNdSFHYAstqoSm0VV
Pjnstxu3j7YD4iAS8dLdXFnjMUkBMedY9ibVA3ez2+9Trt/1k/WV+JgABdB2AIlpRRAeBpOIv/ev
gLvs8m+eCg8wm26SZ2zz7pBc8PYKFBJzjGfEbtAO7p3I7Rv0M3u3IJy0qlTGCKlrNq0dX1YqytZG
yP9SMrFtpqzdwFu+7Zrx1oKiv9Y13NMytQgHaNjgXX3l5fq9i5MuyH0EhYbZnKK2Y9o8sXjXY7Rt
RsdYfN6EllpjgNYHXC4JeU7kMQX3vxpCXhqwutMMV2HCbpBMRTDquBTnfv4zXnSyvaivmn4ZivLV
9PxDlqmTSpJTmqEyxVL0MHRdoJlmRI7XuOs657LU0l3NGWSjSBBcGQVRtFaB0FSZNZHHdDdISsR9
kTNLNFK1ja12DTObWYduHIVdPREl+qHM7l0Ay7L7/ptb8dOdMCmXeTU52i1K8LOVoUcIUbi1ST0m
1jX5ye5+KPc19kjCcV4+6f+6zfIvlCuwXDPW01cXfOHv/MXVuXrIv//Hv/9n8effGWJXSAwfH5p/
O7QZSLH2dUvl7//Sj6aKb/7B3g1jDvANJ/sXaNgPCZCPwp6iiBOyD5USTh5vzt+aKuYf/C+0GJdj
haszp/17UwWZP+YOB8KjYWPu4N/9Z5oqxtmZAZgxLhG+GU8MHgHGZW/f3ratiVGSqtnFY05FbueP
ReWlG1Y7GFRhQwDqnD3TWK1Y7NNHJHCMQFD8rmts0ZMs4UR7RRuECkRVOMrPQ0nX89VFvv6xkvxb
0efXpSy69j/+/azz6y5fkZ6T7tvw1aCoLWi111szug4oaGlEzEdOwa8hcidNh8d6iv3TUNeIc9WV
0/ZBG4l2lTp4M/9XX4AaTHCpXJa5t19AMBHxRitjbV9E3eashjUnrcUcEG6I6BUcUmCr9D4ztBi0
cGLwPd7/Cssu92qNfbkEnId1w7J5v70FSff6ErSkeDdZntW7pid/Dd/eXR/bVxL22vufcyZ0+nGt
2eH5GIuMQXoFbz+IENy2m6ay3hUla0cXdf7W7Sq4H7m/RVROFIsTlswXkX4N4+iT66gXJ02JGxth
2Ak/t7YxNTN8aBN73DRK6LdmioxheS92vq2aQ09q1a4BqL/RKkbLaWoRVIMtnIStoQPTH80U1eK6
1miGxCEXcqqdr5yiD3rTeoEla4SlBWp3avlpR9RDfDmFn+YRJEyc07KAmLe11KiuVJs+G+acbtoh
eyy03AuyJkQA6n9H7nJrzu6X96/cWZ3CHXo5hdFbQ0zHBPisTnHnQs8iWeNWNEMP59v0lRSiAI8h
IchCkMMeI+Bx68H/TXV83tXhgzH7UJJh4aFKYhl5e8fyyncrQnCSnQepf+Ohpzq43tzthagEJI62
BX81D+uyEfZFPvFCF21SrV2v4IZiQt1kcbRF9urTLeWdwlaUBn6IeqysRwB7SYiFGH1jyigMwf37
10yInx5rWC2ei0+fpjMnxLPHWu99a5jcONsBZCyCWrPtiygms9wcUOqPfblJMbbv8PjlV8DGD4OJ
cxANIu6QdhXmzuHHAmQpskBODmCAldciVfE1fjSkVpQfmSnX6J2e3v/eP99rWplstYgzSX+xzk8k
HcpyvRn42iPJFaSHsShwtiDpZ7nQjVP5WEA6DCpWJn73fv7igoklngZwH3iz895tL3ISIfyGtF54
UGjPIeD6i8Hj/d+3HMbfrjaUs5wsmBnx41hw3j5SRVaRdVtn2S6e3GLnNnV6xOPy+P6HeOel8/Lk
UtUzTROuwdhXnN19LFiuSxWWIRDMnkM3xN7ptD6hpYXZorDmJfe1kb2FGmxTGDOzcDt7NiIC7qqZ
UJmij9l3Jn9tLG6gnFExbp9I32ctD3majIJ8TE2uzcK70xzk23TSr4SamoPEHR+kqk9WA56QLb5G
fESM+gkFs3c6Npi1bZCSCyNR25SkVa7a2DZOVF2MFnpMRFjaWYlqzwMUBECBvoC3qhWOI7DSEOYQ
g28LYGCr2K+srRDtZ8U0gXEkyiKCeh7zWT7aiXmTV3N4DMkDW1lm8oylpNy3sHKZOhR7TRG62zNQ
2WalfG4i0gxIhsCkb+JpSQefB87g+S6iltSvKnt0Bp5BK40+caDAm5z5dww4eAK7lO9t3hTS1/Zj
PEB+Et29UfC2Q8XxUcOk7ZdK2SRZaHjslSrEOrX4sMxPrAdDn1iWhYsUbZSPbaS8wKyJVo2gn8CE
sr8VDSHjETjhWxotFA9yZiOeHdJRsuTZiPnRQ9R5QZ7zfaOuu+WQ/d1J2T1HhIvRiM958Fi4wRC1
m5QNJEhwqyEI0u5djAyBFQKj8WPTC5hJheS+tzEIuJmEeFs+Uv4WK3sJB9NaduBsQuiVW/nJzqqP
ieHf1S2BQ2jHCH4PPSA9cJjZWAZrnZncmqIl/FhCx8orAl2HcBe6xWOjt2hTe3pEmsvhxCcKeJVP
LJZNnZCRmjnbus6eSVAQSHuHC1KPcXakzxlujx0CO5ApFj+0HXMCK8zL0OQJJHfFC+g5XKUkIayN
mj0gNa00EH2Nba3iOS+XLXMqqa9Sg4+ahvRZi3DDOdxZbEvPtlEuoILa/jykHd6cyEPtauH3pv/0
XC4S7AI/3YpphhdoMZneGHdWccpOnc35Ix7J7EMPKXFNooL3EQngdk7iR4cM83086Zjq8A3oHRHx
sIqMk5MQwfRyY6gMrloHK12K5hALNc/uNPLY6CQurVrsO6sqlo8e+d8rOzJvTC/zd92UPXo6nu6U
J9xAdLR6eXCbme8dFmrrKuBfRu7AH/TuwBhOCMz19McrkPOEMby4abuGpNSB4hMB60xcITerl0u1
sbBKyryCIRjzBJkGt78F4Yj0sESyS9LMifgHbWOMoVxXHg9t2cnHly/O16WKQaawTWj07ZjrNxfC
7tsvBPYQEd/prNcV6svMjavL0vdrHFHcO3fy081cu+Suc7bGjK+tZEdrOVHDqRwZXCUQ37aqA8af
s4Bp7bJguTZ/h9/Bo0vzaLnBuW7fiKy+LyveK0clz7XDtw7r5PFluSDy8rmDlLLyBlaCIgFMn7QO
xpeMHaRypoSU3o6svJGLyGGAemimnqJKduG7GXsaNqQqQwcLUswr+JSMdOPM1b1NvPvL7uTrPMV6
xBVgQBcehZM8g2gIr0E90m1AakuktLVp2qLa2koErKd/FhmLiYmwPygoulboID+1Le+xpfHvDqy1
WHa5IMreNW72SBb0y3I2cfgEruVcvSxKvc3yAtXjPiEkBCCzcyVKpJE1seWcd4qdNHhVgKk8kq8E
ksYE+5oN3NyX00S87KOONLXNsu04pXv18gvHKX1eXglSLW6WrQD38k1X8cVe7kEl/CvJsBE5a8jk
Yzx5UWIvfkkem8KDASOYCJRGc68nlnGym+Q5raIMaSKPSqPzML6sdB42VgJ3vLtysllRnRnCMcyj
D603dRul8f4mvJmoNGf+lkeYWpa2Iehk7o7SePJAFJ1mIqBJ++U9VNWsji8rMRwNCjFo9cEoPfYM
izJrmr07N6sWjykIYL6Jp7at4v8F1ah46vtqSzoJ5h5MYFelr6eBZ1dsPy0rAs8w//yyr5gpX6pd
iufUsW8M6EBTnE6AjBlvpBMXcnnC1MyfpJt9Qyup2g4zt2oseeiIt67WCKx4TAdWH2/g1pg+BcVy
d9ukucf+bAJRZtXnFFTs6oh/sB44Fbysv9myOpIlVeyK1DBJWinpNySEJC57XOPzAVHMU233vEAu
IbGOw7cWNctNUuF5fCmHsZplm54M4UstzKZPelzTPYI2A/+F4kpX6ePLs1J0+SOWqGdyuu9CPZnY
MBokJQOXetltyKRiY+x4BcKmSy+VS5iHozFZsAZstVZH28sWsl/1VVFvsZdF3NtGXo2Sq8rMlvrc
drd07eJ9VpVseFNXX7FK1hfSiolTGAsTijS0aWXGKughohFFPnqbsiQXI8FLiCh2nEYy521MBdUc
LUTSHlylYcntYACX6TyJYMGNKTWUfC7r8j5sim6rOFk9aX46fzRJZ7nQi5RQhoq8pKKOdpxzJOky
hnGP8BTbST4VVMSmDGIyAQPTnHX4JfXWnjkmMUlfSoNqKA80n91ro4cYMpKSvrZGfBHpYo8FzibX
aUydXM/NlWnE1ta1lHGEz/fYaxkwPFe04JwxTYhxbrfpqM8Xc8PrVBUs9ssxr3QJtooJWoIo2bZb
m4zRva/l9ZW0M0ysRSLXY5l1UCdyfd325AipLLKoUUhljvOUnXfiig2i+Z7MFGzdYFdMogtcuCEG
FARdh86v7zM/x24InXA1AMi4HEwCY1LPBFdkNIC7E8hucNj4xzr+McsAkBLPBREnhtFvGzJps5KI
qCwaQUY18T6vvTAYVRjjeHae0G5ukmh66sGHodJG1RprersuvSFlBNTRBxQkMydpIYGM6iBirVLo
nOGgWwlpkn4DSARQob4ZIiugeL7W8E2h6aNMhB8TYfbdAL55Qvd+iZPgQtIw5yEcPxn6eIQb58HA
ZVTg+9r3yuHhc0fifEk6Epu01x4Y8RBxWBs4JWfrJkoTgZpFP8HeSIMiYsnUk74NANloe6Kl9aBV
OW/tcvKZ0ypZ6TPLkuzls6FKfxuDaaHhykpTFvH0yeysernD83rM2IGswgmfx0QjjtDwss9F3VuE
dsGshRTLdWmB9dHiyNO6eYpm32J5Y8wxO263S0uKYMLK5u2YUjHpnOFSRPKChWtZx6F7nkydfS5i
cUCK0m20ofR3aG/4W8uJHpMPy4HJa+pVFDKFbtyYymtWWSFxfuQ8t+XyiHJg3lnj+OgPPdGOxXAD
PkbbhD4+fK0YWDTZCpbvOXj6jUH3Ydc6BsdCdusVuXKPvRE/pnZ5rxMrSTKuftPOilR7nbC2MW7V
0TBi5C86cQyVG10TWUbolvGNA2S91Qe7uWh10XzqtfRrwp4Wde6uFpN/BFxjrlD/pJcJhJMNmBsP
sHRHdb0spzPW88u0Z8cbvI7Madu7M2X6WJFaToGhrmfiZ6gCichuqGs0wz8B8Xc4N3r4SMQIZ1jl
OMPp0wsAQp3I+K2yca4I0Yyv9caovr7wDgrKZBKI3UNm8YRVGU9Dry0xmiCpL/Ns0W1brve5NIvm
ItLkeJfXZCdBaqXwXJpXMsLUkabxevJY18KWOietY3WlaaYgGctfFumcim8YCCmy2w4vB5wEDjpD
tSsAE9VlU+6zyNiFOpoaw/8v6s5kOW5kS9Ov0i+AawAc47IDMXIWSVGUNjBSEjEP7nCMT98f4pZV
S1SaaNesNrXITKUxkxGB8OGc//xD/lYb6VvCba8U91BXuzeJYI2cb3Q90YSt5Y5c12rCMrmJHQYA
CTUBzTUifix/dgZvGNkwd2aN/3K1WbuWZQIg8j232PaJem4qrp5h7MfbpGVLwa3ly651fWCsHV/M
IJOb0CwnDM50cS/7IYsqk3i6xByiiRSAfUlHT2AXaxL+bX2VDYIyypmDbUKYw1XS8jKlzRqeUrGQ
I+mnP1Q2kYDFaBoEBG5CuGaJ9warKSQI8aUcO36Lqt7MxTRfq3ggB4Fb77z66Td32s+zC5rVN0AI
PlXp3QdTdvBg0dRwVI9dzM2Vt8bPFahynUUe+yQcrl3igDdzsd6BCeuzJ0Ix6qihOBSS9pMKsYJ0
dNhGEGwxcDDTmznjGAOMLHaVb5M86OoLo18yTtyWwNRl2TmSlycbgXoVX1O0Z/ZtqQboGo6P2RjD
3S0iv3DPaueKw22ZiDHn0/nuJSS+YyXFH4zMzo4v7+EFMEb4IshhTHPlLf4KZg754A9JPhcHo6bp
ZHiF1ZXWzxIvGCaqFd5LhlXwKfiW9VIS8GcTvjkW7ZMrv5D09WgGJAGMWIzt1zKj901jR+jTYzEk
d6Y9LQSd+8YRBVq/JcaijtpxuPMqA5uPQFMA6+TzGcg890hMgn9kukrfMEgfGLB7n6xiYUhkaOvK
Jozywmun6moy8KV2h7Uo9emBtOAMUT5OvdiOUXutU59zE9bjv37fBz9yHDMv606GkZOsVWCKw6JH
z7t1kyA+FZY1/ecQORMBiF22DxSIl534/ZHmZZZWCTvlEHe0HIE/xhddDyLh2RRdyLKesvPBC44f
IeVbuySKxg/wnD9Bo9W+38coSKzzp3dojggC6WZ20R9yn7jKzl7SY6eok1JPwnsycgUFazAjIlzF
B3DV6mz0Hq+ifV8DvgQHBljS75+enW31WRH2h0BOmOpxqG9xlLHus9Grtg7xFt961Et4ui8I49z8
rhmq4SFs7QPOGdbz3x/DCrf+sbhNmBuCCC6W9zscuLd7s02bsTg46yGwAgaOZkvDCtA75TqYgnK6
/v0l14/37iXBR/G9ZjxhWv8WL//CrRG1Nmk3SeHE1CfYlXIOdjLhT1bZPE6dwj0uNUYsClWJfHmo
jn9/9X8AC5kT8Abgr55HWb8//IqHKjAw0gcZUIwVADoR9iLdByv8Hx4rKDOjdjcA9/xjTMVtaqNk
X8kYVuZE/YIMReXTN2Pubrqw/DrrMvvgFa1/+mBwoFm4zLRB99dV98tjlTXcsAnKwyHJ8u4SLVu4
z7SjThwJQDlj8JhyfZLdC3q2JtxUUzkfhgnjuinBAK4csh/Lf0gJWhHTdY7IuH0VyvyxuKBhqiw0
W/ZYkX9rWnf++e/it8ip8cpJfhBbdab9/L6yyAvz4ZXhSAD9wn8HBPc2jrZxXXSHIPNvFFFa29pw
6x3W2Bnjei5ga/BenDL/3JpYN5r+Z5Ux6h6y8RpnrR86GAl3drPlA9Lbe94hj8F1kRW7LHW2Nh5l
v38zuM22c4Klz6EKB3CakuLZkxw1vYnytbftU9/IK9zpuy9Cr07PDV+RkeLVlBnNs6UmgCnqOIRF
tr3JmnqmyBA3I7mK2Pnl373u6Gq0wItDCaJ9OMPiE/rytz7BUKRK+hzXsWSX+iA1/pIgP62ZLa1T
xwKHqo1tlnm0RoWg2l17axP7kjKuETzERsWjAcpax3bniy1fTHX6+26015P+969snSTj8iY8GOXe
+3luaA0TfEazPeCjPiFClEnk6wQp21iBi/kkaWKdmgEdkD6ih8E8f0yg1cgpJdkXwZqDFHPTLbkq
LlqzJ5POZEo0rHUzQcPLvquS5RpIAm5TABIK/f6j8+x9OhLfr4+gC8oPuUQMpc13txlYBue8otik
KO02OYbRuDKJcVP76rm3UbGkXnUFHUWRgYWzsVFmUEHwf/j7o/xz5grFKmR52UzuMVl+t8qQGop2
gIhOzAT+uiMPxmYlZPXgffBC9p8nzapqCEI0joiLyKf8fT0zBYmlTbLuIa5BBXPqHmsulr30df1W
Lh0Ihw8qla3ospz6ZkOEN2+mD+cIHSiJsW36ChXvNRuZN/kV/V5BC8jzLXbN2jPWNO/g21dKMJsX
BI8f8RH+UJ+1Po53C48BXoBDNXIQaITv5pCkMmNIuaTtIe0qa2uXTkbS6dTibUrVibWB3Imx/7H2
S3MB/NTL9G2ugg9OrHc8xnXlQItgngjN3fnzmijtvvNby2oPptP8JF1KRjwGXqxUBF/MH72a/Y78
dX45pKmhifEiyt/3gRuiseATe3bL/BI6UtE283YdSy6dTeaHlbgAuBTUKNy5IvDWuq2W5rmZmuIa
t3dQATN5bQNrvib0ejkONN6bwinozCs6e5KEhutcjB/ITP68R/2V5Mmg2Pc40d8TCZQ7+VVHMM6B
KGmEYF0LvQkrQZwy6J+Ass0t4dsfDC3/oeDn1VbdAd6CHNvvd1JJ6TA20m4OcQ6wKRvh0IhP+Hs0
zoQzhgZPTbBZtIr+1AFPXZKJ+emMGYK3GztccM1tVgMhxAyKtppUJoBQYV0ArVh7STXb4vdOdUnb
LVz9TDQAaPqKidSYryPJD4O99tfTLHPBa9fxi2P32aeCjiqqGpEecdPF2hv9VIS073Mp7QUvSoZ6
reUFm4Whwz7112Ke7OmDu04o0TsRKQFOcp5tNKVjIm4Lv6+dsJdpXm4ymVDE34QxTVHbduN+WViG
fz+f/vHY8AQKPx6ugyzmXanZBhBTlcOxkcw6vUNBDChA+7K3XYfsC3BM7kCa3Cy0X4HNQbNdvuh6
lMF2JPBiV3tqvPBnMKLzWV/ZI6PROUM24HStu9Xa/noebTqthWks09qLinH3TZrzJfz9k/xZwAac
rxSvME5MG4+v388/lTiMYPGFO+DYN+MljWi+8tct4aTDJenXVRQGS/XVweRqK/yh+ODOfJ8dwzYO
bPi0As4LXCMCyH5//RD32nCc6uZglkzRGltNd1YB3h+UIOFChs4TsUnE4Ii0OPWYjuBlwQ05GeDY
2font6jltjf9apssLFPuLiZKPgMgnMC/mVZ/QdbuM0HwWXSePwBtWAY4HwnPuxRJ27PbrtMAF5A9
B5Q8mNWK8U0rnIuv3iclR+fJLN1ta4ZXarCzjestLnFInCpVEr7xF0OP0jB/Ol1eHuoAgk3hM278
+5f0D5UFVFc02mu0ELeyt95iv9TDA7O6OieT5CAZUpwHBJWzjoQJoIjajG246JKUgGI5TWTZbMh3
BffJnhgeEJu9jmEWs4c4pfDg57b+VK7nm/QecTbNmIu3X2sm+tsEG2fUANV8+Pu7//Pcg6VKRcG+
N2lT37eIvTawaAR4ORiBc7Bi5ovrUVHMwJFnNKqMqw9OvT+KZxSPnAOCpgyaAxf7u1WFmUlM6Aqd
INB2u5lbvWqCuY7Ps5ju/PX2DIUGzheYHJBG+nUMOOg1mAux805JVexcyCyr6+xHh8f7i/L85uDr
Cvbbyhpaf/7Ll+nNQZ4bmEEeslTiYq14D4R2MAXgeyrXp/L3x/8PL7ducZhKwqKZ+OPaKVoX45mm
OIzuumoJu5wNCiqnY+3QO35UQQbvq2CfM44TBUYnRDY4ye/WaqoGpo0qSw9pmrpXIda9nIXK305O
uGfUhDvjWFCRZDWGn/isucfMHeOjZRk1gaWO/2V0qvAuRyOKPeUt/nvTTnra2zgjmU0je3QLutJd
lkFLIAAJG8hL6gwrcRKP4qFiurnoet9l/PJsUN46u/6UAYef8r629k3eya3R2GhXCDg70sM4aWSQ
ab11EhcatEiH0xSPexBJuVOJdKC9J+ICLofBRKW47WDER7Rt4oCZEs/QUhnuN0aOGXGR3Nb0yfsF
O6k17SDY9ik/SG3j1VrZdtYo+08zhdq+KuN866d0avFqAVVQ0YEIKmD1jDn1ti4qcQFB1YUHVoT5
1qtkva9bJ7voczWMMC3qApQsFpggygBDNt6D0cZYMxoPrXZukzSzSb7pu8sAnTnwz2J9w2hBHDRc
/g82mnhfqOOYQRGGVxp9ITS81d7617UcJlKFRsktD4MiWPOjmF6XsEbqzmSyTS2V25V520pZI50Z
HdxBZ+y72vULbApnGyjtMb9A/YEnm0+gRJl+L+2cJCeoh0joRg9IaXB2s4HBD7JKBuG1qvcMEQij
XZ92IBbjcW5G5ypcf33e6Fud2o+uD9tknDyYJG6Pl76qcMPJu+ADwOl98wDtjw3FDqaO4aAx3y11
Tk7LFbII9qlaDiqdN0BEH+ze94fn+SV8GIZraiwS5XcPmC7MBQhIAggDebttSFyIBoVot2gXyCAa
5vtsGB91Re+LAl6UsxNVGwj7emy8O6ESIyCKIiW+TDa+3DH8UlG7mJKxW0EOrGCkZwi3OzXkz0WO
LroPYC3rfW3vI7yiQEZpDrIqQFx+X1WzrEp0NY2/R/NtMJfPO75tQVpUvr5g7IanliC1A6fdI7BD
cSgdb/j891PzzID7tac6vwcgcvwjA0i/K0H815XNtlG+rQxvT2IgCtNZdsfKEYpG3OyWjRqyEMmN
2b3g1Brf8CCdm2aCdVprO3gwCn/ZpoOPpcro5Psek6pns7N5lLKjukvbfYV10/1IRgCWdT4fR6f+
lZSOt0aUySfCTBK8d2syM8ZQ32F22mIEZZQfFF/u2tz+9hkpYB3P84TAkQoDgXfF34x6xJFcofue
XXU1CqQxZptYUTg0w8X5Q4Q4Gd2ZY+JfdSk/YPAYR+FiLltSi/JooQTbCrCISKRxcgxJsSMDLsf/
FD4XNmb2G3lz3dEY8JPpAwwDs0R8IrNC7FqVDRfLQhxnKT0FA2AhC3byB6bamIO5SFJWeeUOm+cF
hk+zzthrY1+1CNDV6gyIcd++ULK7mfg/9603QLFIk/vZIPrAi8fybl7ap0XlgkOov3DHnjdLlucm
kelwTSqGfjaa+sffl8z75NsAtakFCA+n0gcKRsz3+5JpwzDOFvqmfVIosJPeUBE5JFdZMj6g+Y+x
+3LQa2skfZk3x5EN4hXlbhscCzzANkYGelUwX0a2wzbL6yG9xCfQfJFz7jNeDpdLfot3NRB/wkTY
qY8ASf2Gh+4dCnP4vuRteEmXZ0amhrLnItPdSxsj6UrZKjK85qkndW8/TMZjBSC9LRb1UWXzXmrK
E7DoudmxiAbZwGfF9i+lTU7aMqLYkmjzgcubxFnxzZ5IVeXSYgl0ODKTaxLogx4x2BdGhUngIlPM
unWAqWjWbvM0XgONmupzlqz0joxtV2CHhzu8mxt7e2xZmF5ibBXkuK2pWCPYJ+SRlQV51JuBtZtx
oJjmlKQM23kYB/HsGBaxkqH/EKfZD3odbNWZT11W2vCPCaSN66TOgjtNPblLSxK1wqGkHa/Tdlth
/HzwwAYODiO/PYNJFvrASxJoIHZ/Xzx/VGlrL2nhXRyuZ98fReE8ZSkzStYO3kFvqA2Cu3WvKFJc
I0RNwwcwrv/HzUVSqStgqIHk2vigviuQqx6syuw1Jyx0qi1a8PAZYll62S61FRHbNe1J8slvUk+n
lzZxuBumy5LRFQ99GiQVfDDGEdPEL0MYX42Jdx0vbre3YPlMHkLRvNnKmX095FBe+W+jlppwa4Ss
S5Vzfdgju5my/a3p5PLJbiDzWXIZflpN0x17wR5oaQqv8s4kRiwRyT6FEv95HEp1z8A/3lp2Onxq
iauKHBueRuFYQFzeIneJQWsDmSs8MZH9pNHHHMNi5uRYCHmuvNq/UqgrrkeTY7lri2LfrW+HiWm5
FuLDZ3dmbXUD14xBeF0Vubaf7xuSpl8kMTQ3ttmYpBzV5jcRE8EJiZlxdpo2xj5UFbAz4sC95EFu
Ut/ydilYEBUoG2L5oCr4h9XCIgGLWfno6y35+0nTeV5ZVAms2EBBysldnp/C5zZaGqfZ+i4b4j9d
nUwVYaRTYtGou++7dK+oYQYvjbsvq4oCpGU3QJsjpyPPgmO6uPKD3WD9WVjStp19yWh4GeaF70qQ
AHqbtJPE2cNjErtshhlqWeR8ZhWDqHox08spdLJd0nlYefTqqDqOCw+j011DfEPkj4SXOaMfRxOd
M+6rXFTmwFeNalhBSrD0oZV8lMxr1H3VcVy79Xq5u7Hi5snKO7duXub1GElqN15TePntVvkCf1Hu
cg9WaN5khAqDTT7iKNadFi+4Loe02DNleJOY5m2X0X0jpxWTFN67YeppPwfxcgmuZe+sfgJYadQj
HsOcVAYn//lqbQtKLRUk6TOMMrELKwj3hOoKOCLsppCk1kPKErxs0tK8HLWjiZBdb9OqgAzeUpeQ
pMFVW/XLBi0k/sQ254eq+vm1XjjfioF1vkiWeKFUd4RZzN1TcOx2RSufsqzAeLbmziwVb6j1fXxp
au760CCJcpkxK/z3T0vWO7ZfJC37Bt18AzMENSfG9xPUgs283rp5ancnJ0Omqah5YIeN1AN6WniI
U3dKtRlcW5IBfo8B/ynUSXAkurO/rlP+EzOhgqjjEJPEBvI3nG99UBil3GQWLKJaxw33Ah/TcK38
ZjCWhbQ2q9v1ZCBhRhKHJ7siIzksiZcvF++zN/vfK/i6UVE69ondOVyhqRE7TjBWsTsHh0GWlCwZ
ZfR5u4cejw+mKa9gcAu0IZVOSgBFlIZC07TzdZx31/+0ovN/k3m7hWOV5f3dFuv/qr5++Z6+lP/n
Tr38+Nmlvyo5//8v+C8pp/8vzBFs4H6BVSRuLxRX/yXltP6FDgjFrWtxg9Io/beS0w7/xX2KLhrQ
He0n453/VnLa3r+Y5AarPRtEGIbn9n+i5KSxeFdJQ4GAX45iFCFY4AJ+/H4gk1rXzhmX0kllWZIf
+6Urbv3O7fVWxL2eN9PUl/mxIv2j3/itSvUmC0hE3jZ+ap/AxfIdQnx1WtLa9a4tE4XMZpgy/g6n
JPuKIQSO1UmAgmZnVCq5WBoPoYurbHMHnieSm8Z1qwwjybn96pVmWm8bK8Poids8oY/GPTvYoe/0
n7qRI9XSPqY4QTvszHm0obkFzmu7zAUOIbQgzGsJQyy3tZ0ERAGO4fgptPo8O04NGEVkT+ZsH+WE
3F5BC4N5PCC0uBO2xJ/XaVukH7NrJdc1KulP1HlE0BRy8J2NlY+tS76cxMVdIC9/SzOzWaBLBOx0
xzGc+zqNHfRocZU8S/RbcEqCeP4uPEPftTmOLjAu6z4K8havaaGc4SXNu+nkBm4FrtV62Vd4H91R
xQ4X99iYJnMCTxHHYnsnyyLhF/8yx9tAXrW9jUCs8Kg9e35mfBQQt7zYsWaC3GRHEgJoF8SiClCn
Oa/cXdv54tqurPF6nBbjUlQllMTFyZYbkVW99WBzR2Fs7Mwy2WPFKsIvg67laZaY8+/KEIOPaKkT
Wx7myTIIOS8TLBJOsutc8zZYn0uBiYXAfydHBxE8dshD1nqE6W6MPPOZ2SdaynlYH1Z66nVKOAxx
pTt+jXMpQoc8xSKo5lsLEVESVXheWbeJHzB5JpyWuMgxl1srrvE8783pXmfmG8nb864uoFGNnHOk
BoAOgyHZGyUtG61Ohz3VHC83XM3phqAZF+mDo/dZYc2wByGoY/bojXBww95/AFg9ja1hoWw0Ysyx
S1JlnDx+oLRKbkQ5fLFJ2kC4wBSU9QGhz/1hVdWJ6HWSVZL6YBDwtM527GjlMO8EAN51Yov6wmPZ
3FeiNU7eNBSEkJC9ghlKcEBstEqh24veg2yQGE6EaUexWeLgmgYFA1MH0816qLAgSslSsE0n/eEM
XXkInLr6kmm3vhlE4R77YRVRhQ1+imHab1ziW26LoPV3ouybe185zQ1zVObzhbvsFiZsK6HMjD8n
5fRQaDzoZ10kp7nHJ0L6vrpovRSKQYhLhz8JY+M0OartXDxIUoYomBLEuIkd7724xIS6HosNfCpr
M8RACZburyXzYcKCU5CWHNebxzJt74ZWwWwxF/L/0JdQPaf6Nk7Ljipl1tQqMLrcilhg1+YaU8Sz
DPd0Gvjn+cZDXbc/+z67K+BXkFOFPKXUWkd13vm3WrPLkoCEXfJ1yDKlTHoGzW05jARWX6z/GWNJ
t4p/lBbm52Qr3nHTmj9VnrHSmzXg1O8BNT2NaA6velVMb36tL3sGqJEcDb75lgBIoyoWA2JwsllK
wuqT2EXJLYhrEBnNB6Z73VWeGmSzdlUZ0ehP0ej7cHFnd3k2eN97fKoW+jJHHoTIx+uAmEszCozx
AX7xg6fj/KJ0Kx9NRjnQHSp/FzgTmaNiqj+pLut2ll8mG0bByw28pd7B8n1yj+R7EfkJUNtvvRxX
xshx6oRIU2kMeHbZ81OW62Yzi3i8CUNCm7zCL3Zh6rrftVRvrRRia/YEw0xeLPapNYY7mvoswm+/
unNxi0dx19kXE8zQ16at671J78qHJy3hztFmAjkXK25WAiehhsqzc2cZfBmJsPlB0BNU5A+K9/MQ
71ecBx4HM0racmbAa9vwDqdsGiVTsqjSU2B3hPNi7ld5W501822HxuTz2GiHM65BWTAK3HQ2Na6j
j7U0ZtCT0vrRJ5i6XoGyWtau0C4cBhuPZMRRfPuQ9y2uqdEcMTVP/ZgGmgFvhcc9viQnt6+C8XZC
v491ebGMT50nivsZFZIogXe9wb1ssyW4Xpa+uEuDlCNKtnEH1V4IYgFs3b3Ci14Ls9T7UhAWBEO2
mKH0+eiVN3ifBug+fGQKYVx0p3H05wPpy/XlkhjTvkyRnyximI5M3sMLrEvGTWBT2xHRDVoexvoJ
r9p26+H7jgQeIJ1SFhtkTR3CENrNIXVzb+mgAYmHyhh5Iw7Ux8AjAAw6kUU7eoDEivHthPTuqEwy
wq58h/wtQgqTDRM34ycMr/mi62znVCaNXCLlmMZ9UXikczXava3mTtx1Ik0eUHzvFhxi9lmGV7hV
L6tENrea2yqsXLLCjOAWiqz7pTZasR1EQFBwKRmO67rDeoiBaWviaiiwX0ndoI46FKL5fDmE+qXR
1qFPUSjYYPI3bf46DHTRBomIjUV/4wJ0EqCYd/epWaAba3hw1BtR3ZvwqkDWSfMz++yFch0ON4Ed
m94fLrRR39tjn92kxFRD/hbe3ZClRx9w9sS1UoBBeeWT8rFZ3BBmIE+L39N7zG037NoEUQxSgvo5
nxEnmXb7Oo0pycDKQa+0IMG1WJu30pfWQ5a4332oCvdNys6DxdLfdNrtkr0RpB3ByDRsyynoLYd0
nCEJ6x/l7LTP4MFgZEHhh5gUO4N70y7tYHMou+70JVwmC3M2EtJeZng6X3VMl/VAjJ9d8/58OUce
Y42vlkjSm6DV4oYoe+91zEmQBi1impAQ0PFKq9dBc/eGMaot7R5IlCIdPPURbFa59yCEob8L2Beb
wg6rB5vs4XTnM6A9uKTHRKXs3WtSetR13/ThwKy2Tr65VZDcm452rsuc84bgNO75fky2nkOYjOcZ
waME6SDlXuC1hMoKR89kSqzjaMryIsPqE/kcqhpz05VGcT/Wchwjxlwks5mqyEwaoJUbR8Lz2O04
7FoMi4h72yacWDAn1dLLiLlpclPpJORx2jnXPvlzOybI8n5u8urLiif/7BuvP1J6aYz/BCZcopWk
jaGXqdgIfX1sZwKuLqYAsd1uZGb/5LloNoq5EDeNUw33SR6Gz1ieWY9Z5YCXqDi5X4yCkkeYqn7g
bRSP5E/y7cqMq2lxSvPCC8bhMpWOi0A86PyrtCiHOlKhdHeYYnQ7W9lfZ5RSFwAvqCfMuci/ljrz
n+d4fBva3jAjyxqGo2XWe3vOuLpGN3cPRTFP3+BmqZRYHWhROHUH1Qva1uHBakvnOZ58XGdtQhLb
TdLZQbYhUBlyRFCJb0uBjphLyfhKNFJ+n1lx+NJ2cnq0nBW6AnQvgPDtjrqktjC2z82BQEqzJFPT
aop+n4nF+957DrHIRq/Br8DLp53bFz33agNoHDmTnr+ZgTJuYNihBazjXIQbPAeLS8PJ5bXT++PW
JBXnh1kpdAem7oIvdOxKQ9yzDXFJUmlCp2GbybPdjzPhIO2UrZmtismo5rL4Cn5UPbhjUJzGGOmZ
Q6RahA7HAQRz4hpjipBKbDMOYXfBoYfRiznj17RtYlnNpF6O9jftt3NxnJwxfZ3zhqa5isvhus0X
vZF2jIimLPxuuQyosU2rLRKiZTle9rBO/B9JCtc/zrz+Is1tVRyYSy1PyMbsdmdpAkncZDI+1xhY
3WmvDl6bydIPKPoAGdclSfNU4B2lwoRNiKMk4GMgWSMRCZZrxmKLNzhaZfqfqSJ8XesEt0tg6+QO
6cDyqM3MuCXoksPeN1Moc9NSGm+6d2rkZBXx2qhvTfdmCTNAPIaaw7VE6PZ1SYUgIBDNOUYHtvxJ
LEtxsiT+YFHDoPm5nkCusST0E/xWHOfNzlZ7RcA6uat0htBeZv60i0kkIZk7L+STBdtxxDRzqnYQ
Sci/4xIdd2ERzCnVQTcx60sXfdmpPLwFrAzveT71zagtqk6vU18rOVq7IBY1cRcULy05QZL4bd1o
nMkC3Sss2TJ3ZyXjdFKOMR5ExQmwzV3gk4jwXdZj3k7NLaLv7LbP7OQoDdEFm9FJxFHVBAJEGJsO
DHbzQttRmjngQrXS4ROiMXLA3Mb/bOFJ/kofI5oNHrWOs5H1TCR6FWfqRs3TDNCm0WDNany2TfNh
MLR8rAasf3c93J9bnB3M5g5r4PQ4LLb7gvTX50dzqW+yxJ5O0iWZEep399xL0b1NiRlUW5Jbg4fG
RLW1OHnyNI8lN1Ex+OmJWJMUFq0fpJcJ4rRiTyFsXCcNvOZ93xr1KQVhYmQgyKUfPPtiroVWFwU+
FDme9iRBkPEZjDckcKlbP0DWUJLGhmdBNW1QAnQn3xuCr9jqTA+KcmvaWsiPT7RKXrK3JlGe4OBX
aq/lXG2XntWJ9nFu/FtpMX/ZIiMwoyUY5oMpR/Ey4Md8wpGguTHxLNuMoT8jM1LOSOSU01KBpYCT
ySaUxnRnKALMstIdv/si0T+StjSgbOVBpRAeDmvFyjnxQjs7IF6qNebarkckbG3YABDu6FMW5fNT
MualteERhzjbhW1OL43THcksQ0H5K9nYc5QMi9iSCitP+dLrR8ctcwtPCDIPYTsJIspwgJ43UEDk
dWA404Eh3qof76fntsGZ9rYyKo81rNZzs83MWeDGynkkNSOrO5JMqAIGOuHsMElnpr7wmwXfC6oi
iDB2s4O9PbKYy3DZtFIn3xe1iMsuILp4h8xkQWRYJQXWdEweL+FdSXMjRgKYLsZyMJITpjeKnF6n
mb+1IWWb2efV50mG8qdbjMHJNML6i+sW6VNYD/28GWxzPIymYZ0aC0DVI+f5NNdpEC2oLt8Ka5zp
iKFNIn6tajJQZRcMGMzFHVRD1zhwJcktMwb6OJNmrLJ92vwEMAWCmE/MLVz5VdfXuo9LaMH8s2ki
k9C78OE17OeSQRKWIMvDMM3mTQk6s7WNotmEcTeRRTflzX3nhfH3ZsEONXOVfCjNaebO7rp+3zfa
oF/UIrtfAKUYlKflFyc0hhuCfqfHpvVr+GALMiietXmb+TDswrqNr7vSdC8GNvzjrCn9lVHOx8Sf
cJjKMGxsAr++dW3lPrLsqYRz58IC1T5NVqyfEz04l5VnLZf+YsEgdUV/gp2PD4MW9cEu5Kbz3Qdq
cvUJ2ra8xGgB/k8vmmPhZd5Xk2/uNRYEidIDufshcxQR0lZx1fZ1dtf5cwRM5WzgMVfJZrTBGbrY
Tt4CJ/0cQ/o7Om67q1QpYNmFOKHSZ+4Iz1VXeBF8DQf8SWTRjYcwDdWOkRGqfQ++EbD5l5ADC3i5
HU+k1H7H6j5e0QrM1lTebuC8Uw/Y/YWdxtmRnJ7yMg5ywsnqNIsSayq/wQaurxeHEN1Q0CJwO3RH
CCz6yAyX9CZNmBafp9v7mSO28BDDhsvz723cH6wIkxh52PAQTSwHwzzv3bTe4PitRw6Skz1kNmXn
WqURBJzctGPtjJHLEpojmAjWpiWua1/MvX/CWC7+UPH2x6AbnrkHvWvFVvmHeG92rfoYQanlT6dZ
eYd86PQr0PiIN9DghN1tENSWd1eYyOV3GKGM98Pc0P/hOKEZzw7s79QZnjDldMHJZmygsZ0Owc9E
6lbyxXNhBG+dznC/SFS4dwzVefKeKJ8DSXSUOANyBD1br3491XVk0zV+Af4gyEtr8WAPo/FdpTGF
dx8kn31T9GuYZpI960ysYrjBuSYNGFAAw4UvgUpYKFk6fSKpD5NokNhwNy8mZuwpbtpibgSFhEhu
R2S3kYaudO/71XwJt1hc92XCdVi75V5M5bMtGvOTtpMLf7SCyF5BS3+FL9szkokyhBPSgO+d7oBc
3fv2DHsmZwgUspf51p6BUduR/g+s4oK7yS3U/ZIs1heIhFiaSoxogL/Wgn3Sbo+/WBJkRF6V02d8
elin5bm6t86Vfniu+jHipwPAmXr+7taKs5MJ2G1+7hMs3YhjjDRgo9FK2lDJ1nYCNMl7gcJApHER
Bicjtj8zIOlP7aQSWPEgocUyuxsjD5uVr0DPAheB9iVYO5lq7WkQ2fOva59DXotOd8HC/Zw3M94d
1khHtPZGwdolpaTxbFVLZrAtFRjliohGnCbGa3lusqa13yL3ynsN1x7MXrux2QDelrhUzBFYDu1a
G6b28uC5XfHVtcv2hRA0jMpr/IgmonAkD8ltSvdGL/SXh5FMQdiCoWyfVdx69Q8j9UjYTt0+edMC
2dLd3/er/YeWBrgFx0LkgTbzCQuj+t+HAn3t5QOeFf0po9a6bo0pwbwmk9tOieJUV2ZwkoH6f+yd
127kSNqmr4gNegMs9oBMq7SSMmXqhFCVqug9g2Tw6vehpmena3b+2X8OF1ig0UAZlSSKEfHFa4sx
CEUVrqe2urh5FR7jqcKzqtgjDtg+akDTZiVagQCUNR312fjEracqVyY46RuUdT3Qt2w0z+ZIzEOt
U4kXyWTElTtdEBpeRrzSRAmM2nDUMNT1EApT+APdp7EhWNLe23GTPZK0NgHp2xR52tozJQ5IGcMr
EXWYs8MIQYYRbjQ1emaNG2dcwicuZtizFVMd2PFUiqLA6wRHduPauzhpLDI3bAZUzg51N9ROfrXt
VL3i2UDLV5lWdEN6Vm4jYnfWtJ4pkU9n4gj2RibWmc2lubptRyALk0y/ssCWKWoiInJYW1OePcyN
WjSB0Eh04AJel5+O6JBtZK5gkLT6q+4N1EBGY7iqjHRYtEU5CcYTvmuq0MP3GFbhfbIo1QloaidH
vM/iLenJSsapazpwFmm/SR0Z7UrXYsmZ9mjz/bWYGmSRDp9F6FErm9NvuuUmXNLI0HlyEXoiMvQd
MXg7W23Dx3Dw4u8FuT/oLqNkHYal8jSBjIAUJPSZJdbwkKcoI3Q10c5AizNvJUNnnnrTAZGs8s0j
C27NP9fDD7vlU5akrg7OWzd3VYasAGym/kDJKdVh9RBvbCE40mZr2EicZu+DriU38tz1lyZF/Ij/
Vo2DamjYmqYxfZy7fimNNI2DxS4VmI7Tr+kqrXGDEGDixFp6L9UOQ0wW0yDuYy81HxJDNXMuMXZ4
xCKlbm0nVlnXXmoc66J69ryReJscgML+OokQd5mPttJGp3Ge8gJ4RxWhn2KZda9lFhIWWC8kkvbF
J2n9JOYg/OKZ1IVyakF1ZzjthYkKuxxWijb0lIClUv+ufbFWHvyV/sVkdUhdNhDQzkv+xXSVVBpS
95uMS4QDu3e5Yner3yPQvWRnIFuKzhiTNXW9nGOfphinltu37jYMArBt6UJo+3U78X9uBoZ9IrWu
3bc5yXfjaGl7VFU9c3VjcrkWFMMLn2yqLN2lrt3BfwNgWKs20aqDIQzmieYL050WeJdCxLfGrZH2
9tGNoLA3et5YIHoKM+QkD004o+AfPGdTa5VYvmpiXmBKD1MMRdQplbWrM9l9/PuNCoL0NxUgjmkG
CzYpk0RchGsLt/kX0ZYKMp8BiTp7LyI8wrs0WXush8evT/Ifcdz/JYH9W/PTrSr4738s//KPCn9f
AgrwP3//Zfe3X0c/qyUo+LdfrGlW7+Wj+NnKp5+dyPnQvxVJLn/zv/uHf0YP32RN9PDHZ5GUq4T0
s+RH/88UNdJnlCn/dfXTKZmr9qP41x/2v0OKTRzOuH3Rfjn8cP6RULyoq1l6eBN1hCT/4LXNP6gP
x+6nqohkKCrgYPmz9knX/iAP3UYsjFSHj6UT7u8P4Po3RoBn97cH8uevf4v/XWjrvxIHFmmqKENx
b0BpW9xMf381Jq2bSZcqhl05mBVDQVlvR6sptm2qnQ0kN/skHFgvGhfjSPzUQzs8RRZI1V8e2b/4
MrwvM98/fx1w+NhrMUSbQGe/fx2GFymVVoXDjhWR73pH25hGRjxyYAvkVwcY0Ma+hkR1iWRJywMg
9vUoPKXMIH7TGjfREKmn72bOheRsqOXBSLFHJm5vcX3Ck2U7h5oKJoAuwu+s/lEKiVOFclaLoCC4
nvtIYaAkVncKy3VadNcpmy5jRqSFARqFSDjsAEeL6KKkdUGSc3YTiUH0uhF9kKBfrVTQb1qShqkm
D64F/OcTrYSLGJ5t6q3r6pshEbSGkhxL40or4hJtmsU+D7aDCXmLbcjCqJrVDQSiX032cSgLbWPF
USB1ctGrjd0YJDq+KtkMvpo+kxL8QGrkTjechxK+GHsClGDzPE3WOzm1ji+n7IwGW/hmNFjBZFbu
zrCSV7xm59adH+zJ+lnFyc5Vv1FbfAe5htNyTq3VPtmhtqW7cg3qsRp1vfF1hy+DcJVAimy9BBFW
+fCZNIaNDMLQ8DPYv3RvDvedpYPNzEbBjoj0YXLmAzPCSXGxXJG4kvujpjPf289FHu1b9amjHgzP
AcUf5vjcTNEVbRq4IWjVzfAyIovkmgCf3h4fmtS4F4Rg+Kpigok9N+X0ayjc/dSp7zOJGBL7lh+P
9Rs1exu6JQ56Y1go6oEQwmrdO96d18vPLHJKuSOgiy+YsYe1VIdzpIRvYT0fBtt4QqmNKtsRd81A
GaV9VkVx7tThIIYJWF1Eq2qCp4UNQHWsl0EWMndMPXfHPtBNhMwq1wSHV7OJ7TsUmeoT4PxZgX8T
p12sqo4qCZ1AlSLtf6g9lRKhShMosAbg5xpYmxsehTKFdjOLV6dt50uKw+l1mItDl5mP4TQMW1cu
uBHd53tTt+n0yg4EZK7sptz1cfZmi/BnplQnOV9q696ZBV7LRkmIR1UfOUkZOsd5X0fpq6mVI+Q4
5UFpfJ1D5zhMzYqMk81gGRdTPrZufcJxGnRtzDlryurIvW8nhBathA1YO4X5Okp7zlq0zj0wCR5S
K9u58XWItGNZMQx4+66kgZn4aZ/t4JosWa8kfL/WxCfPmf09nJN1OpawhIrWnhpPa1k5WY5gz1hL
uto7lyTX3N002RXKPxhr7ZG6+pVWmZtcnV8ACHcDva1tH48+BtBXensDU8m3vBrOSiXWZm9UwoTF
U0UQDva5EtpDrDsMvvM9GXRr1QjnHeTXCTLAU0x/BLYyZBTTxdG7LWFFQTm7zmEoxzWa8h/2YF61
ECzNjPSLpwpaqKD3Ei/a42/8VmbNPhHWZ5Vp+xTBKy4iQvD0qthkeUmDjjouXUkITR1MfcSsPXEk
UiIUqpeIvJt1qV1bew7UTuXJQ8pFqrJ36+TEuTWuoKCR17bDxpQQmIptXS2mzyJPUSeU9Q2Z0XZA
VxMkVkwRaVd/ryj0MKX9UoDd2vzGSk+zTY7Emg6LCmVhe3fm9hKW/buQRQ1XLmK0gO7LPMpnZ4SO
mjwy/vpDFYX+ULQ38LTLbDTvfW5903sdVCo8qlK8NzJ7zaRTbPua74NsCqlU63aA5nQS/UmaypPn
8ngKBJUATg8A70kgSE30G1LfENC26c5xx/0IVa7rxnZu619GVmxLkX64Eb5F+AyQ1lg/NZDOftnU
U6A17k/U+S+ThVAQeGYNq7qhlAFm2iRVFiFL5ndauXNn70MXBE41ncf716vb3Ea2oKfKXefGvwTK
rllh515qr41XYuHFBmMWogzUovtIM4eFgQIl7sd39M9XsgJvyuge1aE/z7o6+B3Xh21HrKJeRfs5
Mn8iuYSubomgBEk70ldDDEB4Yi7cIDKidI6KJXSTKIgVxXSDuMW+3k7h2gCIYOnte/QXa0iZa1sj
uJJxlJG+oJxM1SoJFEs+0WNsuzl/Ik2WkFIleuxysaUslaY/lyeZrVvbOQnP2Fez+TB2KIfaBzvu
g4zws12FNIEbxYNtvQsju4dFRztGuwU+8lHRBk3FJqRW4aaPw23d2qu6+hZ35bnwnNeh1fZT7q36
3DyMXb8bhxqotFxpaOhhHu29mkzIv9Lez5znJhxXpDXuZHJuqv5VgtaPY74j8ZJ8X+2NUe6ijwNq
fy/yHW+b9CHxkF24m5V4EZ23NzvsP9qMO0RsTtmD3b66XruyctBVApBLT9+NuaC4/jiBXaMQSoiq
ax+V2TjJiZ2rnmzfS1nyiuVcrSn+WctDNDjrylEv8fSrGOYzFjf0JmjdVeMXKlMoOZGuRK4dmN+I
P0t+JXr5GUfmxbD7s2G3uySLbkjo1qqII99qvTc3JchR/OpRmzaSrZM7Zme1Z6uZWITVG0vkpZHW
g5N/G1zS7YbyW4RHsMvSo1DFxUHtahCYstXD+IT/5ZW4WVQs1O8Rqi+Iv5V1cWms4lsRKflKKuZ3
z2nOg9B31SRP3DILStqMIPW0XWF0+AbEh5jFGzGg6xzVBhY9kPTye2HIQ6wQABj65aRjrKgsiovq
U0dyUJFrXZBC/iTPevFgsCnEeCPZlgWGpr7A7SXW/VRsR+M0p+5+1POL6iU/B3dAMxUlcAScnxUo
+oTIha7dOFNPpGPCPHrNMTKzx7a0ica0n0QBBoRCLSn69/hU5ke9u6fEAxiNsqm7FJ1Ct0M0XPnG
gI85cUCdZn1dUiE5plfcVaVwtvk07iAlPwnnOMQJJGTDA2z1o1noXEKnfO9BMEUdJUATNkrHfmmn
9rvXiHDdmyaFk0NMrJmClCrr52BaSAIKBh5HcPrAjjui3VSVwaaCpqgGIyDS9yFL8wASjBgQ07rW
sf0OofJDD8UrTQdbApEK3zHblzard9WYvqROuyalM7D1YRtNDDPzbYA0F2y8BGMHhlU8NTXxNGG3
lZq1dgbKTaPTMFpEhMfTEeSTGoYq8MZfeVwExCb0DSmIuGPDPrmkMLKJXNm5E0xP0xxvqo68r/LS
QIevFHz00IYx50eC9lw8CY6ileSmmo7b2btHjv4ajepTIlT2A3ebcBtNsi04+E4k5nXG0li34jip
xeOgXQuDF4hw0jn5pqi0GzbU3FUCcUD6faQm1B71Y1K3ERGe08PkdQTENfYvr3yJWZuyih4wsBCl
We1Cj4sEqoOkPyaajPzcvdlkd7hm/5GQSqiqnlhZoQrcwPwgFOc16yEUZfPSzBFp0Mpe6AcCaQgh
ZcsyGUmn0H5oCvtZK26DtY4qCQwuuqwh49mxCcwuinuEEC4oB/IAPZzPwuFExps2PzhkK51q1yYt
1Io9PI5ztYcBb5khW69/g3CsXpp+HvDSW4LktF7+KnuQCy9Fut5mxvA5jFW2JjNE3VpWyt1htkOE
HAKAxbUmeg4t9Ydd5vGjaxT2QW0iK0IkZxc7T6+zlwpH6TrXCu8JeJknqfTxt4JpeJfjAQb4RNu+
7slafCCBRxcB0hyqQw1SV6c82WsLOIU6Uf3Jp3R/YESZv0O4qbvCkj3BkKn2XNFtvdGcqL+4MRE6
apkWB1Vx2mfue8zHDGaTP7Rl99gUmXFz+YoDxWs4W9J43KtaVx+qwYTBViC/nDbijJuVaRVKzd1H
6EwgtwjdAP+qm1NZpdGaswbiGVp9r5AwetJLJ3zAZdU9eKiFiIRWuHpNrcdzB2U69djHg1KXp8rV
ySyPpJo+YwtzXtRWBTGvSngjYKZNZM/RxZzm6p0iCe8MdtTcueiwftwuKr67qS3elNywRqSbcXox
h966WV4aP3mGKh+70avP2gjYPpjpdGkrLz5I82VAzQqF1269uZ+eQki/u2KacvDLROrvFtrCzdTU
bGWgVo/t4AiSimfnKDkwv8VW4uyKSrhY1qbpe9rO5VXkY3+1CAq/5EJL90VCcj+y9MWZl8R+XLli
g2oWypS53reNGj3CMKMoCHUtqMy0gK2K6m2xXLDRtiUks0cIcbN8xBgCJfJqQK8FE9vTt9TK9XM9
CQMxiaMd0GOiVUJYjGEuuVbTtykWQZqgpBr6XF4gnTlJ60IOzx1vpqRnuZPFtqq0ciWa+QecLsDr
2AnSLcLhFir23S3ni91k73ayMG3FPibJwpxFzraPuNyeDk2SruFm7bXlWAFihWhlKh7yRc5f1Xkb
lWY/yJT2BM38tHMOMz39MElSQDsU4B3e9CTNkO07cjCY1gR+T6f12Y1MdVuG7eukVze9NPeJ6p5z
U6xMbQ7i1OArFtshw3vVvmha761rpXvDOhr7MkqYKAv7NpjDPVS0Sy3RmIE4+kmcHeWk7CNX4kKM
hn2tNebKUvR8V5SLe3rWL9JFL6KbeVCl5dprYkDtsSMhgKG8SxJf6OZmaPtN2Sn6ql534hURnd9X
3cGLXUS+7ibKy1912d3/PdhhfJm3/gF2YCS3YHSQbNLbbOK38v4JdIEnY2Ky7HFn569c85PDPInp
Mo0wwFgZ5YNql815qqL5kf0pfhoT27ppxLde2rCxR7+zy+HNRYr63flaKtmyauSyfqxlJcXLmsqW
1QWL0By0rxW3rL1qjrLn0SgBUCqWpljWqLusVmJq5od8WcHh12KeIqOjByZTHqKQtS6XVe8u65/U
8WhdFHNzojTO25IXiwSK3iZ3n4aZXJVaS/Y9QOQGnjBCks8uQyPCuI9Cdh61h6hszNG4OZZkX9I6
5vMojvtnNa26Z7XqCmoVbUTWc9tfopnbmLfsdHqIIYzkJ5XHxT5oLTuiElXaT33ZJVvZJ/uYclyv
buI1pBabqVj2VQVhybr42myptBl3MnPjb2XNnFGr0nsy08xbx4aevcDgcGEA9wVAiUf70MgxfjS9
SvsResq0LggnMuqUQ/7rEKhEpm3H5WToljMiXE6Lajk30sSTv9TlLGmXUwU8p3rRlpOGIAcOHX6a
1T6inWANhVL8cJfTqVvOKWyG8X6aqmO1nGHxcpohnr9TVY1ux527+ROQ8IDkwWvRW2ndy9jS3OdK
0ZN7kuT6q7QcQK1C6PJ9pFaDVWNAVtcRAFTGu7kW9lARb84Ap5NW5COcPjtdXp5J70hIatDjcw1A
jQCq2dRc2na2Enso4lsn/DALi+IU7G8zlxtkphv8DA5alP7rMxot93ynQK3HOa04JS9TGcdBV1X5
tSpT+8NtdP1QpGwSW3ukvdmHc2ZSwJhbjj5Zp9l3Q60fByPH2VerutVsYuTWdcttIRDQNQBeBSFR
KQo0X7XqaY2g6CnmtrkbFfO9LYFyhDpwk5iZK2deX4kzgcNmWntKeEvT5pb3cbFWxpQSVaUsUNmV
BA9xYf/JJeZVcVXrZAjPW3e1eUfdygSk6MZaRSjDDotABLlX/uSOtnJ0kylbc9DTmKNmyc1R+9i3
+y59WKqvEy29IWWMD2njZbvSYcwWhfoQGRrdOgON2RvsDQw9PSnuZK5/S/D/7Fwt+SWlkiEVnWOm
4kysdU0eW+YPfyz46yMvBvKt4c0SWvVQYsnelPZk4iCv9G1D6fJKG7zC72Zz68YVoZjlqPhYC6wN
YCqwitp+wGE9MhfqvmpPcB/aeK+r6YV0lPJ5VGquY24eb00hBpfE6IxIK6eOV3lGkg89ZVBFiqZt
jdSuNy4qUZR1Q7cZdNZa5YJrhujJfSWSjh9N3bexHJw9rYwwHnP5zdJyJggLa0Pu4AYvPANXADQE
r1XS+U1RTEGrLeL4GnsBPhSi5Og+CfrUQhoSeQWjRa1ynb9aBK5StMXERMM63StuWL1UYc9PWHJr
JfnaDjpvuPFx1j4yrJxjl/C6e+fa5QH9dbjXa09dOJXkVIXOp0ZQ0S3TlZm3gA1FKdATD/mv1LBv
GACJP9AS3CRKhIy6wlhZ2Ty73Is/iZey/JzuED9ruoIC9BJ7iky+S6m/jfk78v8TYXW8EZQdyNK5
zlqlr2RW/rK7+Ulqlc0oLAglz3ti3xXqvik3SKJz1+rDykjZHDWVi8dQuhxW+FfRQOrqneTUjtur
9mOqVGNtNendIWUW/t9bK1iuuRnXiC4iLT5GjnGQzoi61WB9TS2HBDWCyQpA+kzBn05/nlM1u6Sn
wCDWlXgXjdH8lrrLJTMy5GaeyHf2p45csCDth/lbmGQF3h+ycxyRKwGErn5x+rT+SGNp7CPFVg/x
6KX7vDe7S1g5/ZXK6/KKxnr6HrL/HDS9cXbTMlENy2yFP0ycjWXeGr8mr2UG0xXyP9H4Kavwazpj
xzXv7jKytcvwJnjiXwfvf8RQ/Wvu6Tcm6r9HYv0/1L4JfwgmZmAh/zc01s8In+aHhFn8+UWw7T+X
ssi/f+CfRJZOPaaqGzZGTEwzXwGHf+OyXO8PV7MIGqHXzPnzT/5s28SISfkX7kkSOOnxtT0IsL9z
WdYfSyIdEVJED9OrSEjBP3FX/47LgtmAJPrHXEXFNBG+8JzUgbqYYBzzn+UYYdxjFXTsXeu1ZrTT
mwxKnwChqfU1L4k/pyzPwdpR2OwtwxbPpibdaG2PWjpvcIsY9yZNsa31Nv0mNV6fyS8ShRgEa+yn
ZlsosXH3FqNgOI4qCkgFKYJhlbYROKRWgQybZurtOP5cYsmk29RHVamQUJGNFlhWFEeIeGGFO4te
R2Kr8j4AUFdueC+bgysc8UaKVE5LkeutNTXPgqZ0n1SCtjgz1DO9kYOPVakhuK4b2h8N8n5UNUaH
UoJvNjqqKVUJSEq1+WjFXU0XjskEDYFKuMWcFztHtGBLeqLvQsulB8WaDZA6iRvSZMIpFTnhLMyl
/TjGhndzK8/djlo2coXOvSCVxeAbXLqQ01GwkQsPXVZsB/pg6vXLULmj4KI11Q6Aa/WkeUrtgtgn
cul8R/J21PUwASYox+GxGXKEw1FZmdGxSXrgitAdAD2nMefC75XwQKtOCxfbgkK9HPgCO9Im0iTM
ez5ga3mcNSxYlzZij3/UsNtwM1ebsN1lqdKGzIKuNu+F2iN2CYfRQ62XhtqwFgLh2cagWfCN1prG
ekRVC5itzS5hlHmMYzwAMc6kb8zdIDah3Q1bp1fjT7WqIyco6sLblq3QXiySKluCAaJoSRv75YFN
CWVsrnrp6seqlXWGzUGhZc4d3lBJTpzJ4ZWwC9u3m7FHpj4V3slox1Uhm+SRthd1Y6u0MlSkhgFY
W4hVO7PsPo1icHYVu3WyTUBmtFVeqc0KZ5FL+lWKw0Zy1ZargkzMZ1oq5JFyLuIyEJ4sXHf+3FNL
sxIGMne0ivGWlI3qQXVKdNWdF63VxH0QrVzEcNp8CxF6b4amsh7Q8Rh+nCpblOyg+q4IsqrrnqVJ
+Uys2d1FibRwM2ZjVCCmAG3F+kVDSVXFTsHBzu9vK2XMjxbUN947o8WQlxfHtjHBlFCaJjfeVnHg
REOcruoVvT4U56R7GWVjTWGbWOG35bisI7GPhjG7eC4MdM/PNoQfDQEv0YsDLclxmshBVEZESe2i
Ti1gBZKkeGxktQWby9eNB02Enif5RDtIX6rr1M+FiLqtE4uU557KrZ3iA3K8HvOWMotT3cuflRAQ
vLXUC0aEsN8Rrp9ubHIQsjdUSvbzWDHkBFqcOd9qiYWBadE294sueTNNEy3leGHXtqKLtTU0YqM2
bQMe54zA/RZqJg1WO5+4QZtwBbvcUx5U9DbsMMV0ws8u3kK1A+zuovwaeUbz0NVp+QDS7AH0NQzk
40Bn6P8/Fr+OsP+7umM5Fv+tuuP8EXEqLjlR/8epyMf9eSpaf+goWQkAUx1d526PvOZPhYfxh2Ho
9hKkrnoWStS/KDzsPzj1KOb0bN3kSDVxbP7jVNSIgiNffDlp+Sf/s1PRW7yfv52KFDgark3QPp2j
5CAsEpC/qH9mt4OxQlS7l4mBJ9z5iJzE85OkLc6xKcNjkgMQUeJ7r+oMDUMmlG0Dkf0xmZZzSl06
qScA5NQiYxd19RXBVEy/kXuPiHGk99cjalIscaSSzpsxM4fHAWkX0m6W/liL/LmLyVZMvbaFHjah
RLpA7+yT7PAPuRbyTKpcCEsPHwXpmDZu1bWahZR7peF9ikN3g4Ejp4feOsJq2B9OouVgRVzZKjz+
mevNp7yYi6Afe/B+MmXwVEJUK+64Gbuh9vXU3cyAMGDRojBWTYFNctKcFaU3CjLu8bGJzR0/wc9R
d/yxLo7sPmvZ6U/E0Byqto44FGAtK/2XpSXTgxKHC32UufNWj9vnhGd7qZKiovVNqbcovO4T+Lmt
jEdh8TC9vjaOqeRbTozsbJb0OCgY3oDIT4YloMXUqtgmU/+j1uV8Dl86j/T4rqFPkKrrB1OLcySx
PfY6ucJQuM5xNzeF2QSaW/7qTeLWPJtcJSQYk2vT7ZPeGtDvuC70VevA41JT46vcuFfKnO4UKR4V
3RrgS7rpLpLZ2htOsa5hSVdJVmHMgKCfnCYC/oziZ/KAnmJj+B5aywWvM3O2N+mSv1iYFwtNvQ/h
hN0zxO8vobi2bk9gC4ks1h4piLwZRfVkZI2JwsUA6UuLWD6reTgzkXR9vSVqKbpM9gnr6506K5on
Uru8jq2iBOTmnyLVvMQwbfhoX6Ncopms0UOKydymY3uM2m6vUDKnztHrGFHShHlSWjLhR9Wd27b/
lZXPSKnr1eB4xs5y6jyQVI1i4V6b0xCopMH4jWcoQTjNtK/pzVkO6jGz0KdSyeszDxAIJRdtCVzp
i46ljj5Okswme/nc6b5RFb/Na/VOl1kSuHKwCA3AfLtBhwPB5o7atmHCKy3tw8SZdZg17xeqz5OR
zb6pFjATzdXoXa576QoD31M7x9r7gLVLpTAhWZvCc589m0jQkPY/X5cgsQbpTBeMadYVUxgxDR6W
/ZL0rx+12YgDBXxJH3TSsq95Y9QPRtjJQ2q27gd+kphspDI6KEzuewA6sad2On9NDQqRcB13yTHW
Y3Ufp1G7kxABt85h9OJV7dBPqPIdwS7NBc1YXWPbGPaOU+bfMhk6eLKYNnI1ywIUuvYhtivvUGOl
22j2OG56TVvIhXk6gXsXt7lPpptbF+IhVeviXrSY65oBZ4Df1l770YeDs2q0eKCMy7NONFfVx2xw
x0doceNsabN46GnoetfSXKydCAczFWwgdbmd7dvYsy5zW8U/DXNiHuno4f4kL6ngDoz8+IRsOTml
tTcerTDvD3noasDyw6BeXXdSn0ZjaM70uGnHIqviO9OQhxgFwwmvinM0lFE9FvCdHXJRgpyocHK2
Wq7nZ49vEMIUpWKax2q5+8vl618I4gz1d2Gea7rEdcM6cwq43I2IG/x9184y5DpGN2N2iqL8XJtt
NezTbujOzeIDFCEdGrU2MjzpeJ21MZtXI6ZV9NMYZuBw7/bQKZvcYAQcnHRBWjqtoiIpYdhc4D3s
kBHGaEFkPEnv1tUu1fTQq8XZCW3SCxtvvta2Vvr0FecnGeGm4E26WxjEuGJ41o6Y+yIglMnyY2nd
mMBiX4ixuNgiIsh1lCK81eOoK/TSS0CFzpmbchWX/MO+PtLdHNi4Son5Ig0w6NAYTlu1oM5yPeDq
esfi3CSrZoiqtTVr5Z2+MPed2P+HLu9p7NTpgXIUytL6MpCox+pSEjvTO2g81ZyEqKI8KkaEDqHQ
kO8K46me+mNct88hPbwE1am9P0wWMSbJRGpLmFDDi2zEoNkrcMZUMtwhuJrN4RC21dFJWP5JIhEY
YEofy4QccebmdWEVld+MdvQjHqwRM/VobhRch/Ro2Na5QsnMHqPlGyfO0qd6tqNVLaLiLObRWQJw
eJVmh7dq5k57JDYH+kmk3TGxFO8kLDW+x2qkH6PEbs4ZWtCnSrPVa5wRVxsQuNwf+FlPR2yIyWlU
8T3hJeJ9d4nN/XQipJy+4RjxT2IWy2Bqw2nTLitFLmvGXVaPvqwjsayovHPx5oaTcc4wqD7WTdIc
TbXkfI67Ad8RRyVR9t0HVkd0bVTKY4pdVrC3rGV1WdWhk5U3QrqmExf9aI9+Zdw0yz5A8pp3kDOI
em1WAKpNubwHjfuMGCj/hsxr2M/LvjIvO4y57DXWsuv0y/4zLztRsuxJXCXVfQZYeiwjmy1rIsXv
FQGj2KdZseSqjtEh71EwDb3tfqS5Lg91qNRwKJlzjQsK3Jd8e3FgALF/2A5t1RPpbqhFEvvK31Yu
oonsQINZXicJabloHOUiAwpbumK72WNCyTyNb9v1MlyVOlevEUsE8fIrBEl2EWiR0UqSY+NiOJdO
6gaq1ViEsDleN690D8oUmYNHjEk5d1H9SlZjiwrQyuqeBFAj63dV1A7RUc/ViDLdDr+cL3p3EMgt
Si5HbZOgSVQjBaGdG8cyWnlyamBhZmvmvMZWoHL/p4aMZZBWlHT1xsVQBv3kRpP1OCkoaXPP6NYt
wXZP3dxaGcFHYaFuaUrO87XSalgUwrTykFPV4fcl/XJcuR7mGr915lhZiyJnAhqwieaBw7b5Nue0
jAUEWWnsLTJNPV4xrdFoQOn1pwzdPJKH5tEJJdlSaYp2ppN10OvlrqOXBt9Ff++Ho42gbB2F6slx
vfpkUrfp6+Q+4k808Pi2aPlQ1OLnCDEW0WY9rYqqHn300KNPCfY3YvTGjUzHH1ppNIHbGoQOSf0a
qs14pppaD/BNf0+c74juvAcJ+MB+I/UV3brj0ajoTEsdlXtgBc+jPaVw9aspd9H3kVMeAyAFUYGb
SjSmcwAusv8Xe2eyHLlyZdtf0QcUrjkc/bCiDzJIBnsmJzAyMwlH4+gBB/D1tSJvqXR1n2QymdXg
2bM30ECiMplkoPGzz95rH0jt0FCQOlf0iT8Q7eedl9rOyeL9vxVL/b3oKuvyGeGCmGuKf5U58zp/
Xuw6/fIIzh+7gZWQKarlmoyfQeuo+hc7FPMms5v5C+WTa5BKvtrBcdmLDEBsGiT/X/78fSj7F3Pe
Bbkq/BAp88KXc4hr8a7950ro5uNH+/EXZr6/XIa/9i+Hj/Fnkf7lP/kfNh/6o/z1JeLWfxwJ/+G3
+H06DBymQwoBeEZgCAn4Z/x1OgzEb2Fge8ILeBgjpl7Q6n/VTMVv2OBtngVUCEiX0sG/TYfiNwHE
jL+PH+fyV4b/jmZq/xnD6cK+JhAiGBJ8l4dX9CfNtImBh+HCcLexeR7m6iZ6snfQWKmRAIURw2LD
V7oT3YPzXJLKBnOWPXdNukv1a4xJN42BeEBiF7l+j+IRRxL3D4Xq1i4IwVrVIVsiXAbh5zy5G4Xz
mFHxdTDvMqW4doZRIehmri2mxfnOUS3E4Ks6/GqndXGI2frL2+SHwiJceidAXKvS3FQtbl7/S2My
yynIUtTG2/7Ry5j+ImHfjrrczMZaF2reaz/PMIkNeN+znWfthZ+1u8zuk3U1FLcTy2DS535pPkVU
Pne9uNeXRVya0JXqOWy/ugDPd/m9L+58UmqrYcx7BCzIuIm58AJW7cyKTp5tzPhJsRwdp91dwHmW
q69yQXKNGi0aEGHG1vUdZc2cB5J2QwfE9pKUK+yCAvMsW1lO9dMDSbEuG/ebQHfjY9rSN72t8HZk
NBW4Xb6b3ZmtMs5DaHdF3t3A1jr31KpBufqeB/55qvi3Ahtnt21LZLD5ubKoqtGE79CkV1lIZkv5
CHT+yN9Kf8A50cQamqgjDRFi1+yQkqd/gSC2f51R/6A8/LrviEgKoiXBJanyp2srH0U3pRX+kWnR
z21PG7LrkqwY4XNdHCYSObMI/Ks+L/dFfefpae/Z7nWvw2EzC2dc6W4sVzG8z4tdJbfELh3w02Y5
66zYOTtjxUzqPTquR6V01m0aJ71uymsxuPu2Lq/teUeublvi1gFBde8V6hBST93a0W3PRwjO8cvF
OuTl3yx+zTEltEgiuwSvNCs1wmz9pjEX8bijDS3YyKnaoBkc6kWcCUnsRsc9z3TG+G5yM+GkjfBM
atU/ZTUwWdtH82N+f/cJSvLmvGp8zKeVYQNYJQ1wK+bFiKsyn0usEukpLG+CBn8hugeMoE/dz4ei
oH/cXM5cxDPoFV1OCyWXJBs/5trbVRRya/5C9t/sU2FzXPG4eJUyuc3KJ9m2NzASD51tnsrpfcm8
6RqBoeK8YQffmtgh0IIKbkFxVbWNCMolYnyokX50aJz2h6BjEeP3fJdwjMeqV3kIGc5w3ZgG0Nry
/oen6z8Ydf7ctPTrKmHQcQg0gQaJ3D+RqpdKhHlrynjrV/nPxBpeaZnex6393rRqvYztlR20D02c
3y7DeJd07THDLJum8CbzrgHCETC606KRdfWRStQ7nP88u/qHLoyYOPr8nKkRSn35L65u91ck6Y9X
t8+Tm9M5D3B+hAs8+e8ntK5GYhhtqk+boMXQJzkdoIAtAIymAWmkLYgeFSrcM9xu6sRn2cxDqsGy
K4PdRLdJowrKES2sFW1jlguNl2sWz0olU5Y1QK+lj/yTjo88WPdOMZ3TbHiEwvi8OBcyhvyReNOj
dunYccJ+g62/X7G25Rv7ZHemMOTROMovnMsDyZ7eOjEhgA1a6h5x3TyocTybcIDyF+Om8ssbNULL
9f3ovYH7sHLy8cm3izvingtgwpoS6kxtPad+Mr31RR4d+3fqf/kW+p6fvdEVvG/hL+48+6su0r1i
mRSV/AuS5th27moJafZV3ovRGApCIixB+2mUhSQJeU2bLSJjIgzSDC1hOQw0/CgG2hhAEgat/kZY
6Zk8a4Z1R1LsEh0soC8rNQyvWds/N0LyHHfflrx5TtLpjuD4shmHHr4HCZWsWTeJOND9/OgpcxDJ
AmE4+x6L+rFQ/dUgnY0vud8zj3VFeE5KceSoeTYu7WZF+KhtCWwFmt4gom1kA3JMvF2ixI6P/gSH
cWuAzvlT+kpD6IEtN2Gjeu3NN6I69YANEWV2fVQA2ElXdveWLY8x+8I8DTdquI7q/JiV8WvLr3BP
i1i6ZlO1a0q9D3OYiIY+ag7VX9h8GXv88yDcTdNm3xqNdBp1GY0nTA3rxXGbVeYHPdGh4L5iHMGn
2wDwQR2I6vGcehnbQhdWqPxKQ32MrejV7YpVbFU/QnDmOL9L9jfxieZD/sRYnfsmP0hasLKKjYnx
H/Iku3blbDZL7K+axZvXFqNQbPWbqBoArJtNnHQlb6a3TJqDM00HPSiSxWWqSd/pZwxWb0nnnabW
eSmg7dGx9eYtzdOkh37LVX1s4uBrkc51PCh/i2GR/Y+dwJHyA2ahed6w6yu29HifcrLqAJ7vNLn6
fdCKD5dUxFaa9qFy5g961tmODv0bCBuEx9Kv6Gebz63bP49LeDXibmE1h186P+bSe/EDG/4afdFS
ZU9251N/OVwLXJ96WiKyBWQ5CudgmWkzCXHWjPC5F79ozu9hC6jTjR78AepQ/m1pFiwxwzqK1W03
pveOXrYzV7ub1V9LCkSN39g0RY/T7LzKBrN5vxwZmR5iKHN5+BUt4n1i+GOxtbOH6Hvmyk2qQSgk
nvcQRz91wCsj2roWwb3b2r4lolUODyy2zq2l2fDVmE5BcMhVn4XPGpopOYB1tcAB9am8qifyPz/z
FLXFhNu8ewuiJ+OpVTqhEhRf7MU3tvw2JI9Bovd+2GLzuQdBjOZrHqpBcrlYN5l4mGRKRclyEjFq
PO4flK9DyuaLDhnP1VvM5YQvoC/4d7b5HnmU/wXOWz+EK3/mvs7lGxkwPRkKZe9FMlBKlqvXJoYj
iM9jk6Sfput2eviCh8OqNfqcHKfYRSN0yNo/pG1yyFMbQ3bGzjxSuOurCCmcyKMXmY2c8TZFFSZE
tnLQiiMqDBP9Qmtasp3k7P6wWuICoUX7nBOEO8MU5rXlk0qaYLNk9lOUW9+qeX6FX/m0TBl5OMhK
I3rf2sFidkz6HKpPERLR8ylRG035vRqWfbgEB+hdK1+n7VqEHKcSNT1aboNUJvBOUSOgM/PRE2yH
ZHD0TYzmA6N48YNPPY5XkVE/cfE9RSUSepPJQ5Yx3FcdRxP0IUjNFxjthUqfjf1T4QBKsjUxNffE
lPgFS2+d2fuk969cCgHsqr1hfcrT171RjYdZoN+HTiNJa1CtALaYjY3xSHMizGx6r6Xryo36LQ7P
efUfaollEQwc02ovOucS/xknsKdU6Lf20lKjK0U2tIsfHGVf8bsBdQBpk0xhPK+qIOjXQQnQTsBr
pFzTf/zfWk7+XXz8/5K8OP7FkHUeJ5h/Pl8CPvno+7RjtlR/nCHtv/3h3yfHkBA4MCAKuUMuS0bY
/5kcQ/EbafKIlSPbG4Hvhq/8dXJ0f7OFxFMcYSu+QHz+RkS3A4ZKZOXQd2HiETp3/p3JMYj+XqEO
GFgvreiYd0IZYe/5c3EV7SFjzn+mXeBWSu6IkrfApjkHrecI2PbKqQFTbalxwcQxJjGruSC4pIzc
SU7WBR9CgRfb0VOJzYS0CRxdjvUQnb0gKB7z1FhPnh2rYzJV49nXpbpudSC4mr1A74HmRdvAwWrR
lZ36MTrhwp5jLkJF+RKlo/EEnJSLFypFTFXbdWKXLpA+6YeUi8fzvT9VGhb28pgMzsw54UDtBc8q
OULAGdK2vVacHtdTiBtqN2MJyNkVcYji6TXD1yulaW6B63aX8ttFPMZeWrzx2kseKwm4xRcy+2zC
ObmZC4quyH6My2dSRR7+fTfgyTm0H4Z3Fi22OaOrBNPW0hyMTd2G1w0HvTxPXVfc1UuebUuL304p
p+uExPDW1oquYqfFtyKKZO0OVDuAirc/LyxOsL7VQLKgD9P8RAQ5/zQ+LFTo8EX0I6ms5FliyLh4
SoF9wLm0pL1J5FjyRBCw3JzcXQknnZilEnmV8QGQ1oT+iZFmvAYN/zKnbKQ2gZzACC9dyZCelaJa
L1NTAnxacmfj4AS7GXyTfaSlq38KGYuIc+HMhN+UI+0VIppJR0Y26xSvs8DW6IXqomjsk2ntlwkI
ZebhgpOvSTBUmoi0UVl/U13c9WtNuxEWSybKBnlbEgSzKvWGuYSoLTKKOjgd38eenRIdojWcOPOk
xy4F2YUERRW3EdlXCpwO7GuGH3VbGrVzZDURiLKifTAEbBFk4s94ogfwv4ETAoaGkNM9964jz+BZ
3FPsD92TKlX1kVAliLwABT667vFfwkYPp/p7Q0LnWxepyt6QJPn1Umzrd5sHf71abN/L91lWto82
hrmzS+lQvFlqE50yTDZnrRowUGGpSMlHU9jeY3CaXjr38jZGsbV+0hXkeRv2V+2bG+T60+cotKcz
gK9XMjJPXVk6+J8ZoClh77FqHthqI5GMliqvcW9iSi+k2Vu42XhZGfMS+aZ+8PoK9QIhlfs2b4jk
KgumTu0jvwqMChuCTVOzjoXMPxNurssfjTn+uW1RNAfGz6zduqMfHkcPSb2gnwt52y0m8Zo0s3i7
+InmrWiq5bL24AMMYepUe2cOPax5DaXunWiNvWIxkIBvUMCOY/9nXMjlm0mmrU08jsHF+V6NUQgA
Nc/aTy+YYImjjk3fpjErN82gJroRO/ME0KU+qdCJD7nnyqtSF4zcXtLz5SDFEQSN+HXpAleB1wOL
J0NzwVn25C/FghEZgwFYZCizDOYO7+0pjA9UxBA+mJdtxbhHRpQ8Jfgk7KkN5VqLDOKXSGZ6XfaM
uNTTRP7asoeOM1/f1s0al1SzUUvJhO0uqbDX2ky62so4dzXHzib9mQ21el4Cpa5FbufJFv2eVLvl
SvNmcaMwDmCkGLAdN8M37WSKg5nVW7AM0oVbe9Fec0bJ0POO2HRFDdfCec/G273qA48HC6634bZp
8hlsTVlVx1533VsngOOxJvuR6zEDp9XynB6LgiVulCtQo4MFMnWJ4BD1MqNsSTIgRGoaX904aU9O
rNQ3m63iRZfjpDtIC4JoNKGNc+jTIl03zRJ8B7RbHBIN6aBJXUoByrG64lXC/iEB6PjDtZLAEOUh
qMQvz5ibdBgSdjVeMnv4/9Bz1hZ1Ymrtmgw8Nz+nHxyGiIGa8HViO5tcRN3P2e2qfm2mYAU/kbeM
O+pDq9vmKvbTEosm8HU6N+n72WhT5P1e0rahiJRi/HNTvydQt5RsQ2FyJMxnhe81zA90A/DTC7fb
cGk2XxPd5qy6MHTbHVBGMhkTD6eoKB9Li9uNgp+ULKxpmm9p0HHqq7Hh3Pd1K18w6IHHJG8lT4Kk
1TO4zOaN+rzwKsyKBJtd0EM+D+vEuatpsrrzEYSfm5mF2uUszeUTkDp1dnNt48bu0vFmDnowAe7k
Ji+4RgUQC+zhX6IRdnjNv1Axyo5EyLDJz+G3Hmh5xQtKdjfct54+xAjAPBiM5z/xbGpPo46yWxNX
cueE7PmmWJIsm6wWq39hpZZaF0th76ymSvGwxMHrnAmUz2rSd3kWiTUmSqL1pkrPktaFtVps+5zx
RGKZppqXIRH5cx059cYGFVCLwHnqSQWdcwpwN0OeOYfG0+IJLqr1U2Y0K65kIocNgFnnmImMFAwc
2vhJiyQ4B1X6VFXCOsfVHG8QzRiIiAPmZytjH5q49EOhfpYe6buI3Ng2FSVV13R3osfMQUYSOC7Y
9XMlFE79ATAhxj8wMMePQc76eakMEIQoOELcgk9bmOV7oXDPW0uTtWDSK3VX+UV30jVpcrJx6Tvx
+W+6Tpb9NETTPk5ZGAbMAR/xMLsbzLD5A0ojvRcNoWyCi+WugR7gE5iX1u8d4fOgYGNIuPHtTeBp
/V6oEc2I7cEUbvH+sjiG53dhytc8XDondI+DSvunZjHVobRadROR79j23YwzNUhwUOUVLivRuc7e
5QG0JuMxPnm8Wu5hYjgJNZXAbAhrh/62Eqb7WCAE34SdE2dbngjqOFbMrokY5aNwh/rMGJqBeEvY
S4tkhHbuqblZF+4l+9Q5cp+FU3gLRjHpr8vuEuiNhCpu/Iw2LODgMWCJPH/oA4wvbVM4AW9ljhLr
StWQU+zmsgKz59ZCKEmGsjgziiLnePhNeH9rdnBt16Pv9QBeX9Eh2ADmc33Oa6B2K5cVMvUyne18
IGYL8DBZol58t2N7YKKwsiiMbAEGJdmy6egdjvcOzlT4OOkwm2NEOXV16OfMfx1pCX4mfDc+BEnT
7Ptc23dGKgl33+t6JGaLxwN9csne10X/DeBrdd9idYo2kvn1amhEc+2rnHt1Ifh5CmaH8A7LU3pW
sBLcc4BFLm2iUb0pu8foUpixp1A4V86TyKbmlVRUfUbFybf4ipbbcPAJy/PacqeNh8rDmbBNFw2R
LvhRuS6eVGpv51trjMurqC7FHq0TM1OLHLcNusD/vixhb29Chr2PnozUvMZ2bm3duR4/MwmIbscW
eMC4q6JDhgvhnnWGPfz+U7LnLNc4iUYIq8GTkxFhN5SbvXJzErFq0rI+h0ZfKJv62cuLB8LqQPGK
pDtFWrncszFwbZx/eDK0BzoPimO/KQniBKj3fvRa2wRmVnFtEhanLuVdqwsX6yXz4+YU0Qj4EFWV
/0DWq75heClOXTIjT4cxhc2+7sLvMEPUfskt+u+QhLxb3G4jDI6in97DdBbzVTU543xgTz/mV6qU
7Fb8JJkPpN2973GRkD0q2cisStImNITWlBasZBtGt2WTLAebN9dPC/3nZ5LE7bAds5zN+rCIsN34
+qJVeKOTyr2sovQZcUHuaPjJ3hbLWh5EpEmsjTgreLep8cUG7PfAprm4hTy8nJfU6X86v16+bczq
iF88BRcmiR9mNXefUxV2NwHs6qcW+L3dJIm/wkbgfyhA46D13VDhhoyjIFpLnx3DiEZ2R+mB2VDY
StBPpTOkzK64ZJFF6eY5hJ7swpdrOh4aTUVtTDFI700kdoNJs+k7GDspIl8jRP3dtRqAHlVLMooK
vvtUm+aVIChhpwbPQgEW7GW0BVv8iWjAMRqHrt/ZBnblWkOmJQbuLtYxLxtxkEEK0rB1QCR78yVE
zZDMeqvth1OqHF3vcz/sw1Vuw9hiJADA2xp5qCfR5CsKXog7eIpz6DyO/EwDesjGqQmZooZ6C2WV
AWk2tLzuSusMAXLEZllsZGxXZ2oQlsOAy4nTDSiPvSe67BB6aNUrsmvygeCYezC2X36G1aLfL1N2
z3dwdLEZXMd6FEM7nCFitK8Uls/H3HY0R1Ve+GvPiZHk8TfxlVFwxLBkdd2JuT6xlytQzxxVxeuq
qLIPXRWtOsg+Te4A/vAj5HlNq0gOUPp+iPRX2zu+w+0CU6MtsrN1KRBbkVSs1u3iedeoRvZIH44l
SLEBf59ktmzdcJHuGpq4nxMqHDmQAKgA+JV6odwgArkzioxfH7oefOjolanFaKqwlRcy1d6h7Ts+
Go7xQkfzNf6k9qrnjfSREojx12Uad/FqYm3drdgI4SrFxxaj6HhUGC6mzy4RE19d6PUBneUi97eT
5arrTtLz2pJt/6FD2yc0Nun+cozU9TYYVBuuMRmlxyjnXDYleXWTtJA0SAjGEWHfQDxr7zJTENEp
0PB5i6Oa2e2dO+Ck0H4fH7Apl4cxD7pjOcyqoU9JTy9grqTYQ5WtjhYFZO99G6bNevGX4qakGEse
HUBZyWswTORhx8CQEvnfUqD+H0+N/bcexdL2n4tZzz1Eno9c/dki/7c/+99alo1rQYbYGilE9S+S
1f+4IILfMEAQZ/xzt59j/+biVse0jhPCifxLmuuvDvnwN75w6ez+3TgBU/HfyI0h6/+9Q961aceG
fsg27yKQobj9/SZPxXPdEgiT+yTzNJU/hc8+TngV7sU48D66OZb39sxhuqlzsYZ9jPYh8tnn4Ozy
UDReYE4Q/dI1G2/qijJqVlT9zFplU44U6gVB7m2U3xTHgCPwp0qH/iiy1PFJNidWSt12yY01hh5s
jVmH+ToMUvHAjE3gt2+WO+nUHbVosMgzOnuqlc9YxMJnmHDKmwPU4PZngsiy7jnNxpDzU2z5kR3e
in5IT0koMbTLjONsMDQ7LR2FP1Sn245twXVGfcY6Uku7buBN7YExRD8ygrCUPjC87+wudvfVPIjH
gCnnLq/9Zn8JLGy0MyG1u71ZrsiZyg2zWLeTS1DC96MHKV0By/0oQpt/qEmKbK/DhlN4Ms65wXo6
wpz3hvDeFBndN01NM0To1p+CVuRbNxcnd/Hf+0jcLFWa8RwtDstc0IpNvYE33yuL7j7PHc4BCXpO
Gu1mcgOKkdp0j8uSxjkQTf2usvyiQBTQNQG2yfQblWMo6VFMMdkVYyw29HnRS5xd02sWwqnQ7iZm
gkB/ufA8lJ6JVvdRC+urHGT1wZluhpPQxu9RNnmUJoT1eelsHuKLtPyngraWqzabOzKvlriZlCqI
NPcsauewz/G2XaQ+X0/BYewIxhbJMD6PjudDck+8nFqdhQi/Y9knHETWsZKN9b1zeopec08SgfMl
S4TSBK+m8OV1KaHP4ZbFhAe2bqYIQac/Ut+0W8FVeUB8wsVeearci8or30dP+ncBIX6WaiL7bOvq
Wx/OwbcoWoI9R+P8QXN2OzNK+C8gdQvcEkqcsOoGJ2yiCb5sX22gNZ8I+CWnUUzlrm0c6xAJk+/j
xJX3vKAZASZyEIBRcq5oLweUZMfDLWJWflNMLkppkYPUA7xon2bc2nTL2Fnw0gecuElwY5GrmnR+
pFplOmrT2WcOcYNLE1M9fjheaNit+y7OxS4j/bH070bH5hQzux8o7XOeOhFaCv9rZTA/Zu17wdGy
XefZ0jVr+tC95jYSeTGtYqOtdgP/sVsFeW5RI2foM4tNCK+tzycMyRbfhopOcx59X7+4FZUcq87i
o2jyKVDbLpG828vRqejaIHrpdCOG/kzGWwuqyR2PC3yaeSrT20wxuIR0G51Nv/Sn0Y/EmTc90pyE
f/EIVdi+cvO+Y6Rp7Oq7gB58J/oZSqa0MwmZpAHTNgWCKIwdWNc6zimZNLapbL5pmd3JxSlv4nHJ
z11rWDvHU7ntsRVt7NCdDkFgqKnoLVPfh7WJ7yh2RxnT6CljDb1x1YGk3YVwONpV5BfpSWYxHKBq
9k+26qZrAVZxLxzZn0pRmxuFyvru1UzGnNcuqCw5P9c4takP4vD/ZLcaZrNcqn3MhmlN7rB99EqE
qNRFXU4LO92T2+Hemo3Ob+OkMPc0ek33s0eylhuu7dc17SpM9v7WDvqD1Yj2EFSjwtkRC/q9QWn3
gdWccaho9tkBkDXLNzAgRfXTOAziq2WqCLYuofUYzIO8Gzv2u3bcWN7apgT5ujecvsFWZNekh7mk
S8f5AlHNRtA29YtXCXtjwcB/SRXA+Nxhh7yiEmfZOvYMMQ4z3h6GosIHpwyUrKSDY9IyIFuY0h/d
QMc7pcKezsPQzMcqL51TotNlP2vf24dRHwLza5dNYmfQIdshemOCD3ZNJ4eHJgKZwn+NL07m4C01
NjaipFU7DLPNrfS74Zb80wVQSAjWtaV+J48UvUeh1ufBH9M9uxRmsYXFQZ75/VaPrYPQYAXyyEmN
Sm1YC+7aK3J1lXPmvEKCaTZmCNuju9j6XDcTtqA8/Q5OLESB765qRWAx4K0GOPW9dpZmwhEdPCQN
PRl6mo+w/ZOnJivGn2UngFO2zrTvse+wFR5kY2/9eWFSFIVi1966JEGs2fGTdd869akOLEwZLnvN
dqCgrwgJx6IrA8ikZZystbdynbcWmpWHJH9jV+NBJyHI9RSLFY1WBx7VW3tmmNeZbg5Y0FFAWrtd
099R1lscW7CVbOE5xVXu9J1ABsNxo7KhBNmlBvC7fVYcCX9efhY7KbfthGlete076zSezEMV4CU2
zoRULzzz2HbLzJwgl61sjLcrIz0+OBbhti1W3egw2TUxACJ3nOanaGWyhwDDyarQQ3dGiKk/a2iL
INFov2MZpK+mml8PUQUPUQuC8jLVLGs7yv5mVEK0xXK+to3c986yHPxxWtjXy+KN6fQHp3b+2vhD
TUF3MBr0alhaB0hFSCTJuvEqyolsF9+RazkPcD6HKzerxCPIKxh3rQUaSwV0JqzglgFl9xQ+EjYL
Nvt2Go1XEGm/prj1sZCx5OH+aE4B6+yDQ58mr5mh+oFxaTyEsg6uelkv7DU9gJGqPMc50FZCd8s2
GXX8yAeg+Z3KEJtTTvgolLQWul2jbu0Euzz/RwfdfbL3tViqM7AzcYLDpN/MKGgLgpEl1sIaIUwa
SYZP+j2SXYQ39ktbjkPHlRUhX+QuzksH52iahCbdkoTz3T2QfnUsXQD8cIxh8avJBURHHFcgIpc+
zrqorB44X6TlTZFQ+r2xdKEU8HdnrY6iIwS+kU2Tmbtomtor8t3F/aV156fmiQOvy/XNGn8P0rPj
p88Oc+gWk0a4DnPbJjA1Eo7Dc9Tz3wPnoGOV7pxMYkWoUgLzlJGsmxBTl9Cp3A4BKxfUuLtLxWSJ
WZxv2B3bCnvhQAfuKhQTQzFHCwb4PFm3nZl+mHSavkwtfzD/te9BMX749ShQzNykuossvGVQIKHq
Bmm6LivHnAKnJeJWQy5eXNlS5oZMGHQgBk3B66kTg3PlNOGTXAxJF0n1liQxuYnBxW1UR71MUXcJ
eBGv3KluSK+zsjR3vR1b+5hCHoLlut8bz/bXriQp4iMO/2CV4+y4R5N9qRaHj2HQT6lXQdZ3wuQs
tJrgl479zgKrCnux8B+T4LJLKHl1rjO5ZBvP7QvymhhUr2YrGHddgMjQEkj8tFkyb0Pai89YLYat
MFWwbnlEkZbIvNuBVlP8SDG1jQ01GnHhEFcwYQkPGmHe2y4FSQOPLthqLVMTbFUs1C7rgzjhdGWs
o44q9xq38ri128k96Mm3H+M+Utu2Bg80WDI+eLObg0s1NtV1SUVisHMoOxrNMS3i6hyYAuFj8Nlk
XsC96ZuXtv2hMXn9IEB7b3DOwLhLy2AFRcd94UXHxO23IdNB6sutSzffFTVr4SGIYW8ONCJ8hWUe
3vidVzyPOW4wtoxi24gAvnkO5yZqZncHAUDQsFzT2pXHEa+auSwRiFjCon5Pp07096ghO86pRBsD
ig3Con214gpTq6tux9n6RmQJO1RSkcAs4eZg/YHsVDG01H7QrWsppqvaU/22jcmCriaXzpHhsm1h
iKcOmAsDRU33hXkQORsF4S4eMJk+5idgHdMiMVz9YbL8h0bRP/E9/o85jSHyj0lmKwyXzAh8gez5
2JFd4KW4fQKWxGG6k15WbTIYSM9NJKen0Lajtzkc6zupluQ6nGXzLYYdz66SAz6MWJns1TDXT5MT
LTvh0TZIBzB7ojayzjRXYwlswhQOossnINaRy1GCupz0zfUjy+JQU8KClH25Zylw6XrOKUBMre+J
XyUbx6Jtz8pokNKt/zI0nX20+tqjfD2y3+QwkCqxPeI/TVRtcORz0+aed+sWOWwAz2m9DfY2HGIq
CN45qSd7T8JQRLD/qEbvPPSASzihrMAL5RtShPPGW9R8Pw4lTYv5cqIOiKKfHLQT+1u6E5lKlfKh
DrQLj+2k9X7IvkGCsmi34OWuORRuR8uuXhepC0h4aUjHV6v88RQHwXxUbO4dVgHSv6+qbrzraMm4
VDHZMRmxXGJeF+mPOl4wubpWsKWvRD5US05ux8Ikj2MQaEg1j/41qUTr4MmcmvdsqRoomoSQIQeK
6efYTW+dWhqWmF66c1uNkXRqih1IQTb+LA1WDvWXcFc8mtkauB34Aj3WVEM1dluIJ+ndkpe8odF+
r2Lm13NKQQt9hlC3HrjRo+MUTeYoK5fIGYuKlZ3O3Veteo6C2pgJ9hPuqPXAeYE+1Qby7DqkUA1i
Lefs8deRu/h1/JaXkzhvYQ7ldNRTSto3cieY5anjNsBYnctJnkwXz6bwcr63f530BY0vPB84/xsr
7E/RZSbIL9NBcZkThmKU7qpN6P/FSWnv6irqqE5kwGh/zRo+JzMeRpcRxPk1jQyXwQQtzZz1r2mF
epsJaRGTlvaNXIMDjS5g48baJgp/WvRr5Al/jT84qcv6gGV6IjPl21dT6wEAcWvQbG3OhQtfhrp0
zw4+2DDIVUTTMm2kY392pxaHakhon4cY8xaOx/9i7tyW00aCMPwqudo7VDofaqtStXEcHDt2HNuJ
nb2hZMMaIRAgIUB6+v1GQgRxcIiHStBVArg10zPT0z3T/f+3o9i03/cbo5uGHgRnowYKMxqj4Q0V
9CZMmXjK4OWS6TPEFT535kARTrsEaWbcmtiQGqZgdru4YVS1TWAlflY1ciMt6yQFzeDac+F6GTMG
GaQGhIwwDs9PwiKOJAMgvOyGE04KCDLh8qTyoYg8yUUWF1EiIB0Bs9EciyA1FeFqqtlgzRDBjkQo
C94Bwy7CWxopAl1C3lgEv3DqTUWmEbd3IjS2Gs/u98gcf59zSfNoiwA6FaF0LoLqSITXwK4Raeci
6O6K8NsTgXhWxOR9EZ4PRKAO3I1+Aa+bcz8XYfykiOhJ622Bj0qYn4uAv4eRHrQoB51Qmz54lxYn
A+S6Tr+m4riAygiHA+bUe/+yRS2IX1ZT2DUqfzxTszlC1SAVcSkzWjWoiUfSz3Q8bjSziWueR5ze
TvSWC9wnyYC64DEk88u6Vk2RcACCEuzDgNw3p7qjfU8oRoSfd+g8t7NpOjuHODq7aLhacg1tifeA
YzD8ZrijT2kQJafkTucjnKfZTQxFKqULjVHImPao8cicLDwDTS8hFJj0uIa2nxvOeeICEHQ6yWiV
4elTPKtWHvkQGAMsCl4KYNy5MGRhYdN6hX3LC1tnFnavK0ygJ4zhywrbqGgpTwpxpnVxzOVYAmtj
BUvDg6kzM8FBaJIfdJs/GA9jv/EwvpldJV8Abog+N/pXL7/RFENQGyLD0FSTAnDT9DCVztobZxyw
cDgetJqk2LQe+xSITkg97mVX4TzI9RM86dFFnI3BkNGew+6jZuUwhZut8L9cs+bA/WZB60PUm5F9
pzt41Kd5y2AP16GOVJtwazfugWOw72zHY6uzoyGYtKHpuNB8hFkM3vZwTN1ADBh7lM8/4slgnzhO
eWc71GDPc7cJIBNIxc6g9wFeqPGHLJmBZTW08n9JAoMQZNbqf5yOLRc8wX7j6yCYxZ9IhQq/cMv1
fKH3U1gmObMf3XY9OwfcJuiFZFLM4a6dB/E36GmF/Rro/ftCqb8NCE4i9XTRxq1cRUuwM/Ht9TCI
JnfD03W2o71+VJ2Gbxe0H/mRA6e7bpBZWjv9L5pVkC+9JKXvw9GUtuFW0nUFYhjSULE0xcPZO1Xn
z4uvHU0B3EC1OX0HII6nRONZ0dIuPbzcxU1mqE05tQ6Qsh1NYhilQBSOamm5wgbso4I1CTUVAHlL
OMQd1zYVeAr3f7Ypakj/qAp20mBhYaWngaVgQlxLswA+Fk99Grh8DWofVa3li37/+O/sPPnVWHqT
4q59JsGamJVJ4Cq2aRDrc/u1RQGOo7AEMKyWdqSTgMpht1ycXHsueNl+2Rh4CigzmmdywbZqBGzF
AAPLVIGmL54/ZQTWRq+sLi+AMG08e8kZoJmKw06umzssoa1oLBEWiIDK5CnNzhGtBLEh4CjKqsES
5k7HplCKUDz1uWAqKk40ef/QQIuHqcLCOyI1UCcvINakrIGmKrhzLjUYSKqvBFPlihyXvFwJR2cO
TY3myfbeU0yKu0Fq9cpe1jcDh5Wgup6hm+UMOL4poLNV7+kVrJmUlQ1BVSwN2AcTLZRPbSaI4h+O
402DMp7iObp1wCJVZZVgAIFBCZHl6VjX1XVgKSwBl74Day+eozOGwDra5ZC8fjvUSIrBK1RVgfyx
2nuXwi9HICOXe85RGT/NNXT2KFkT4Cjs9QCbaWtd9xQgAOBgBxqzeMrsoyPSgAH2Stmo1w88kNhA
gpLdwdgXT90AUt5n2TYxg3usroAhAjbJKaAbCvYN/BunvvZdR/EcjIu56PyvmP895skyfqZ+oN8u
wuugk6zQCf/0B1XkuSlgEVEWHiNhY+2HAqSoFF26leL/b2u7Q+HkrHxZOT3FexZ/vujg5qtr76p6
VX14FnRiP37qgu4quJMXzbzyBwTo4Bp1wTu6jv12J+nWIl9LENf8aNAGUfLSBXpRfpLU2ZF1TSB8
yIqF4MePKzFC4WWQKiv2zI8zP/JXBS8CH2nJwcB/AmJ/q6ZN1cCvln3FuU+R6pu//MHo7zcXPte5
QU1DhBZiH5V9y4UfR5xPhXUllQGStGzmaX9NcOFtywr+5IdJ12/POp1RpYFilTpQBVQfiCX2ujl+
6be72fY1hPwDzPbP7YDmVw0VLV+4oLJ6uU7b6VO3E8dZTTgs8Vr1wevVcp1GPf+xklO0uvQZZVt9
4/f8ZELScU02IGsHmN63QRgGNTp3Q6XQvXrT67Vx5w+CPphy7bSSVZit0o+U1UiRh73NtCzcFVn5
951k8uZdJwINvdb60g+QlX7pY8wxWJO4NscXsaas9CZ8wUAIr7Z7ebYtLXtYa/HyiERWLrvyEmvw
KngaPgJE+DERSPRJvR+aph1i1v8Tp9Hu7UnlELRAb5Pt1mWQD+O6O4BoElfEub+s8Ls4GIGcUAkq
7Hsp/ACrdzsq5Ma7QHKsPnu9pfgJ6cBuboO9HLJLPxJ6qpq5UBNn3IJOR3YMLn9CIyTZ9vedfjeo
Wvmj5eJ0XrblO7E9FxcAB9gPT0SZTLCB+1JeMBxg3uyDLCM5AHvU+0i+4ZytYGc90QHikbsOVvR5
3ce3l8casvPok9+mHqqaj2KOOuStqTr3W9B58A/dOMRC226PXoNS++J4bYs3l6fxm1Fode267c/q
Ibb4xVO/48dv/wcAAP//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legend>
  </cx:chart>
  <cx:spPr>
    <a:ln>
      <a:no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12700</xdr:rowOff>
    </xdr:from>
    <xdr:to>
      <xdr:col>19</xdr:col>
      <xdr:colOff>152400</xdr:colOff>
      <xdr:row>38</xdr:row>
      <xdr:rowOff>114300</xdr:rowOff>
    </xdr:to>
    <xdr:sp macro="" textlink="">
      <xdr:nvSpPr>
        <xdr:cNvPr id="5" name="Rectangle 4">
          <a:extLst>
            <a:ext uri="{FF2B5EF4-FFF2-40B4-BE49-F238E27FC236}">
              <a16:creationId xmlns:a16="http://schemas.microsoft.com/office/drawing/2014/main" id="{A9289D9E-E026-4A9B-82DD-ECED53F6C165}"/>
            </a:ext>
          </a:extLst>
        </xdr:cNvPr>
        <xdr:cNvSpPr/>
      </xdr:nvSpPr>
      <xdr:spPr>
        <a:xfrm>
          <a:off x="38100" y="12700"/>
          <a:ext cx="11696700" cy="7099300"/>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0</xdr:row>
      <xdr:rowOff>1</xdr:rowOff>
    </xdr:from>
    <xdr:to>
      <xdr:col>2</xdr:col>
      <xdr:colOff>95250</xdr:colOff>
      <xdr:row>38</xdr:row>
      <xdr:rowOff>146050</xdr:rowOff>
    </xdr:to>
    <xdr:sp macro="" textlink="">
      <xdr:nvSpPr>
        <xdr:cNvPr id="3" name="Rectangle 2">
          <a:extLst>
            <a:ext uri="{FF2B5EF4-FFF2-40B4-BE49-F238E27FC236}">
              <a16:creationId xmlns:a16="http://schemas.microsoft.com/office/drawing/2014/main" id="{6308ECE8-F6BA-472C-93A9-7E1DF28F4984}"/>
            </a:ext>
          </a:extLst>
        </xdr:cNvPr>
        <xdr:cNvSpPr/>
      </xdr:nvSpPr>
      <xdr:spPr>
        <a:xfrm>
          <a:off x="0" y="1"/>
          <a:ext cx="1314450" cy="7143749"/>
        </a:xfrm>
        <a:prstGeom prst="rect">
          <a:avLst/>
        </a:prstGeom>
        <a:solidFill>
          <a:schemeClr val="tx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12700</xdr:colOff>
      <xdr:row>0</xdr:row>
      <xdr:rowOff>0</xdr:rowOff>
    </xdr:from>
    <xdr:to>
      <xdr:col>19</xdr:col>
      <xdr:colOff>120650</xdr:colOff>
      <xdr:row>2</xdr:row>
      <xdr:rowOff>25400</xdr:rowOff>
    </xdr:to>
    <xdr:sp macro="" textlink="">
      <xdr:nvSpPr>
        <xdr:cNvPr id="11" name="TextBox 10">
          <a:extLst>
            <a:ext uri="{FF2B5EF4-FFF2-40B4-BE49-F238E27FC236}">
              <a16:creationId xmlns:a16="http://schemas.microsoft.com/office/drawing/2014/main" id="{D28EF563-E488-370C-DB90-E95A2FB97301}"/>
            </a:ext>
          </a:extLst>
        </xdr:cNvPr>
        <xdr:cNvSpPr txBox="1"/>
      </xdr:nvSpPr>
      <xdr:spPr>
        <a:xfrm>
          <a:off x="12700" y="0"/>
          <a:ext cx="11690350" cy="393700"/>
        </a:xfrm>
        <a:prstGeom prst="rect">
          <a:avLst/>
        </a:prstGeom>
        <a:solidFill>
          <a:schemeClr val="accent1">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pPr algn="ctr"/>
          <a:r>
            <a:rPr lang="en-IN" sz="1800" b="1" cap="none" spc="0">
              <a:ln/>
              <a:solidFill>
                <a:schemeClr val="tx1"/>
              </a:solidFill>
              <a:effectLst/>
              <a:latin typeface="Times New Roman" panose="02020603050405020304" pitchFamily="18" charset="0"/>
              <a:cs typeface="Times New Roman" panose="02020603050405020304" pitchFamily="18" charset="0"/>
            </a:rPr>
            <a:t>Sales Performance Dashboard</a:t>
          </a:r>
        </a:p>
      </xdr:txBody>
    </xdr:sp>
    <xdr:clientData/>
  </xdr:twoCellAnchor>
  <xdr:twoCellAnchor>
    <xdr:from>
      <xdr:col>2</xdr:col>
      <xdr:colOff>209550</xdr:colOff>
      <xdr:row>3</xdr:row>
      <xdr:rowOff>18786</xdr:rowOff>
    </xdr:from>
    <xdr:to>
      <xdr:col>4</xdr:col>
      <xdr:colOff>565150</xdr:colOff>
      <xdr:row>7</xdr:row>
      <xdr:rowOff>88636</xdr:rowOff>
    </xdr:to>
    <xdr:grpSp>
      <xdr:nvGrpSpPr>
        <xdr:cNvPr id="34" name="Group 33">
          <a:extLst>
            <a:ext uri="{FF2B5EF4-FFF2-40B4-BE49-F238E27FC236}">
              <a16:creationId xmlns:a16="http://schemas.microsoft.com/office/drawing/2014/main" id="{764DF42F-8FC3-593F-3770-48610A85FAC1}"/>
            </a:ext>
          </a:extLst>
        </xdr:cNvPr>
        <xdr:cNvGrpSpPr/>
      </xdr:nvGrpSpPr>
      <xdr:grpSpPr>
        <a:xfrm>
          <a:off x="1425121" y="563072"/>
          <a:ext cx="1571172" cy="795564"/>
          <a:chOff x="2139950" y="514350"/>
          <a:chExt cx="1212850" cy="806450"/>
        </a:xfrm>
      </xdr:grpSpPr>
      <xdr:sp macro="" textlink="">
        <xdr:nvSpPr>
          <xdr:cNvPr id="12" name="Rectangle 11">
            <a:extLst>
              <a:ext uri="{FF2B5EF4-FFF2-40B4-BE49-F238E27FC236}">
                <a16:creationId xmlns:a16="http://schemas.microsoft.com/office/drawing/2014/main" id="{8F26AAE2-6CEA-A926-0ACB-39EC05D5D56B}"/>
              </a:ext>
            </a:extLst>
          </xdr:cNvPr>
          <xdr:cNvSpPr/>
        </xdr:nvSpPr>
        <xdr:spPr>
          <a:xfrm>
            <a:off x="2139950" y="514350"/>
            <a:ext cx="1212850" cy="8064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EBCF9C11-2F18-5D9D-D939-6BFCCC13B4BD}"/>
              </a:ext>
            </a:extLst>
          </xdr:cNvPr>
          <xdr:cNvSpPr txBox="1"/>
        </xdr:nvSpPr>
        <xdr:spPr>
          <a:xfrm>
            <a:off x="2364914" y="615950"/>
            <a:ext cx="792265" cy="27305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Total Sales</a:t>
            </a:r>
          </a:p>
        </xdr:txBody>
      </xdr:sp>
      <xdr:sp macro="" textlink="Calculations!G10">
        <xdr:nvSpPr>
          <xdr:cNvPr id="15" name="TextBox 14">
            <a:extLst>
              <a:ext uri="{FF2B5EF4-FFF2-40B4-BE49-F238E27FC236}">
                <a16:creationId xmlns:a16="http://schemas.microsoft.com/office/drawing/2014/main" id="{9D80600A-26D1-89FC-FA29-6E0F60F9FAA0}"/>
              </a:ext>
            </a:extLst>
          </xdr:cNvPr>
          <xdr:cNvSpPr txBox="1"/>
        </xdr:nvSpPr>
        <xdr:spPr>
          <a:xfrm>
            <a:off x="2335571" y="901700"/>
            <a:ext cx="792265"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7269AF-65E8-48E8-9CB2-FA360969055B}" type="TxLink">
              <a:rPr lang="en-US" sz="1100" b="1" i="0" u="none" strike="noStrike">
                <a:solidFill>
                  <a:srgbClr val="000000"/>
                </a:solidFill>
                <a:latin typeface="Times New Roman" panose="02020603050405020304" pitchFamily="18" charset="0"/>
                <a:ea typeface="Calibri"/>
                <a:cs typeface="Times New Roman" panose="02020603050405020304" pitchFamily="18" charset="0"/>
              </a:rPr>
              <a:pPr algn="ctr"/>
              <a:t>₹ 28,06,18,017</a:t>
            </a:fld>
            <a:endParaRPr lang="en-US">
              <a:latin typeface="Times New Roman" panose="02020603050405020304" pitchFamily="18" charset="0"/>
              <a:cs typeface="Times New Roman" panose="02020603050405020304" pitchFamily="18" charset="0"/>
            </a:endParaRPr>
          </a:p>
        </xdr:txBody>
      </xdr:sp>
    </xdr:grpSp>
    <xdr:clientData/>
  </xdr:twoCellAnchor>
  <xdr:twoCellAnchor>
    <xdr:from>
      <xdr:col>16</xdr:col>
      <xdr:colOff>31750</xdr:colOff>
      <xdr:row>3</xdr:row>
      <xdr:rowOff>3704</xdr:rowOff>
    </xdr:from>
    <xdr:to>
      <xdr:col>18</xdr:col>
      <xdr:colOff>603250</xdr:colOff>
      <xdr:row>7</xdr:row>
      <xdr:rowOff>73554</xdr:rowOff>
    </xdr:to>
    <xdr:grpSp>
      <xdr:nvGrpSpPr>
        <xdr:cNvPr id="35" name="Group 34">
          <a:extLst>
            <a:ext uri="{FF2B5EF4-FFF2-40B4-BE49-F238E27FC236}">
              <a16:creationId xmlns:a16="http://schemas.microsoft.com/office/drawing/2014/main" id="{8C011CA8-6597-4BF0-8C4E-799BA27C0891}"/>
            </a:ext>
          </a:extLst>
        </xdr:cNvPr>
        <xdr:cNvGrpSpPr/>
      </xdr:nvGrpSpPr>
      <xdr:grpSpPr>
        <a:xfrm>
          <a:off x="9756321" y="547990"/>
          <a:ext cx="1787072" cy="795564"/>
          <a:chOff x="2139950" y="514350"/>
          <a:chExt cx="1212850" cy="806450"/>
        </a:xfrm>
      </xdr:grpSpPr>
      <xdr:sp macro="" textlink="">
        <xdr:nvSpPr>
          <xdr:cNvPr id="36" name="Rectangle 35">
            <a:extLst>
              <a:ext uri="{FF2B5EF4-FFF2-40B4-BE49-F238E27FC236}">
                <a16:creationId xmlns:a16="http://schemas.microsoft.com/office/drawing/2014/main" id="{52613081-89DF-9178-27CB-30B36BAE4626}"/>
              </a:ext>
            </a:extLst>
          </xdr:cNvPr>
          <xdr:cNvSpPr/>
        </xdr:nvSpPr>
        <xdr:spPr>
          <a:xfrm>
            <a:off x="2139950" y="514350"/>
            <a:ext cx="1212850" cy="8064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sp macro="" textlink="">
        <xdr:nvSpPr>
          <xdr:cNvPr id="37" name="TextBox 36">
            <a:extLst>
              <a:ext uri="{FF2B5EF4-FFF2-40B4-BE49-F238E27FC236}">
                <a16:creationId xmlns:a16="http://schemas.microsoft.com/office/drawing/2014/main" id="{8F5EA06F-1AFA-46DB-BECF-EE2388A3AAC5}"/>
              </a:ext>
            </a:extLst>
          </xdr:cNvPr>
          <xdr:cNvSpPr txBox="1"/>
        </xdr:nvSpPr>
        <xdr:spPr>
          <a:xfrm>
            <a:off x="2286180" y="603250"/>
            <a:ext cx="924691" cy="27305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Avg Order Value</a:t>
            </a:r>
          </a:p>
        </xdr:txBody>
      </xdr:sp>
      <xdr:sp macro="" textlink="Calculations!$F$10">
        <xdr:nvSpPr>
          <xdr:cNvPr id="38" name="TextBox 37">
            <a:extLst>
              <a:ext uri="{FF2B5EF4-FFF2-40B4-BE49-F238E27FC236}">
                <a16:creationId xmlns:a16="http://schemas.microsoft.com/office/drawing/2014/main" id="{DE079027-B511-240C-788E-9F414260FDD0}"/>
              </a:ext>
            </a:extLst>
          </xdr:cNvPr>
          <xdr:cNvSpPr txBox="1"/>
        </xdr:nvSpPr>
        <xdr:spPr>
          <a:xfrm>
            <a:off x="2165350" y="901700"/>
            <a:ext cx="11366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387F6B-FEAF-467A-9B2A-3CA899C09AB6}" type="TxLink">
              <a:rPr lang="en-US" sz="1100" b="1" i="0" u="none" strike="noStrike">
                <a:solidFill>
                  <a:srgbClr val="000000"/>
                </a:solidFill>
                <a:latin typeface="Times New Roman" panose="02020603050405020304" pitchFamily="18" charset="0"/>
                <a:ea typeface="Calibri"/>
                <a:cs typeface="Times New Roman" panose="02020603050405020304" pitchFamily="18" charset="0"/>
              </a:rPr>
              <a:pPr algn="ctr"/>
              <a:t>₹ 1,40,309.01</a:t>
            </a:fld>
            <a:endParaRPr lang="en-IN" sz="1200" b="1">
              <a:latin typeface="Times New Roman" panose="02020603050405020304" pitchFamily="18" charset="0"/>
              <a:cs typeface="Times New Roman" panose="02020603050405020304" pitchFamily="18" charset="0"/>
            </a:endParaRPr>
          </a:p>
        </xdr:txBody>
      </xdr:sp>
    </xdr:grpSp>
    <xdr:clientData/>
  </xdr:twoCellAnchor>
  <xdr:twoCellAnchor>
    <xdr:from>
      <xdr:col>12</xdr:col>
      <xdr:colOff>292100</xdr:colOff>
      <xdr:row>3</xdr:row>
      <xdr:rowOff>26327</xdr:rowOff>
    </xdr:from>
    <xdr:to>
      <xdr:col>15</xdr:col>
      <xdr:colOff>279400</xdr:colOff>
      <xdr:row>7</xdr:row>
      <xdr:rowOff>96177</xdr:rowOff>
    </xdr:to>
    <xdr:grpSp>
      <xdr:nvGrpSpPr>
        <xdr:cNvPr id="39" name="Group 38">
          <a:extLst>
            <a:ext uri="{FF2B5EF4-FFF2-40B4-BE49-F238E27FC236}">
              <a16:creationId xmlns:a16="http://schemas.microsoft.com/office/drawing/2014/main" id="{FA1B9E54-AEED-4D56-9894-24F119EE2088}"/>
            </a:ext>
          </a:extLst>
        </xdr:cNvPr>
        <xdr:cNvGrpSpPr/>
      </xdr:nvGrpSpPr>
      <xdr:grpSpPr>
        <a:xfrm>
          <a:off x="7585529" y="570613"/>
          <a:ext cx="1810657" cy="795564"/>
          <a:chOff x="2139950" y="514350"/>
          <a:chExt cx="1212850" cy="806450"/>
        </a:xfrm>
      </xdr:grpSpPr>
      <xdr:sp macro="" textlink="">
        <xdr:nvSpPr>
          <xdr:cNvPr id="40" name="Rectangle 39">
            <a:extLst>
              <a:ext uri="{FF2B5EF4-FFF2-40B4-BE49-F238E27FC236}">
                <a16:creationId xmlns:a16="http://schemas.microsoft.com/office/drawing/2014/main" id="{FD845E05-BA03-A0B3-5418-4CEF41992FDE}"/>
              </a:ext>
            </a:extLst>
          </xdr:cNvPr>
          <xdr:cNvSpPr/>
        </xdr:nvSpPr>
        <xdr:spPr>
          <a:xfrm>
            <a:off x="2139950" y="514350"/>
            <a:ext cx="1212850" cy="8064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sp macro="" textlink="">
        <xdr:nvSpPr>
          <xdr:cNvPr id="41" name="TextBox 40">
            <a:extLst>
              <a:ext uri="{FF2B5EF4-FFF2-40B4-BE49-F238E27FC236}">
                <a16:creationId xmlns:a16="http://schemas.microsoft.com/office/drawing/2014/main" id="{60188A03-06E0-CAF4-4FF3-E8A0271A001C}"/>
              </a:ext>
            </a:extLst>
          </xdr:cNvPr>
          <xdr:cNvSpPr txBox="1"/>
        </xdr:nvSpPr>
        <xdr:spPr>
          <a:xfrm>
            <a:off x="2411356" y="590550"/>
            <a:ext cx="716685" cy="27305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Total Orders</a:t>
            </a:r>
          </a:p>
        </xdr:txBody>
      </xdr:sp>
      <xdr:sp macro="" textlink="Calculations!I10">
        <xdr:nvSpPr>
          <xdr:cNvPr id="42" name="TextBox 41">
            <a:extLst>
              <a:ext uri="{FF2B5EF4-FFF2-40B4-BE49-F238E27FC236}">
                <a16:creationId xmlns:a16="http://schemas.microsoft.com/office/drawing/2014/main" id="{82A8FF56-F686-4B99-C808-3E5E6C06C349}"/>
              </a:ext>
            </a:extLst>
          </xdr:cNvPr>
          <xdr:cNvSpPr txBox="1"/>
        </xdr:nvSpPr>
        <xdr:spPr>
          <a:xfrm>
            <a:off x="2165350" y="901700"/>
            <a:ext cx="11366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A9127C-057B-4D5A-ADF4-F7E4508B03C2}" type="TxLink">
              <a:rPr lang="en-US" sz="1100" b="1" i="0" u="none" strike="noStrike">
                <a:solidFill>
                  <a:srgbClr val="000000"/>
                </a:solidFill>
                <a:latin typeface="Times New Roman" panose="02020603050405020304" pitchFamily="18" charset="0"/>
                <a:ea typeface="Calibri"/>
                <a:cs typeface="Times New Roman" panose="02020603050405020304" pitchFamily="18" charset="0"/>
              </a:rPr>
              <a:pPr algn="ctr"/>
              <a:t>2000</a:t>
            </a:fld>
            <a:endParaRPr lang="en-IN" sz="1200" b="1">
              <a:latin typeface="Times New Roman" panose="02020603050405020304" pitchFamily="18" charset="0"/>
              <a:cs typeface="Times New Roman" panose="02020603050405020304" pitchFamily="18" charset="0"/>
            </a:endParaRPr>
          </a:p>
        </xdr:txBody>
      </xdr:sp>
    </xdr:grpSp>
    <xdr:clientData/>
  </xdr:twoCellAnchor>
  <xdr:twoCellAnchor>
    <xdr:from>
      <xdr:col>5</xdr:col>
      <xdr:colOff>317500</xdr:colOff>
      <xdr:row>3</xdr:row>
      <xdr:rowOff>33867</xdr:rowOff>
    </xdr:from>
    <xdr:to>
      <xdr:col>8</xdr:col>
      <xdr:colOff>190500</xdr:colOff>
      <xdr:row>7</xdr:row>
      <xdr:rowOff>103717</xdr:rowOff>
    </xdr:to>
    <xdr:grpSp>
      <xdr:nvGrpSpPr>
        <xdr:cNvPr id="43" name="Group 42">
          <a:extLst>
            <a:ext uri="{FF2B5EF4-FFF2-40B4-BE49-F238E27FC236}">
              <a16:creationId xmlns:a16="http://schemas.microsoft.com/office/drawing/2014/main" id="{AFD4E6CD-0441-4F29-9E44-4061FEFF3DFB}"/>
            </a:ext>
          </a:extLst>
        </xdr:cNvPr>
        <xdr:cNvGrpSpPr/>
      </xdr:nvGrpSpPr>
      <xdr:grpSpPr>
        <a:xfrm>
          <a:off x="3356429" y="578153"/>
          <a:ext cx="1696357" cy="795564"/>
          <a:chOff x="2139950" y="514350"/>
          <a:chExt cx="1212850" cy="806450"/>
        </a:xfrm>
      </xdr:grpSpPr>
      <xdr:sp macro="" textlink="">
        <xdr:nvSpPr>
          <xdr:cNvPr id="44" name="Rectangle 43">
            <a:extLst>
              <a:ext uri="{FF2B5EF4-FFF2-40B4-BE49-F238E27FC236}">
                <a16:creationId xmlns:a16="http://schemas.microsoft.com/office/drawing/2014/main" id="{6A7484A3-8F0B-E47F-187B-E909DE7FDF28}"/>
              </a:ext>
            </a:extLst>
          </xdr:cNvPr>
          <xdr:cNvSpPr/>
        </xdr:nvSpPr>
        <xdr:spPr>
          <a:xfrm>
            <a:off x="2139950" y="514350"/>
            <a:ext cx="1212850" cy="8064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D61EE98F-15AA-9C7F-F47A-C6D1910EDE02}"/>
              </a:ext>
            </a:extLst>
          </xdr:cNvPr>
          <xdr:cNvSpPr txBox="1"/>
        </xdr:nvSpPr>
        <xdr:spPr>
          <a:xfrm>
            <a:off x="2357177" y="609600"/>
            <a:ext cx="805550" cy="27305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Total Profit</a:t>
            </a:r>
          </a:p>
        </xdr:txBody>
      </xdr:sp>
      <xdr:sp macro="" textlink="Calculations!H10">
        <xdr:nvSpPr>
          <xdr:cNvPr id="46" name="TextBox 45">
            <a:extLst>
              <a:ext uri="{FF2B5EF4-FFF2-40B4-BE49-F238E27FC236}">
                <a16:creationId xmlns:a16="http://schemas.microsoft.com/office/drawing/2014/main" id="{8AB9E7B6-5C3E-DBC2-C934-46C78FD65887}"/>
              </a:ext>
            </a:extLst>
          </xdr:cNvPr>
          <xdr:cNvSpPr txBox="1"/>
        </xdr:nvSpPr>
        <xdr:spPr>
          <a:xfrm>
            <a:off x="2165351" y="901700"/>
            <a:ext cx="11366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CE9492-446C-4655-A5E5-271048FC6170}" type="TxLink">
              <a:rPr lang="en-US" sz="1100" b="1" i="0" u="none" strike="noStrike">
                <a:solidFill>
                  <a:srgbClr val="000000"/>
                </a:solidFill>
                <a:latin typeface="Times New Roman" panose="02020603050405020304" pitchFamily="18" charset="0"/>
                <a:ea typeface="Calibri"/>
                <a:cs typeface="Times New Roman" panose="02020603050405020304" pitchFamily="18" charset="0"/>
              </a:rPr>
              <a:pPr algn="ctr"/>
              <a:t>₹ 8,41,85,405.10</a:t>
            </a:fld>
            <a:endParaRPr lang="en-US" b="1">
              <a:latin typeface="Times New Roman" panose="02020603050405020304" pitchFamily="18" charset="0"/>
              <a:cs typeface="Times New Roman" panose="02020603050405020304" pitchFamily="18" charset="0"/>
            </a:endParaRPr>
          </a:p>
        </xdr:txBody>
      </xdr:sp>
    </xdr:grpSp>
    <xdr:clientData/>
  </xdr:twoCellAnchor>
  <xdr:twoCellAnchor>
    <xdr:from>
      <xdr:col>2</xdr:col>
      <xdr:colOff>196850</xdr:colOff>
      <xdr:row>8</xdr:row>
      <xdr:rowOff>88900</xdr:rowOff>
    </xdr:from>
    <xdr:to>
      <xdr:col>10</xdr:col>
      <xdr:colOff>12700</xdr:colOff>
      <xdr:row>21</xdr:row>
      <xdr:rowOff>177800</xdr:rowOff>
    </xdr:to>
    <xdr:graphicFrame macro="">
      <xdr:nvGraphicFramePr>
        <xdr:cNvPr id="47" name="Chart 46">
          <a:extLst>
            <a:ext uri="{FF2B5EF4-FFF2-40B4-BE49-F238E27FC236}">
              <a16:creationId xmlns:a16="http://schemas.microsoft.com/office/drawing/2014/main" id="{96B5F5ED-CC5A-460D-9953-7B265E93C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342900</xdr:colOff>
      <xdr:row>23</xdr:row>
      <xdr:rowOff>0</xdr:rowOff>
    </xdr:from>
    <xdr:to>
      <xdr:col>19</xdr:col>
      <xdr:colOff>19051</xdr:colOff>
      <xdr:row>37</xdr:row>
      <xdr:rowOff>127000</xdr:rowOff>
    </xdr:to>
    <mc:AlternateContent xmlns:mc="http://schemas.openxmlformats.org/markup-compatibility/2006">
      <mc:Choice xmlns:cx4="http://schemas.microsoft.com/office/drawing/2016/5/10/chartex" Requires="cx4">
        <xdr:graphicFrame macro="">
          <xdr:nvGraphicFramePr>
            <xdr:cNvPr id="48" name="Chart 47">
              <a:extLst>
                <a:ext uri="{FF2B5EF4-FFF2-40B4-BE49-F238E27FC236}">
                  <a16:creationId xmlns:a16="http://schemas.microsoft.com/office/drawing/2014/main" id="{A9C01C3A-5101-4C7F-B8DC-4C5BEB0E0B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267700" y="4235450"/>
              <a:ext cx="3333751" cy="2705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215900</xdr:colOff>
      <xdr:row>8</xdr:row>
      <xdr:rowOff>82551</xdr:rowOff>
    </xdr:from>
    <xdr:to>
      <xdr:col>19</xdr:col>
      <xdr:colOff>28841</xdr:colOff>
      <xdr:row>21</xdr:row>
      <xdr:rowOff>171186</xdr:rowOff>
    </xdr:to>
    <xdr:graphicFrame macro="">
      <xdr:nvGraphicFramePr>
        <xdr:cNvPr id="51" name="Chart 50">
          <a:extLst>
            <a:ext uri="{FF2B5EF4-FFF2-40B4-BE49-F238E27FC236}">
              <a16:creationId xmlns:a16="http://schemas.microsoft.com/office/drawing/2014/main" id="{4860798C-59AC-473B-B06C-A06D392E2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552450</xdr:colOff>
      <xdr:row>3</xdr:row>
      <xdr:rowOff>11245</xdr:rowOff>
    </xdr:from>
    <xdr:to>
      <xdr:col>11</xdr:col>
      <xdr:colOff>539750</xdr:colOff>
      <xdr:row>7</xdr:row>
      <xdr:rowOff>81095</xdr:rowOff>
    </xdr:to>
    <xdr:grpSp>
      <xdr:nvGrpSpPr>
        <xdr:cNvPr id="8" name="Group 7">
          <a:extLst>
            <a:ext uri="{FF2B5EF4-FFF2-40B4-BE49-F238E27FC236}">
              <a16:creationId xmlns:a16="http://schemas.microsoft.com/office/drawing/2014/main" id="{06E026D8-6F66-4BFE-81F6-352E28C4F559}"/>
            </a:ext>
          </a:extLst>
        </xdr:cNvPr>
        <xdr:cNvGrpSpPr/>
      </xdr:nvGrpSpPr>
      <xdr:grpSpPr>
        <a:xfrm>
          <a:off x="5414736" y="555531"/>
          <a:ext cx="1810657" cy="795564"/>
          <a:chOff x="2139950" y="514350"/>
          <a:chExt cx="1212850" cy="806450"/>
        </a:xfrm>
      </xdr:grpSpPr>
      <xdr:sp macro="" textlink="">
        <xdr:nvSpPr>
          <xdr:cNvPr id="9" name="Rectangle 8">
            <a:extLst>
              <a:ext uri="{FF2B5EF4-FFF2-40B4-BE49-F238E27FC236}">
                <a16:creationId xmlns:a16="http://schemas.microsoft.com/office/drawing/2014/main" id="{76BAAEB2-C1D8-F4FB-DABE-8A4AC54D1F62}"/>
              </a:ext>
            </a:extLst>
          </xdr:cNvPr>
          <xdr:cNvSpPr/>
        </xdr:nvSpPr>
        <xdr:spPr>
          <a:xfrm>
            <a:off x="2139950" y="514350"/>
            <a:ext cx="1212850" cy="8064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sp macro="" textlink="">
        <xdr:nvSpPr>
          <xdr:cNvPr id="10" name="TextBox 9">
            <a:extLst>
              <a:ext uri="{FF2B5EF4-FFF2-40B4-BE49-F238E27FC236}">
                <a16:creationId xmlns:a16="http://schemas.microsoft.com/office/drawing/2014/main" id="{8CC55663-C11A-4E2A-4402-10651066D012}"/>
              </a:ext>
            </a:extLst>
          </xdr:cNvPr>
          <xdr:cNvSpPr txBox="1"/>
        </xdr:nvSpPr>
        <xdr:spPr>
          <a:xfrm>
            <a:off x="2373190" y="590550"/>
            <a:ext cx="733648" cy="27305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Total Cost</a:t>
            </a:r>
          </a:p>
        </xdr:txBody>
      </xdr:sp>
      <xdr:sp macro="" textlink="Calculations!J10">
        <xdr:nvSpPr>
          <xdr:cNvPr id="14" name="TextBox 13">
            <a:extLst>
              <a:ext uri="{FF2B5EF4-FFF2-40B4-BE49-F238E27FC236}">
                <a16:creationId xmlns:a16="http://schemas.microsoft.com/office/drawing/2014/main" id="{6DC9283A-BE6A-FD18-89AB-32894D2EF77D}"/>
              </a:ext>
            </a:extLst>
          </xdr:cNvPr>
          <xdr:cNvSpPr txBox="1"/>
        </xdr:nvSpPr>
        <xdr:spPr>
          <a:xfrm>
            <a:off x="2165350" y="901700"/>
            <a:ext cx="11366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31C1-9197-4600-921C-440F00339DEA}" type="TxLink">
              <a:rPr lang="en-US" sz="1100" b="1" i="0" u="none" strike="noStrike">
                <a:solidFill>
                  <a:srgbClr val="000000"/>
                </a:solidFill>
                <a:latin typeface="Times New Roman" panose="02020603050405020304" pitchFamily="18" charset="0"/>
                <a:ea typeface="Calibri"/>
                <a:cs typeface="Times New Roman" panose="02020603050405020304" pitchFamily="18" charset="0"/>
              </a:rPr>
              <a:pPr algn="ctr"/>
              <a:t>₹ 19,64,32,611.90</a:t>
            </a:fld>
            <a:endParaRPr lang="en-US" b="1">
              <a:latin typeface="Times New Roman" panose="02020603050405020304" pitchFamily="18" charset="0"/>
              <a:cs typeface="Times New Roman" panose="02020603050405020304" pitchFamily="18" charset="0"/>
            </a:endParaRPr>
          </a:p>
        </xdr:txBody>
      </xdr:sp>
    </xdr:grpSp>
    <xdr:clientData/>
  </xdr:twoCellAnchor>
  <xdr:twoCellAnchor editAs="oneCell">
    <xdr:from>
      <xdr:col>0</xdr:col>
      <xdr:colOff>25400</xdr:colOff>
      <xdr:row>2</xdr:row>
      <xdr:rowOff>50800</xdr:rowOff>
    </xdr:from>
    <xdr:to>
      <xdr:col>2</xdr:col>
      <xdr:colOff>63500</xdr:colOff>
      <xdr:row>10</xdr:row>
      <xdr:rowOff>38099</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C32DEC9F-4DDC-4867-B5AD-673F59E2D8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400" y="419100"/>
              <a:ext cx="1257300" cy="1460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30</xdr:row>
      <xdr:rowOff>107950</xdr:rowOff>
    </xdr:from>
    <xdr:to>
      <xdr:col>2</xdr:col>
      <xdr:colOff>50800</xdr:colOff>
      <xdr:row>38</xdr:row>
      <xdr:rowOff>88900</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52C30351-40A8-4DF2-8BBD-936940D8206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9050" y="5632450"/>
              <a:ext cx="1250950" cy="145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120650</xdr:rowOff>
    </xdr:from>
    <xdr:to>
      <xdr:col>2</xdr:col>
      <xdr:colOff>31750</xdr:colOff>
      <xdr:row>30</xdr:row>
      <xdr:rowOff>101599</xdr:rowOff>
    </xdr:to>
    <mc:AlternateContent xmlns:mc="http://schemas.openxmlformats.org/markup-compatibility/2006" xmlns:a14="http://schemas.microsoft.com/office/drawing/2010/main">
      <mc:Choice Requires="a14">
        <xdr:graphicFrame macro="">
          <xdr:nvGraphicFramePr>
            <xdr:cNvPr id="6" name="ProductCategory">
              <a:extLst>
                <a:ext uri="{FF2B5EF4-FFF2-40B4-BE49-F238E27FC236}">
                  <a16:creationId xmlns:a16="http://schemas.microsoft.com/office/drawing/2014/main" id="{CC4B5152-F2C9-4E6A-A4EE-851224DCD2CC}"/>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0" y="4171950"/>
              <a:ext cx="1250950" cy="1454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107950</xdr:rowOff>
    </xdr:from>
    <xdr:to>
      <xdr:col>2</xdr:col>
      <xdr:colOff>50800</xdr:colOff>
      <xdr:row>22</xdr:row>
      <xdr:rowOff>88901</xdr:rowOff>
    </xdr:to>
    <mc:AlternateContent xmlns:mc="http://schemas.openxmlformats.org/markup-compatibility/2006" xmlns:a14="http://schemas.microsoft.com/office/drawing/2010/main">
      <mc:Choice Requires="a14">
        <xdr:graphicFrame macro="">
          <xdr:nvGraphicFramePr>
            <xdr:cNvPr id="7" name="CustomerSegment">
              <a:extLst>
                <a:ext uri="{FF2B5EF4-FFF2-40B4-BE49-F238E27FC236}">
                  <a16:creationId xmlns:a16="http://schemas.microsoft.com/office/drawing/2014/main" id="{B943070D-7665-440A-B236-C4DF807A6FEA}"/>
                </a:ext>
              </a:extLst>
            </xdr:cNvPr>
            <xdr:cNvGraphicFramePr/>
          </xdr:nvGraphicFramePr>
          <xdr:xfrm>
            <a:off x="0" y="0"/>
            <a:ext cx="0" cy="0"/>
          </xdr:xfrm>
          <a:graphic>
            <a:graphicData uri="http://schemas.microsoft.com/office/drawing/2010/slicer">
              <sle:slicer xmlns:sle="http://schemas.microsoft.com/office/drawing/2010/slicer" name="CustomerSegment"/>
            </a:graphicData>
          </a:graphic>
        </xdr:graphicFrame>
      </mc:Choice>
      <mc:Fallback xmlns="">
        <xdr:sp macro="" textlink="">
          <xdr:nvSpPr>
            <xdr:cNvPr id="0" name=""/>
            <xdr:cNvSpPr>
              <a:spLocks noTextEdit="1"/>
            </xdr:cNvSpPr>
          </xdr:nvSpPr>
          <xdr:spPr>
            <a:xfrm>
              <a:off x="0" y="2870200"/>
              <a:ext cx="1270000" cy="1270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10</xdr:row>
      <xdr:rowOff>69850</xdr:rowOff>
    </xdr:from>
    <xdr:to>
      <xdr:col>2</xdr:col>
      <xdr:colOff>57150</xdr:colOff>
      <xdr:row>15</xdr:row>
      <xdr:rowOff>88900</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A7A5B71A-3291-4605-903C-56CBFF15D9C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700" y="1911350"/>
              <a:ext cx="1263650" cy="93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273050</xdr:colOff>
      <xdr:row>23</xdr:row>
      <xdr:rowOff>12700</xdr:rowOff>
    </xdr:from>
    <xdr:to>
      <xdr:col>13</xdr:col>
      <xdr:colOff>266700</xdr:colOff>
      <xdr:row>37</xdr:row>
      <xdr:rowOff>127000</xdr:rowOff>
    </xdr:to>
    <xdr:graphicFrame macro="">
      <xdr:nvGraphicFramePr>
        <xdr:cNvPr id="17" name="Chart 16">
          <a:extLst>
            <a:ext uri="{FF2B5EF4-FFF2-40B4-BE49-F238E27FC236}">
              <a16:creationId xmlns:a16="http://schemas.microsoft.com/office/drawing/2014/main" id="{72919E6C-E3FF-4F72-BDBD-49EF9AEEB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196850</xdr:colOff>
      <xdr:row>23</xdr:row>
      <xdr:rowOff>12700</xdr:rowOff>
    </xdr:from>
    <xdr:to>
      <xdr:col>7</xdr:col>
      <xdr:colOff>203200</xdr:colOff>
      <xdr:row>37</xdr:row>
      <xdr:rowOff>133350</xdr:rowOff>
    </xdr:to>
    <xdr:graphicFrame macro="">
      <xdr:nvGraphicFramePr>
        <xdr:cNvPr id="18" name="Chart 17">
          <a:extLst>
            <a:ext uri="{FF2B5EF4-FFF2-40B4-BE49-F238E27FC236}">
              <a16:creationId xmlns:a16="http://schemas.microsoft.com/office/drawing/2014/main" id="{D8507694-8643-4A37-A589-219244F99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38100</xdr:colOff>
      <xdr:row>4</xdr:row>
      <xdr:rowOff>6350</xdr:rowOff>
    </xdr:from>
    <xdr:to>
      <xdr:col>17</xdr:col>
      <xdr:colOff>558800</xdr:colOff>
      <xdr:row>5</xdr:row>
      <xdr:rowOff>158750</xdr:rowOff>
    </xdr:to>
    <xdr:sp macro="" textlink="Q11">
      <xdr:nvSpPr>
        <xdr:cNvPr id="4" name="TextBox 3">
          <a:extLst>
            <a:ext uri="{FF2B5EF4-FFF2-40B4-BE49-F238E27FC236}">
              <a16:creationId xmlns:a16="http://schemas.microsoft.com/office/drawing/2014/main" id="{CCB5A18A-DB83-43F0-8142-0FE5ABDCE6C5}"/>
            </a:ext>
          </a:extLst>
        </xdr:cNvPr>
        <xdr:cNvSpPr txBox="1"/>
      </xdr:nvSpPr>
      <xdr:spPr>
        <a:xfrm>
          <a:off x="12090400" y="742950"/>
          <a:ext cx="1403350" cy="3365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048647-4B5A-40D4-B804-CCDF86E253CF}" type="TxLink">
            <a:rPr lang="en-US" sz="1200" b="1" i="0" u="none" strike="noStrike">
              <a:solidFill>
                <a:srgbClr val="000000"/>
              </a:solidFill>
              <a:latin typeface="Arial" panose="020B0604020202020204" pitchFamily="34" charset="0"/>
              <a:ea typeface="Calibri"/>
              <a:cs typeface="Arial" panose="020B0604020202020204" pitchFamily="34" charset="0"/>
            </a:rPr>
            <a:pPr algn="ctr"/>
            <a:t> </a:t>
          </a:fld>
          <a:endParaRPr lang="en-IN" sz="1200" b="1">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520700</xdr:colOff>
      <xdr:row>2</xdr:row>
      <xdr:rowOff>120650</xdr:rowOff>
    </xdr:from>
    <xdr:to>
      <xdr:col>9</xdr:col>
      <xdr:colOff>527050</xdr:colOff>
      <xdr:row>17</xdr:row>
      <xdr:rowOff>101600</xdr:rowOff>
    </xdr:to>
    <xdr:graphicFrame macro="">
      <xdr:nvGraphicFramePr>
        <xdr:cNvPr id="2" name="Chart 1">
          <a:extLst>
            <a:ext uri="{FF2B5EF4-FFF2-40B4-BE49-F238E27FC236}">
              <a16:creationId xmlns:a16="http://schemas.microsoft.com/office/drawing/2014/main" id="{1D1D78A8-A9AF-C6CA-73BB-3BCEFCAA0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368300</xdr:colOff>
      <xdr:row>1</xdr:row>
      <xdr:rowOff>133350</xdr:rowOff>
    </xdr:from>
    <xdr:to>
      <xdr:col>10</xdr:col>
      <xdr:colOff>438150</xdr:colOff>
      <xdr:row>15</xdr:row>
      <xdr:rowOff>50800</xdr:rowOff>
    </xdr:to>
    <xdr:graphicFrame macro="">
      <xdr:nvGraphicFramePr>
        <xdr:cNvPr id="2" name="Chart 1">
          <a:extLst>
            <a:ext uri="{FF2B5EF4-FFF2-40B4-BE49-F238E27FC236}">
              <a16:creationId xmlns:a16="http://schemas.microsoft.com/office/drawing/2014/main" id="{902C91D8-01AF-9CC5-FF95-82C383C6A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222250</xdr:colOff>
      <xdr:row>1</xdr:row>
      <xdr:rowOff>146050</xdr:rowOff>
    </xdr:from>
    <xdr:to>
      <xdr:col>14</xdr:col>
      <xdr:colOff>19050</xdr:colOff>
      <xdr:row>16</xdr:row>
      <xdr:rowOff>3175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EB006A40-60A6-DC9F-28D7-7167C0FE49F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956550" y="323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225425</xdr:colOff>
      <xdr:row>1</xdr:row>
      <xdr:rowOff>127000</xdr:rowOff>
    </xdr:from>
    <xdr:to>
      <xdr:col>12</xdr:col>
      <xdr:colOff>488950</xdr:colOff>
      <xdr:row>19</xdr:row>
      <xdr:rowOff>50800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C50010D2-D306-A005-4592-0B51B738D4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62625" y="304800"/>
              <a:ext cx="3921125" cy="3124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120650</xdr:colOff>
      <xdr:row>3</xdr:row>
      <xdr:rowOff>12700</xdr:rowOff>
    </xdr:from>
    <xdr:to>
      <xdr:col>11</xdr:col>
      <xdr:colOff>425450</xdr:colOff>
      <xdr:row>17</xdr:row>
      <xdr:rowOff>177800</xdr:rowOff>
    </xdr:to>
    <xdr:graphicFrame macro="">
      <xdr:nvGraphicFramePr>
        <xdr:cNvPr id="2" name="Chart 1">
          <a:extLst>
            <a:ext uri="{FF2B5EF4-FFF2-40B4-BE49-F238E27FC236}">
              <a16:creationId xmlns:a16="http://schemas.microsoft.com/office/drawing/2014/main" id="{18B335CD-DDB4-195F-AB6D-ADD238623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133350</xdr:colOff>
      <xdr:row>2</xdr:row>
      <xdr:rowOff>63500</xdr:rowOff>
    </xdr:from>
    <xdr:to>
      <xdr:col>9</xdr:col>
      <xdr:colOff>50800</xdr:colOff>
      <xdr:row>17</xdr:row>
      <xdr:rowOff>44450</xdr:rowOff>
    </xdr:to>
    <xdr:graphicFrame macro="">
      <xdr:nvGraphicFramePr>
        <xdr:cNvPr id="2" name="Chart 1">
          <a:extLst>
            <a:ext uri="{FF2B5EF4-FFF2-40B4-BE49-F238E27FC236}">
              <a16:creationId xmlns:a16="http://schemas.microsoft.com/office/drawing/2014/main" id="{C9E999A6-8228-12D1-32E7-64FE4C973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Chougule" refreshedDate="46095.343918402781" createdVersion="8" refreshedVersion="8" minRefreshableVersion="3" recordCount="2000" xr:uid="{A2804FD1-651C-4723-98FF-0A52AF20AA95}">
  <cacheSource type="worksheet">
    <worksheetSource name="Table2"/>
  </cacheSource>
  <cacheFields count="15">
    <cacheField name="OrderID" numFmtId="0">
      <sharedItems/>
    </cacheField>
    <cacheField name="OrderDate" numFmtId="14">
      <sharedItems/>
    </cacheField>
    <cacheField name="Region" numFmtId="49">
      <sharedItems count="4">
        <s v="East"/>
        <s v="West"/>
        <s v="North"/>
        <s v="South"/>
      </sharedItems>
    </cacheField>
    <cacheField name="State" numFmtId="49">
      <sharedItems count="15">
        <s v="Odisha"/>
        <s v="Gujarat"/>
        <s v="Delhi"/>
        <s v="Punjab"/>
        <s v="Haryana"/>
        <s v="Kerala"/>
        <s v="Telangana"/>
        <s v="Tamil Nadu"/>
        <s v="Goa"/>
        <s v="Maharashtra"/>
        <s v="Karnataka"/>
        <s v="Uttar Pradesh"/>
        <s v="Bihar"/>
        <s v="West Bengal"/>
        <s v="Assam"/>
      </sharedItems>
    </cacheField>
    <cacheField name="City" numFmtId="49">
      <sharedItems/>
    </cacheField>
    <cacheField name="ProductCategory" numFmtId="49">
      <sharedItems count="4">
        <s v="Appliances"/>
        <s v="Electronics"/>
        <s v="Office Supplies"/>
        <s v="Furniture"/>
      </sharedItems>
    </cacheField>
    <cacheField name="ProductName" numFmtId="49">
      <sharedItems count="16">
        <s v="Air Fryer"/>
        <s v="Smartphone"/>
        <s v="Water Purifier"/>
        <s v="Printer Paper"/>
        <s v="Mixer"/>
        <s v="Tablet"/>
        <s v="Bookshelf"/>
        <s v="Laptop"/>
        <s v="Headphones"/>
        <s v="Desk"/>
        <s v="Microwave"/>
        <s v="Office Chair"/>
        <s v="Stapler"/>
        <s v="Cabinet"/>
        <s v="Pen Pack"/>
        <s v="Notebook"/>
      </sharedItems>
    </cacheField>
    <cacheField name="CustomerSegment" numFmtId="49">
      <sharedItems count="3">
        <s v="Consumer"/>
        <s v="Small Business"/>
        <s v="Corporate"/>
      </sharedItems>
    </cacheField>
    <cacheField name="PaymentMode" numFmtId="49">
      <sharedItems/>
    </cacheField>
    <cacheField name="Quantity" numFmtId="1">
      <sharedItems containsSemiMixedTypes="0" containsString="0" containsNumber="1" containsInteger="1" minValue="1" maxValue="10"/>
    </cacheField>
    <cacheField name="SalesAmount" numFmtId="164">
      <sharedItems containsSemiMixedTypes="0" containsString="0" containsNumber="1" containsInteger="1" minValue="619" maxValue="499280"/>
    </cacheField>
    <cacheField name="Cost" numFmtId="164">
      <sharedItems containsSemiMixedTypes="0" containsString="0" containsNumber="1" minValue="433.29999999999995" maxValue="349496"/>
    </cacheField>
    <cacheField name="Profit" numFmtId="164">
      <sharedItems containsSemiMixedTypes="0" containsString="0" containsNumber="1" minValue="185.70000000000005" maxValue="149784"/>
    </cacheField>
    <cacheField name="Month" numFmtId="14">
      <sharedItems count="12">
        <s v="Jul"/>
        <s v="Feb"/>
        <s v="Mar"/>
        <s v="Jun"/>
        <s v="Aug"/>
        <s v="Oct"/>
        <s v="Nov"/>
        <s v="Dec"/>
        <s v="Jan"/>
        <s v="May"/>
        <s v="Sep"/>
        <s v="Apr"/>
      </sharedItems>
    </cacheField>
    <cacheField name="Year" numFmtId="14">
      <sharedItems count="2">
        <s v=" 2024"/>
        <s v=" 2023"/>
      </sharedItems>
    </cacheField>
  </cacheFields>
  <extLst>
    <ext xmlns:x14="http://schemas.microsoft.com/office/spreadsheetml/2009/9/main" uri="{725AE2AE-9491-48be-B2B4-4EB974FC3084}">
      <x14:pivotCacheDefinition pivotCacheId="18011258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001"/>
    <s v="2024-07-18"/>
    <x v="0"/>
    <x v="0"/>
    <s v="Bhubaneswar"/>
    <x v="0"/>
    <x v="0"/>
    <x v="0"/>
    <s v="UPI"/>
    <n v="1"/>
    <n v="20327"/>
    <n v="14228.9"/>
    <n v="6098.1"/>
    <x v="0"/>
    <x v="0"/>
  </r>
  <r>
    <s v="ORD00002"/>
    <s v="2024-02-19"/>
    <x v="1"/>
    <x v="1"/>
    <s v="Ahmedabad"/>
    <x v="1"/>
    <x v="1"/>
    <x v="1"/>
    <s v="Cash"/>
    <n v="5"/>
    <n v="145175"/>
    <n v="101622.5"/>
    <n v="43552.5"/>
    <x v="1"/>
    <x v="0"/>
  </r>
  <r>
    <s v="ORD00003"/>
    <s v="2023-03-31"/>
    <x v="2"/>
    <x v="2"/>
    <s v="New Delhi"/>
    <x v="0"/>
    <x v="2"/>
    <x v="1"/>
    <s v="UPI"/>
    <n v="6"/>
    <n v="100920"/>
    <n v="70644"/>
    <n v="30276"/>
    <x v="2"/>
    <x v="1"/>
  </r>
  <r>
    <s v="ORD00004"/>
    <s v="2023-02-24"/>
    <x v="1"/>
    <x v="1"/>
    <s v="Ahmedabad"/>
    <x v="2"/>
    <x v="3"/>
    <x v="0"/>
    <s v="Credit Card"/>
    <n v="3"/>
    <n v="128526"/>
    <n v="89968.2"/>
    <n v="38557.800000000003"/>
    <x v="1"/>
    <x v="1"/>
  </r>
  <r>
    <s v="ORD00005"/>
    <s v="2024-02-05"/>
    <x v="2"/>
    <x v="2"/>
    <s v="New Delhi"/>
    <x v="0"/>
    <x v="4"/>
    <x v="1"/>
    <s v="UPI"/>
    <n v="2"/>
    <n v="15376"/>
    <n v="10763.199999999999"/>
    <n v="4612.8000000000011"/>
    <x v="1"/>
    <x v="0"/>
  </r>
  <r>
    <s v="ORD00006"/>
    <s v="2023-07-31"/>
    <x v="2"/>
    <x v="3"/>
    <s v="Ludhiana"/>
    <x v="1"/>
    <x v="1"/>
    <x v="1"/>
    <s v="Debit Card"/>
    <n v="7"/>
    <n v="217224"/>
    <n v="152056.79999999999"/>
    <n v="65167.200000000012"/>
    <x v="0"/>
    <x v="1"/>
  </r>
  <r>
    <s v="ORD00007"/>
    <s v="2024-02-10"/>
    <x v="2"/>
    <x v="4"/>
    <s v="Gurgaon"/>
    <x v="1"/>
    <x v="5"/>
    <x v="0"/>
    <s v="Credit Card"/>
    <n v="6"/>
    <n v="179820"/>
    <n v="125873.99999999999"/>
    <n v="53946.000000000015"/>
    <x v="1"/>
    <x v="0"/>
  </r>
  <r>
    <s v="ORD00008"/>
    <s v="2024-06-29"/>
    <x v="3"/>
    <x v="5"/>
    <s v="Kochi"/>
    <x v="1"/>
    <x v="5"/>
    <x v="0"/>
    <s v="Cash"/>
    <n v="3"/>
    <n v="88194"/>
    <n v="61735.799999999996"/>
    <n v="26458.200000000004"/>
    <x v="3"/>
    <x v="0"/>
  </r>
  <r>
    <s v="ORD00009"/>
    <s v="2024-08-07"/>
    <x v="3"/>
    <x v="5"/>
    <s v="Kochi"/>
    <x v="0"/>
    <x v="2"/>
    <x v="1"/>
    <s v="Net Banking"/>
    <n v="3"/>
    <n v="127707"/>
    <n v="89394.9"/>
    <n v="38312.100000000006"/>
    <x v="4"/>
    <x v="0"/>
  </r>
  <r>
    <s v="ORD00010"/>
    <s v="2023-03-07"/>
    <x v="3"/>
    <x v="6"/>
    <s v="Hyderabad"/>
    <x v="2"/>
    <x v="3"/>
    <x v="0"/>
    <s v="Credit Card"/>
    <n v="6"/>
    <n v="6348"/>
    <n v="4443.5999999999995"/>
    <n v="1904.4000000000005"/>
    <x v="2"/>
    <x v="1"/>
  </r>
  <r>
    <s v="ORD00011"/>
    <s v="2023-10-08"/>
    <x v="3"/>
    <x v="6"/>
    <s v="Hyderabad"/>
    <x v="3"/>
    <x v="6"/>
    <x v="0"/>
    <s v="Net Banking"/>
    <n v="5"/>
    <n v="7100"/>
    <n v="4970"/>
    <n v="2130"/>
    <x v="5"/>
    <x v="1"/>
  </r>
  <r>
    <s v="ORD00012"/>
    <s v="2023-07-19"/>
    <x v="2"/>
    <x v="3"/>
    <s v="Ludhiana"/>
    <x v="1"/>
    <x v="7"/>
    <x v="2"/>
    <s v="Net Banking"/>
    <n v="10"/>
    <n v="177340"/>
    <n v="124137.99999999999"/>
    <n v="53202.000000000015"/>
    <x v="0"/>
    <x v="1"/>
  </r>
  <r>
    <s v="ORD00013"/>
    <s v="2024-03-12"/>
    <x v="2"/>
    <x v="3"/>
    <s v="Ludhiana"/>
    <x v="1"/>
    <x v="5"/>
    <x v="0"/>
    <s v="Net Banking"/>
    <n v="9"/>
    <n v="128529"/>
    <n v="89970.299999999988"/>
    <n v="38558.700000000012"/>
    <x v="2"/>
    <x v="0"/>
  </r>
  <r>
    <s v="ORD00014"/>
    <s v="2024-11-17"/>
    <x v="3"/>
    <x v="6"/>
    <s v="Hyderabad"/>
    <x v="1"/>
    <x v="8"/>
    <x v="1"/>
    <s v="Cash"/>
    <n v="5"/>
    <n v="109285"/>
    <n v="76499.5"/>
    <n v="32785.5"/>
    <x v="6"/>
    <x v="0"/>
  </r>
  <r>
    <s v="ORD00015"/>
    <s v="2023-08-13"/>
    <x v="2"/>
    <x v="2"/>
    <s v="New Delhi"/>
    <x v="0"/>
    <x v="0"/>
    <x v="0"/>
    <s v="Debit Card"/>
    <n v="9"/>
    <n v="359388"/>
    <n v="251571.59999999998"/>
    <n v="107816.40000000002"/>
    <x v="4"/>
    <x v="1"/>
  </r>
  <r>
    <s v="ORD00016"/>
    <s v="2023-07-07"/>
    <x v="3"/>
    <x v="7"/>
    <s v="Chennai"/>
    <x v="1"/>
    <x v="1"/>
    <x v="2"/>
    <s v="Credit Card"/>
    <n v="7"/>
    <n v="349993"/>
    <n v="244995.09999999998"/>
    <n v="104997.90000000002"/>
    <x v="0"/>
    <x v="1"/>
  </r>
  <r>
    <s v="ORD00017"/>
    <s v="2023-11-07"/>
    <x v="1"/>
    <x v="8"/>
    <s v="Panaji"/>
    <x v="1"/>
    <x v="8"/>
    <x v="1"/>
    <s v="Debit Card"/>
    <n v="8"/>
    <n v="387144"/>
    <n v="271000.8"/>
    <n v="116143.20000000001"/>
    <x v="6"/>
    <x v="1"/>
  </r>
  <r>
    <s v="ORD00018"/>
    <s v="2023-03-28"/>
    <x v="1"/>
    <x v="9"/>
    <s v="Pune"/>
    <x v="1"/>
    <x v="8"/>
    <x v="2"/>
    <s v="Credit Card"/>
    <n v="8"/>
    <n v="326896"/>
    <n v="228827.19999999998"/>
    <n v="98068.800000000017"/>
    <x v="2"/>
    <x v="1"/>
  </r>
  <r>
    <s v="ORD00019"/>
    <s v="2023-11-28"/>
    <x v="2"/>
    <x v="3"/>
    <s v="Ludhiana"/>
    <x v="1"/>
    <x v="5"/>
    <x v="2"/>
    <s v="Net Banking"/>
    <n v="7"/>
    <n v="298746"/>
    <n v="209122.19999999998"/>
    <n v="89623.800000000017"/>
    <x v="6"/>
    <x v="1"/>
  </r>
  <r>
    <s v="ORD00020"/>
    <s v="2024-07-19"/>
    <x v="1"/>
    <x v="1"/>
    <s v="Ahmedabad"/>
    <x v="1"/>
    <x v="5"/>
    <x v="1"/>
    <s v="Debit Card"/>
    <n v="10"/>
    <n v="301460"/>
    <n v="211022"/>
    <n v="90438"/>
    <x v="0"/>
    <x v="0"/>
  </r>
  <r>
    <s v="ORD00021"/>
    <s v="2024-08-28"/>
    <x v="3"/>
    <x v="10"/>
    <s v="Bangalore"/>
    <x v="0"/>
    <x v="2"/>
    <x v="2"/>
    <s v="UPI"/>
    <n v="6"/>
    <n v="176148"/>
    <n v="123303.59999999999"/>
    <n v="52844.400000000009"/>
    <x v="4"/>
    <x v="0"/>
  </r>
  <r>
    <s v="ORD00022"/>
    <s v="2023-12-13"/>
    <x v="3"/>
    <x v="6"/>
    <s v="Hyderabad"/>
    <x v="0"/>
    <x v="4"/>
    <x v="1"/>
    <s v="Credit Card"/>
    <n v="4"/>
    <n v="185180"/>
    <n v="129625.99999999999"/>
    <n v="55554.000000000015"/>
    <x v="7"/>
    <x v="1"/>
  </r>
  <r>
    <s v="ORD00023"/>
    <s v="2024-10-19"/>
    <x v="2"/>
    <x v="11"/>
    <s v="Lucknow"/>
    <x v="1"/>
    <x v="1"/>
    <x v="0"/>
    <s v="Cash"/>
    <n v="5"/>
    <n v="220790"/>
    <n v="154553"/>
    <n v="66237"/>
    <x v="5"/>
    <x v="0"/>
  </r>
  <r>
    <s v="ORD00024"/>
    <s v="2023-01-23"/>
    <x v="2"/>
    <x v="4"/>
    <s v="Gurgaon"/>
    <x v="3"/>
    <x v="6"/>
    <x v="2"/>
    <s v="Credit Card"/>
    <n v="1"/>
    <n v="16306"/>
    <n v="11414.199999999999"/>
    <n v="4891.8000000000011"/>
    <x v="8"/>
    <x v="1"/>
  </r>
  <r>
    <s v="ORD00025"/>
    <s v="2024-07-15"/>
    <x v="1"/>
    <x v="9"/>
    <s v="Kolhapur"/>
    <x v="3"/>
    <x v="6"/>
    <x v="2"/>
    <s v="Debit Card"/>
    <n v="8"/>
    <n v="292480"/>
    <n v="204736"/>
    <n v="87744"/>
    <x v="0"/>
    <x v="0"/>
  </r>
  <r>
    <s v="ORD00026"/>
    <s v="2023-05-14"/>
    <x v="1"/>
    <x v="1"/>
    <s v="Ahmedabad"/>
    <x v="3"/>
    <x v="9"/>
    <x v="0"/>
    <s v="Cash"/>
    <n v="8"/>
    <n v="103448"/>
    <n v="72413.599999999991"/>
    <n v="31034.400000000009"/>
    <x v="9"/>
    <x v="1"/>
  </r>
  <r>
    <s v="ORD00027"/>
    <s v="2024-01-17"/>
    <x v="0"/>
    <x v="0"/>
    <s v="Bhubaneswar"/>
    <x v="0"/>
    <x v="2"/>
    <x v="2"/>
    <s v="Net Banking"/>
    <n v="3"/>
    <n v="40641"/>
    <n v="28448.699999999997"/>
    <n v="12192.300000000003"/>
    <x v="8"/>
    <x v="0"/>
  </r>
  <r>
    <s v="ORD00028"/>
    <s v="2023-09-01"/>
    <x v="0"/>
    <x v="12"/>
    <s v="Patna"/>
    <x v="0"/>
    <x v="4"/>
    <x v="2"/>
    <s v="Cash"/>
    <n v="6"/>
    <n v="149964"/>
    <n v="104974.79999999999"/>
    <n v="44989.200000000012"/>
    <x v="10"/>
    <x v="1"/>
  </r>
  <r>
    <s v="ORD00029"/>
    <s v="2023-10-16"/>
    <x v="1"/>
    <x v="8"/>
    <s v="Panaji"/>
    <x v="0"/>
    <x v="10"/>
    <x v="2"/>
    <s v="Debit Card"/>
    <n v="10"/>
    <n v="453530"/>
    <n v="317471"/>
    <n v="136059"/>
    <x v="5"/>
    <x v="1"/>
  </r>
  <r>
    <s v="ORD00030"/>
    <s v="2024-11-26"/>
    <x v="0"/>
    <x v="13"/>
    <s v="Kolkata"/>
    <x v="1"/>
    <x v="5"/>
    <x v="2"/>
    <s v="Credit Card"/>
    <n v="8"/>
    <n v="254736"/>
    <n v="178315.19999999998"/>
    <n v="76420.800000000017"/>
    <x v="6"/>
    <x v="0"/>
  </r>
  <r>
    <s v="ORD00031"/>
    <s v="2023-07-07"/>
    <x v="1"/>
    <x v="9"/>
    <s v="Pune"/>
    <x v="1"/>
    <x v="8"/>
    <x v="0"/>
    <s v="Net Banking"/>
    <n v="4"/>
    <n v="155824"/>
    <n v="109076.79999999999"/>
    <n v="46747.200000000012"/>
    <x v="0"/>
    <x v="1"/>
  </r>
  <r>
    <s v="ORD00032"/>
    <s v="2023-08-15"/>
    <x v="0"/>
    <x v="0"/>
    <s v="Bhubaneswar"/>
    <x v="1"/>
    <x v="1"/>
    <x v="0"/>
    <s v="Credit Card"/>
    <n v="10"/>
    <n v="57940"/>
    <n v="40558"/>
    <n v="17382"/>
    <x v="4"/>
    <x v="1"/>
  </r>
  <r>
    <s v="ORD00033"/>
    <s v="2023-02-28"/>
    <x v="3"/>
    <x v="7"/>
    <s v="Chennai"/>
    <x v="1"/>
    <x v="8"/>
    <x v="2"/>
    <s v="UPI"/>
    <n v="9"/>
    <n v="294552"/>
    <n v="206186.4"/>
    <n v="88365.6"/>
    <x v="1"/>
    <x v="1"/>
  </r>
  <r>
    <s v="ORD00034"/>
    <s v="2023-06-12"/>
    <x v="3"/>
    <x v="5"/>
    <s v="Kochi"/>
    <x v="3"/>
    <x v="11"/>
    <x v="2"/>
    <s v="Credit Card"/>
    <n v="4"/>
    <n v="116848"/>
    <n v="81793.599999999991"/>
    <n v="35054.400000000009"/>
    <x v="3"/>
    <x v="1"/>
  </r>
  <r>
    <s v="ORD00035"/>
    <s v="2023-05-28"/>
    <x v="2"/>
    <x v="2"/>
    <s v="New Delhi"/>
    <x v="2"/>
    <x v="3"/>
    <x v="2"/>
    <s v="Net Banking"/>
    <n v="6"/>
    <n v="286848"/>
    <n v="200793.59999999998"/>
    <n v="86054.400000000023"/>
    <x v="9"/>
    <x v="1"/>
  </r>
  <r>
    <s v="ORD00036"/>
    <s v="2024-11-22"/>
    <x v="3"/>
    <x v="6"/>
    <s v="Hyderabad"/>
    <x v="3"/>
    <x v="11"/>
    <x v="2"/>
    <s v="Net Banking"/>
    <n v="1"/>
    <n v="49675"/>
    <n v="34772.5"/>
    <n v="14902.5"/>
    <x v="6"/>
    <x v="0"/>
  </r>
  <r>
    <s v="ORD00037"/>
    <s v="2024-08-19"/>
    <x v="0"/>
    <x v="13"/>
    <s v="Kolkata"/>
    <x v="0"/>
    <x v="10"/>
    <x v="0"/>
    <s v="Net Banking"/>
    <n v="2"/>
    <n v="58642"/>
    <n v="41049.399999999994"/>
    <n v="17592.600000000006"/>
    <x v="4"/>
    <x v="0"/>
  </r>
  <r>
    <s v="ORD00038"/>
    <s v="2023-04-13"/>
    <x v="2"/>
    <x v="4"/>
    <s v="Gurgaon"/>
    <x v="2"/>
    <x v="3"/>
    <x v="1"/>
    <s v="Net Banking"/>
    <n v="5"/>
    <n v="178090"/>
    <n v="124662.99999999999"/>
    <n v="53427.000000000015"/>
    <x v="11"/>
    <x v="1"/>
  </r>
  <r>
    <s v="ORD00039"/>
    <s v="2024-06-29"/>
    <x v="0"/>
    <x v="12"/>
    <s v="Patna"/>
    <x v="3"/>
    <x v="11"/>
    <x v="0"/>
    <s v="UPI"/>
    <n v="2"/>
    <n v="72576"/>
    <n v="50803.199999999997"/>
    <n v="21772.800000000003"/>
    <x v="3"/>
    <x v="0"/>
  </r>
  <r>
    <s v="ORD00040"/>
    <s v="2024-06-03"/>
    <x v="2"/>
    <x v="2"/>
    <s v="New Delhi"/>
    <x v="3"/>
    <x v="11"/>
    <x v="0"/>
    <s v="UPI"/>
    <n v="2"/>
    <n v="40524"/>
    <n v="28366.799999999999"/>
    <n v="12157.2"/>
    <x v="3"/>
    <x v="0"/>
  </r>
  <r>
    <s v="ORD00041"/>
    <s v="2023-04-01"/>
    <x v="1"/>
    <x v="8"/>
    <s v="Panaji"/>
    <x v="2"/>
    <x v="12"/>
    <x v="0"/>
    <s v="Credit Card"/>
    <n v="2"/>
    <n v="63966"/>
    <n v="44776.2"/>
    <n v="19189.800000000003"/>
    <x v="11"/>
    <x v="1"/>
  </r>
  <r>
    <s v="ORD00042"/>
    <s v="2024-11-30"/>
    <x v="2"/>
    <x v="2"/>
    <s v="New Delhi"/>
    <x v="1"/>
    <x v="5"/>
    <x v="0"/>
    <s v="UPI"/>
    <n v="10"/>
    <n v="109170"/>
    <n v="76419"/>
    <n v="32751"/>
    <x v="6"/>
    <x v="0"/>
  </r>
  <r>
    <s v="ORD00043"/>
    <s v="2024-07-23"/>
    <x v="2"/>
    <x v="2"/>
    <s v="New Delhi"/>
    <x v="0"/>
    <x v="2"/>
    <x v="1"/>
    <s v="UPI"/>
    <n v="9"/>
    <n v="279576"/>
    <n v="195703.19999999998"/>
    <n v="83872.800000000017"/>
    <x v="0"/>
    <x v="0"/>
  </r>
  <r>
    <s v="ORD00044"/>
    <s v="2024-07-30"/>
    <x v="3"/>
    <x v="6"/>
    <s v="Hyderabad"/>
    <x v="0"/>
    <x v="2"/>
    <x v="1"/>
    <s v="UPI"/>
    <n v="9"/>
    <n v="99180"/>
    <n v="69426"/>
    <n v="29754"/>
    <x v="0"/>
    <x v="0"/>
  </r>
  <r>
    <s v="ORD00045"/>
    <s v="2024-02-17"/>
    <x v="3"/>
    <x v="6"/>
    <s v="Hyderabad"/>
    <x v="3"/>
    <x v="9"/>
    <x v="0"/>
    <s v="Cash"/>
    <n v="6"/>
    <n v="58242"/>
    <n v="40769.399999999994"/>
    <n v="17472.600000000006"/>
    <x v="1"/>
    <x v="0"/>
  </r>
  <r>
    <s v="ORD00046"/>
    <s v="2023-03-26"/>
    <x v="0"/>
    <x v="12"/>
    <s v="Patna"/>
    <x v="2"/>
    <x v="3"/>
    <x v="2"/>
    <s v="UPI"/>
    <n v="7"/>
    <n v="55356"/>
    <n v="38749.199999999997"/>
    <n v="16606.800000000003"/>
    <x v="2"/>
    <x v="1"/>
  </r>
  <r>
    <s v="ORD00047"/>
    <s v="2023-03-16"/>
    <x v="1"/>
    <x v="8"/>
    <s v="Panaji"/>
    <x v="1"/>
    <x v="5"/>
    <x v="2"/>
    <s v="Credit Card"/>
    <n v="2"/>
    <n v="53960"/>
    <n v="37772"/>
    <n v="16188"/>
    <x v="2"/>
    <x v="1"/>
  </r>
  <r>
    <s v="ORD00048"/>
    <s v="2024-02-19"/>
    <x v="0"/>
    <x v="14"/>
    <s v="Guwahati"/>
    <x v="3"/>
    <x v="6"/>
    <x v="0"/>
    <s v="Cash"/>
    <n v="9"/>
    <n v="374013"/>
    <n v="261809.09999999998"/>
    <n v="112203.90000000002"/>
    <x v="1"/>
    <x v="0"/>
  </r>
  <r>
    <s v="ORD00049"/>
    <s v="2024-07-26"/>
    <x v="3"/>
    <x v="7"/>
    <s v="Chennai"/>
    <x v="1"/>
    <x v="1"/>
    <x v="2"/>
    <s v="UPI"/>
    <n v="5"/>
    <n v="145540"/>
    <n v="101878"/>
    <n v="43662"/>
    <x v="0"/>
    <x v="0"/>
  </r>
  <r>
    <s v="ORD00050"/>
    <s v="2023-11-10"/>
    <x v="1"/>
    <x v="8"/>
    <s v="Panaji"/>
    <x v="1"/>
    <x v="1"/>
    <x v="0"/>
    <s v="Debit Card"/>
    <n v="10"/>
    <n v="172860"/>
    <n v="121001.99999999999"/>
    <n v="51858.000000000015"/>
    <x v="6"/>
    <x v="1"/>
  </r>
  <r>
    <s v="ORD00051"/>
    <s v="2024-07-22"/>
    <x v="3"/>
    <x v="6"/>
    <s v="Hyderabad"/>
    <x v="0"/>
    <x v="2"/>
    <x v="1"/>
    <s v="Debit Card"/>
    <n v="5"/>
    <n v="237525"/>
    <n v="166267.5"/>
    <n v="71257.5"/>
    <x v="0"/>
    <x v="0"/>
  </r>
  <r>
    <s v="ORD00052"/>
    <s v="2023-03-02"/>
    <x v="3"/>
    <x v="6"/>
    <s v="Hyderabad"/>
    <x v="0"/>
    <x v="4"/>
    <x v="0"/>
    <s v="UPI"/>
    <n v="7"/>
    <n v="96908"/>
    <n v="67835.599999999991"/>
    <n v="29072.400000000009"/>
    <x v="2"/>
    <x v="1"/>
  </r>
  <r>
    <s v="ORD00053"/>
    <s v="2023-03-09"/>
    <x v="1"/>
    <x v="9"/>
    <s v="Pune"/>
    <x v="2"/>
    <x v="12"/>
    <x v="1"/>
    <s v="Credit Card"/>
    <n v="8"/>
    <n v="27400"/>
    <n v="19180"/>
    <n v="8220"/>
    <x v="2"/>
    <x v="1"/>
  </r>
  <r>
    <s v="ORD00054"/>
    <s v="2023-11-18"/>
    <x v="1"/>
    <x v="9"/>
    <s v="Kolhapur"/>
    <x v="1"/>
    <x v="8"/>
    <x v="2"/>
    <s v="Credit Card"/>
    <n v="7"/>
    <n v="110803"/>
    <n v="77562.099999999991"/>
    <n v="33240.900000000009"/>
    <x v="6"/>
    <x v="1"/>
  </r>
  <r>
    <s v="ORD00055"/>
    <s v="2023-09-24"/>
    <x v="1"/>
    <x v="9"/>
    <s v="Pune"/>
    <x v="3"/>
    <x v="9"/>
    <x v="2"/>
    <s v="UPI"/>
    <n v="2"/>
    <n v="77128"/>
    <n v="53989.599999999999"/>
    <n v="23138.400000000001"/>
    <x v="10"/>
    <x v="1"/>
  </r>
  <r>
    <s v="ORD00056"/>
    <s v="2024-04-16"/>
    <x v="1"/>
    <x v="8"/>
    <s v="Panaji"/>
    <x v="3"/>
    <x v="13"/>
    <x v="2"/>
    <s v="Debit Card"/>
    <n v="6"/>
    <n v="184158"/>
    <n v="128910.59999999999"/>
    <n v="55247.400000000009"/>
    <x v="11"/>
    <x v="0"/>
  </r>
  <r>
    <s v="ORD00057"/>
    <s v="2023-04-06"/>
    <x v="2"/>
    <x v="4"/>
    <s v="Gurgaon"/>
    <x v="2"/>
    <x v="14"/>
    <x v="2"/>
    <s v="Credit Card"/>
    <n v="1"/>
    <n v="41197"/>
    <n v="28837.899999999998"/>
    <n v="12359.100000000002"/>
    <x v="11"/>
    <x v="1"/>
  </r>
  <r>
    <s v="ORD00058"/>
    <s v="2024-02-08"/>
    <x v="3"/>
    <x v="10"/>
    <s v="Bangalore"/>
    <x v="2"/>
    <x v="15"/>
    <x v="2"/>
    <s v="Credit Card"/>
    <n v="6"/>
    <n v="298038"/>
    <n v="208626.59999999998"/>
    <n v="89411.400000000023"/>
    <x v="1"/>
    <x v="0"/>
  </r>
  <r>
    <s v="ORD00059"/>
    <s v="2024-10-01"/>
    <x v="0"/>
    <x v="12"/>
    <s v="Patna"/>
    <x v="3"/>
    <x v="13"/>
    <x v="0"/>
    <s v="Cash"/>
    <n v="8"/>
    <n v="139280"/>
    <n v="97496"/>
    <n v="41784"/>
    <x v="5"/>
    <x v="0"/>
  </r>
  <r>
    <s v="ORD00060"/>
    <s v="2024-11-08"/>
    <x v="0"/>
    <x v="0"/>
    <s v="Bhubaneswar"/>
    <x v="2"/>
    <x v="15"/>
    <x v="2"/>
    <s v="UPI"/>
    <n v="8"/>
    <n v="43928"/>
    <n v="30749.599999999999"/>
    <n v="13178.400000000001"/>
    <x v="6"/>
    <x v="0"/>
  </r>
  <r>
    <s v="ORD00061"/>
    <s v="2024-09-26"/>
    <x v="1"/>
    <x v="9"/>
    <s v="Kolhapur"/>
    <x v="0"/>
    <x v="0"/>
    <x v="1"/>
    <s v="Debit Card"/>
    <n v="2"/>
    <n v="25058"/>
    <n v="17540.599999999999"/>
    <n v="7517.4000000000015"/>
    <x v="10"/>
    <x v="0"/>
  </r>
  <r>
    <s v="ORD00062"/>
    <s v="2023-05-14"/>
    <x v="2"/>
    <x v="11"/>
    <s v="Lucknow"/>
    <x v="2"/>
    <x v="12"/>
    <x v="1"/>
    <s v="Credit Card"/>
    <n v="5"/>
    <n v="174960"/>
    <n v="122471.99999999999"/>
    <n v="52488.000000000015"/>
    <x v="9"/>
    <x v="1"/>
  </r>
  <r>
    <s v="ORD00063"/>
    <s v="2023-12-15"/>
    <x v="1"/>
    <x v="8"/>
    <s v="Panaji"/>
    <x v="1"/>
    <x v="5"/>
    <x v="2"/>
    <s v="UPI"/>
    <n v="8"/>
    <n v="226648"/>
    <n v="158653.59999999998"/>
    <n v="67994.400000000023"/>
    <x v="7"/>
    <x v="1"/>
  </r>
  <r>
    <s v="ORD00064"/>
    <s v="2024-04-02"/>
    <x v="1"/>
    <x v="8"/>
    <s v="Panaji"/>
    <x v="1"/>
    <x v="8"/>
    <x v="1"/>
    <s v="Net Banking"/>
    <n v="6"/>
    <n v="67638"/>
    <n v="47346.6"/>
    <n v="20291.400000000001"/>
    <x v="11"/>
    <x v="0"/>
  </r>
  <r>
    <s v="ORD00065"/>
    <s v="2023-07-03"/>
    <x v="2"/>
    <x v="4"/>
    <s v="Gurgaon"/>
    <x v="2"/>
    <x v="12"/>
    <x v="0"/>
    <s v="Cash"/>
    <n v="1"/>
    <n v="31720"/>
    <n v="22204"/>
    <n v="9516"/>
    <x v="0"/>
    <x v="1"/>
  </r>
  <r>
    <s v="ORD00066"/>
    <s v="2023-11-29"/>
    <x v="3"/>
    <x v="5"/>
    <s v="Kochi"/>
    <x v="1"/>
    <x v="8"/>
    <x v="1"/>
    <s v="Net Banking"/>
    <n v="2"/>
    <n v="33588"/>
    <n v="23511.599999999999"/>
    <n v="10076.400000000001"/>
    <x v="6"/>
    <x v="1"/>
  </r>
  <r>
    <s v="ORD00067"/>
    <s v="2023-10-13"/>
    <x v="3"/>
    <x v="5"/>
    <s v="Kochi"/>
    <x v="1"/>
    <x v="1"/>
    <x v="0"/>
    <s v="Credit Card"/>
    <n v="6"/>
    <n v="42726"/>
    <n v="29908.199999999997"/>
    <n v="12817.800000000003"/>
    <x v="5"/>
    <x v="1"/>
  </r>
  <r>
    <s v="ORD00068"/>
    <s v="2024-10-08"/>
    <x v="1"/>
    <x v="8"/>
    <s v="Panaji"/>
    <x v="1"/>
    <x v="7"/>
    <x v="0"/>
    <s v="Cash"/>
    <n v="6"/>
    <n v="26460"/>
    <n v="18522"/>
    <n v="7938"/>
    <x v="5"/>
    <x v="0"/>
  </r>
  <r>
    <s v="ORD00069"/>
    <s v="2023-03-24"/>
    <x v="3"/>
    <x v="10"/>
    <s v="Bangalore"/>
    <x v="1"/>
    <x v="5"/>
    <x v="1"/>
    <s v="Cash"/>
    <n v="9"/>
    <n v="292869"/>
    <n v="205008.3"/>
    <n v="87860.700000000012"/>
    <x v="2"/>
    <x v="1"/>
  </r>
  <r>
    <s v="ORD00070"/>
    <s v="2024-10-12"/>
    <x v="2"/>
    <x v="3"/>
    <s v="Ludhiana"/>
    <x v="2"/>
    <x v="15"/>
    <x v="2"/>
    <s v="Cash"/>
    <n v="2"/>
    <n v="63510"/>
    <n v="44457"/>
    <n v="19053"/>
    <x v="5"/>
    <x v="0"/>
  </r>
  <r>
    <s v="ORD00071"/>
    <s v="2024-04-19"/>
    <x v="1"/>
    <x v="9"/>
    <s v="Pune"/>
    <x v="2"/>
    <x v="12"/>
    <x v="2"/>
    <s v="Credit Card"/>
    <n v="5"/>
    <n v="169510"/>
    <n v="118656.99999999999"/>
    <n v="50853.000000000015"/>
    <x v="11"/>
    <x v="0"/>
  </r>
  <r>
    <s v="ORD00072"/>
    <s v="2024-06-10"/>
    <x v="0"/>
    <x v="0"/>
    <s v="Bhubaneswar"/>
    <x v="1"/>
    <x v="5"/>
    <x v="2"/>
    <s v="Cash"/>
    <n v="5"/>
    <n v="195915"/>
    <n v="137140.5"/>
    <n v="58774.5"/>
    <x v="3"/>
    <x v="0"/>
  </r>
  <r>
    <s v="ORD00073"/>
    <s v="2024-06-28"/>
    <x v="0"/>
    <x v="0"/>
    <s v="Bhubaneswar"/>
    <x v="1"/>
    <x v="1"/>
    <x v="1"/>
    <s v="Debit Card"/>
    <n v="4"/>
    <n v="176388"/>
    <n v="123471.59999999999"/>
    <n v="52916.400000000009"/>
    <x v="3"/>
    <x v="0"/>
  </r>
  <r>
    <s v="ORD00074"/>
    <s v="2024-03-30"/>
    <x v="0"/>
    <x v="12"/>
    <s v="Patna"/>
    <x v="0"/>
    <x v="4"/>
    <x v="0"/>
    <s v="Debit Card"/>
    <n v="9"/>
    <n v="348462"/>
    <n v="243923.4"/>
    <n v="104538.6"/>
    <x v="2"/>
    <x v="0"/>
  </r>
  <r>
    <s v="ORD00075"/>
    <s v="2023-01-12"/>
    <x v="0"/>
    <x v="0"/>
    <s v="Bhubaneswar"/>
    <x v="2"/>
    <x v="3"/>
    <x v="1"/>
    <s v="UPI"/>
    <n v="5"/>
    <n v="125435"/>
    <n v="87804.5"/>
    <n v="37630.5"/>
    <x v="8"/>
    <x v="1"/>
  </r>
  <r>
    <s v="ORD00076"/>
    <s v="2024-04-06"/>
    <x v="1"/>
    <x v="9"/>
    <s v="Pune"/>
    <x v="3"/>
    <x v="9"/>
    <x v="1"/>
    <s v="Debit Card"/>
    <n v="5"/>
    <n v="100960"/>
    <n v="70672"/>
    <n v="30288"/>
    <x v="11"/>
    <x v="0"/>
  </r>
  <r>
    <s v="ORD00077"/>
    <s v="2024-11-06"/>
    <x v="0"/>
    <x v="0"/>
    <s v="Bhubaneswar"/>
    <x v="1"/>
    <x v="5"/>
    <x v="0"/>
    <s v="UPI"/>
    <n v="4"/>
    <n v="157492"/>
    <n v="110244.4"/>
    <n v="47247.600000000006"/>
    <x v="6"/>
    <x v="0"/>
  </r>
  <r>
    <s v="ORD00078"/>
    <s v="2024-02-12"/>
    <x v="1"/>
    <x v="9"/>
    <s v="Kolhapur"/>
    <x v="2"/>
    <x v="15"/>
    <x v="0"/>
    <s v="Cash"/>
    <n v="8"/>
    <n v="234872"/>
    <n v="164410.4"/>
    <n v="70461.600000000006"/>
    <x v="1"/>
    <x v="0"/>
  </r>
  <r>
    <s v="ORD00079"/>
    <s v="2024-05-05"/>
    <x v="3"/>
    <x v="7"/>
    <s v="Chennai"/>
    <x v="2"/>
    <x v="15"/>
    <x v="2"/>
    <s v="Debit Card"/>
    <n v="5"/>
    <n v="112665"/>
    <n v="78865.5"/>
    <n v="33799.5"/>
    <x v="9"/>
    <x v="0"/>
  </r>
  <r>
    <s v="ORD00080"/>
    <s v="2023-08-05"/>
    <x v="1"/>
    <x v="9"/>
    <s v="Kolhapur"/>
    <x v="2"/>
    <x v="15"/>
    <x v="2"/>
    <s v="Credit Card"/>
    <n v="8"/>
    <n v="248320"/>
    <n v="173824"/>
    <n v="74496"/>
    <x v="4"/>
    <x v="1"/>
  </r>
  <r>
    <s v="ORD00081"/>
    <s v="2024-04-16"/>
    <x v="2"/>
    <x v="3"/>
    <s v="Ludhiana"/>
    <x v="3"/>
    <x v="13"/>
    <x v="2"/>
    <s v="UPI"/>
    <n v="9"/>
    <n v="196695"/>
    <n v="137686.5"/>
    <n v="59008.5"/>
    <x v="11"/>
    <x v="0"/>
  </r>
  <r>
    <s v="ORD00082"/>
    <s v="2024-05-10"/>
    <x v="0"/>
    <x v="0"/>
    <s v="Bhubaneswar"/>
    <x v="2"/>
    <x v="15"/>
    <x v="0"/>
    <s v="UPI"/>
    <n v="6"/>
    <n v="123666"/>
    <n v="86566.2"/>
    <n v="37099.800000000003"/>
    <x v="9"/>
    <x v="0"/>
  </r>
  <r>
    <s v="ORD00083"/>
    <s v="2024-05-24"/>
    <x v="0"/>
    <x v="13"/>
    <s v="Kolkata"/>
    <x v="3"/>
    <x v="9"/>
    <x v="2"/>
    <s v="Cash"/>
    <n v="4"/>
    <n v="60856"/>
    <n v="42599.199999999997"/>
    <n v="18256.800000000003"/>
    <x v="9"/>
    <x v="0"/>
  </r>
  <r>
    <s v="ORD00084"/>
    <s v="2023-07-04"/>
    <x v="1"/>
    <x v="9"/>
    <s v="Pune"/>
    <x v="0"/>
    <x v="4"/>
    <x v="0"/>
    <s v="Net Banking"/>
    <n v="5"/>
    <n v="85425"/>
    <n v="59797.499999999993"/>
    <n v="25627.500000000007"/>
    <x v="0"/>
    <x v="1"/>
  </r>
  <r>
    <s v="ORD00085"/>
    <s v="2023-09-25"/>
    <x v="2"/>
    <x v="3"/>
    <s v="Ludhiana"/>
    <x v="1"/>
    <x v="1"/>
    <x v="2"/>
    <s v="Net Banking"/>
    <n v="1"/>
    <n v="34612"/>
    <n v="24228.399999999998"/>
    <n v="10383.600000000002"/>
    <x v="10"/>
    <x v="1"/>
  </r>
  <r>
    <s v="ORD00086"/>
    <s v="2023-11-07"/>
    <x v="0"/>
    <x v="12"/>
    <s v="Patna"/>
    <x v="0"/>
    <x v="10"/>
    <x v="0"/>
    <s v="Credit Card"/>
    <n v="1"/>
    <n v="24926"/>
    <n v="17448.199999999997"/>
    <n v="7477.8000000000029"/>
    <x v="6"/>
    <x v="1"/>
  </r>
  <r>
    <s v="ORD00087"/>
    <s v="2023-08-31"/>
    <x v="1"/>
    <x v="1"/>
    <s v="Ahmedabad"/>
    <x v="2"/>
    <x v="15"/>
    <x v="1"/>
    <s v="Cash"/>
    <n v="1"/>
    <n v="15196"/>
    <n v="10637.199999999999"/>
    <n v="4558.8000000000011"/>
    <x v="4"/>
    <x v="1"/>
  </r>
  <r>
    <s v="ORD00088"/>
    <s v="2024-01-19"/>
    <x v="1"/>
    <x v="1"/>
    <s v="Ahmedabad"/>
    <x v="2"/>
    <x v="14"/>
    <x v="1"/>
    <s v="UPI"/>
    <n v="9"/>
    <n v="50409"/>
    <n v="35286.299999999996"/>
    <n v="15122.700000000004"/>
    <x v="8"/>
    <x v="0"/>
  </r>
  <r>
    <s v="ORD00089"/>
    <s v="2023-08-05"/>
    <x v="2"/>
    <x v="2"/>
    <s v="New Delhi"/>
    <x v="2"/>
    <x v="14"/>
    <x v="0"/>
    <s v="Debit Card"/>
    <n v="1"/>
    <n v="29978"/>
    <n v="20984.6"/>
    <n v="8993.4000000000015"/>
    <x v="4"/>
    <x v="1"/>
  </r>
  <r>
    <s v="ORD00090"/>
    <s v="2023-10-06"/>
    <x v="1"/>
    <x v="9"/>
    <s v="Pune"/>
    <x v="0"/>
    <x v="2"/>
    <x v="0"/>
    <s v="Credit Card"/>
    <n v="1"/>
    <n v="8919"/>
    <n v="6243.2999999999993"/>
    <n v="2675.7000000000007"/>
    <x v="5"/>
    <x v="1"/>
  </r>
  <r>
    <s v="ORD00091"/>
    <s v="2024-06-17"/>
    <x v="2"/>
    <x v="3"/>
    <s v="Ludhiana"/>
    <x v="0"/>
    <x v="0"/>
    <x v="0"/>
    <s v="Credit Card"/>
    <n v="3"/>
    <n v="147123"/>
    <n v="102986.09999999999"/>
    <n v="44136.900000000009"/>
    <x v="3"/>
    <x v="0"/>
  </r>
  <r>
    <s v="ORD00092"/>
    <s v="2024-05-24"/>
    <x v="1"/>
    <x v="8"/>
    <s v="Panaji"/>
    <x v="3"/>
    <x v="11"/>
    <x v="0"/>
    <s v="UPI"/>
    <n v="3"/>
    <n v="60960"/>
    <n v="42672"/>
    <n v="18288"/>
    <x v="9"/>
    <x v="0"/>
  </r>
  <r>
    <s v="ORD00093"/>
    <s v="2024-09-23"/>
    <x v="2"/>
    <x v="11"/>
    <s v="Lucknow"/>
    <x v="2"/>
    <x v="12"/>
    <x v="1"/>
    <s v="Debit Card"/>
    <n v="2"/>
    <n v="65666"/>
    <n v="45966.2"/>
    <n v="19699.800000000003"/>
    <x v="10"/>
    <x v="0"/>
  </r>
  <r>
    <s v="ORD00094"/>
    <s v="2024-09-18"/>
    <x v="2"/>
    <x v="4"/>
    <s v="Gurgaon"/>
    <x v="2"/>
    <x v="12"/>
    <x v="2"/>
    <s v="UPI"/>
    <n v="9"/>
    <n v="378504"/>
    <n v="264952.8"/>
    <n v="113551.20000000001"/>
    <x v="10"/>
    <x v="0"/>
  </r>
  <r>
    <s v="ORD00095"/>
    <s v="2023-11-15"/>
    <x v="3"/>
    <x v="5"/>
    <s v="Kochi"/>
    <x v="0"/>
    <x v="0"/>
    <x v="2"/>
    <s v="Credit Card"/>
    <n v="4"/>
    <n v="162560"/>
    <n v="113792"/>
    <n v="48768"/>
    <x v="6"/>
    <x v="1"/>
  </r>
  <r>
    <s v="ORD00096"/>
    <s v="2024-11-21"/>
    <x v="2"/>
    <x v="4"/>
    <s v="Gurgaon"/>
    <x v="2"/>
    <x v="14"/>
    <x v="1"/>
    <s v="UPI"/>
    <n v="3"/>
    <n v="115191"/>
    <n v="80633.7"/>
    <n v="34557.300000000003"/>
    <x v="6"/>
    <x v="0"/>
  </r>
  <r>
    <s v="ORD00097"/>
    <s v="2023-11-18"/>
    <x v="1"/>
    <x v="8"/>
    <s v="Panaji"/>
    <x v="1"/>
    <x v="1"/>
    <x v="2"/>
    <s v="Credit Card"/>
    <n v="6"/>
    <n v="57066"/>
    <n v="39946.199999999997"/>
    <n v="17119.800000000003"/>
    <x v="6"/>
    <x v="1"/>
  </r>
  <r>
    <s v="ORD00098"/>
    <s v="2023-01-14"/>
    <x v="3"/>
    <x v="5"/>
    <s v="Kochi"/>
    <x v="3"/>
    <x v="9"/>
    <x v="2"/>
    <s v="Credit Card"/>
    <n v="10"/>
    <n v="63970"/>
    <n v="44779"/>
    <n v="19191"/>
    <x v="8"/>
    <x v="1"/>
  </r>
  <r>
    <s v="ORD00099"/>
    <s v="2024-10-25"/>
    <x v="3"/>
    <x v="10"/>
    <s v="Bangalore"/>
    <x v="2"/>
    <x v="3"/>
    <x v="1"/>
    <s v="Net Banking"/>
    <n v="3"/>
    <n v="66519"/>
    <n v="46563.299999999996"/>
    <n v="19955.700000000004"/>
    <x v="5"/>
    <x v="0"/>
  </r>
  <r>
    <s v="ORD00100"/>
    <s v="2024-07-26"/>
    <x v="0"/>
    <x v="13"/>
    <s v="Kolkata"/>
    <x v="3"/>
    <x v="6"/>
    <x v="1"/>
    <s v="Net Banking"/>
    <n v="9"/>
    <n v="370881"/>
    <n v="259616.69999999998"/>
    <n v="111264.30000000002"/>
    <x v="0"/>
    <x v="0"/>
  </r>
  <r>
    <s v="ORD00101"/>
    <s v="2024-04-10"/>
    <x v="0"/>
    <x v="0"/>
    <s v="Bhubaneswar"/>
    <x v="3"/>
    <x v="13"/>
    <x v="0"/>
    <s v="Credit Card"/>
    <n v="3"/>
    <n v="68181"/>
    <n v="47726.7"/>
    <n v="20454.300000000003"/>
    <x v="11"/>
    <x v="0"/>
  </r>
  <r>
    <s v="ORD00102"/>
    <s v="2023-08-24"/>
    <x v="3"/>
    <x v="6"/>
    <s v="Hyderabad"/>
    <x v="1"/>
    <x v="5"/>
    <x v="2"/>
    <s v="Cash"/>
    <n v="7"/>
    <n v="271530"/>
    <n v="190071"/>
    <n v="81459"/>
    <x v="4"/>
    <x v="1"/>
  </r>
  <r>
    <s v="ORD00103"/>
    <s v="2023-04-19"/>
    <x v="0"/>
    <x v="13"/>
    <s v="Kolkata"/>
    <x v="2"/>
    <x v="14"/>
    <x v="2"/>
    <s v="Net Banking"/>
    <n v="5"/>
    <n v="207760"/>
    <n v="145432"/>
    <n v="62328"/>
    <x v="11"/>
    <x v="1"/>
  </r>
  <r>
    <s v="ORD00104"/>
    <s v="2023-04-08"/>
    <x v="2"/>
    <x v="4"/>
    <s v="Gurgaon"/>
    <x v="2"/>
    <x v="3"/>
    <x v="2"/>
    <s v="UPI"/>
    <n v="4"/>
    <n v="72588"/>
    <n v="50811.6"/>
    <n v="21776.400000000001"/>
    <x v="11"/>
    <x v="1"/>
  </r>
  <r>
    <s v="ORD00105"/>
    <s v="2023-10-19"/>
    <x v="1"/>
    <x v="9"/>
    <s v="Pune"/>
    <x v="0"/>
    <x v="4"/>
    <x v="0"/>
    <s v="Credit Card"/>
    <n v="7"/>
    <n v="61075"/>
    <n v="42752.5"/>
    <n v="18322.5"/>
    <x v="5"/>
    <x v="1"/>
  </r>
  <r>
    <s v="ORD00106"/>
    <s v="2024-01-10"/>
    <x v="2"/>
    <x v="3"/>
    <s v="Ludhiana"/>
    <x v="3"/>
    <x v="11"/>
    <x v="1"/>
    <s v="Net Banking"/>
    <n v="10"/>
    <n v="257820"/>
    <n v="180474"/>
    <n v="77346"/>
    <x v="8"/>
    <x v="0"/>
  </r>
  <r>
    <s v="ORD00107"/>
    <s v="2024-09-18"/>
    <x v="2"/>
    <x v="2"/>
    <s v="New Delhi"/>
    <x v="3"/>
    <x v="11"/>
    <x v="2"/>
    <s v="Debit Card"/>
    <n v="2"/>
    <n v="65528"/>
    <n v="45869.599999999999"/>
    <n v="19658.400000000001"/>
    <x v="10"/>
    <x v="0"/>
  </r>
  <r>
    <s v="ORD00108"/>
    <s v="2024-11-21"/>
    <x v="1"/>
    <x v="1"/>
    <s v="Ahmedabad"/>
    <x v="1"/>
    <x v="7"/>
    <x v="0"/>
    <s v="Net Banking"/>
    <n v="6"/>
    <n v="194970"/>
    <n v="136479"/>
    <n v="58491"/>
    <x v="6"/>
    <x v="0"/>
  </r>
  <r>
    <s v="ORD00109"/>
    <s v="2023-07-02"/>
    <x v="1"/>
    <x v="9"/>
    <s v="Pune"/>
    <x v="0"/>
    <x v="2"/>
    <x v="1"/>
    <s v="Credit Card"/>
    <n v="10"/>
    <n v="121160"/>
    <n v="84812"/>
    <n v="36348"/>
    <x v="0"/>
    <x v="1"/>
  </r>
  <r>
    <s v="ORD00110"/>
    <s v="2024-06-20"/>
    <x v="2"/>
    <x v="11"/>
    <s v="Lucknow"/>
    <x v="0"/>
    <x v="0"/>
    <x v="2"/>
    <s v="Debit Card"/>
    <n v="5"/>
    <n v="18630"/>
    <n v="13041"/>
    <n v="5589"/>
    <x v="3"/>
    <x v="0"/>
  </r>
  <r>
    <s v="ORD00111"/>
    <s v="2023-06-24"/>
    <x v="3"/>
    <x v="5"/>
    <s v="Kochi"/>
    <x v="1"/>
    <x v="8"/>
    <x v="1"/>
    <s v="Cash"/>
    <n v="9"/>
    <n v="334800"/>
    <n v="234359.99999999997"/>
    <n v="100440.00000000003"/>
    <x v="3"/>
    <x v="1"/>
  </r>
  <r>
    <s v="ORD00112"/>
    <s v="2023-05-02"/>
    <x v="0"/>
    <x v="0"/>
    <s v="Bhubaneswar"/>
    <x v="2"/>
    <x v="14"/>
    <x v="1"/>
    <s v="Cash"/>
    <n v="5"/>
    <n v="92085"/>
    <n v="64459.499999999993"/>
    <n v="27625.500000000007"/>
    <x v="9"/>
    <x v="1"/>
  </r>
  <r>
    <s v="ORD00113"/>
    <s v="2023-05-04"/>
    <x v="3"/>
    <x v="6"/>
    <s v="Hyderabad"/>
    <x v="2"/>
    <x v="3"/>
    <x v="2"/>
    <s v="UPI"/>
    <n v="10"/>
    <n v="332380"/>
    <n v="232665.99999999997"/>
    <n v="99714.000000000029"/>
    <x v="9"/>
    <x v="1"/>
  </r>
  <r>
    <s v="ORD00114"/>
    <s v="2023-09-06"/>
    <x v="2"/>
    <x v="11"/>
    <s v="Lucknow"/>
    <x v="2"/>
    <x v="15"/>
    <x v="1"/>
    <s v="Net Banking"/>
    <n v="10"/>
    <n v="168540"/>
    <n v="117977.99999999999"/>
    <n v="50562.000000000015"/>
    <x v="10"/>
    <x v="1"/>
  </r>
  <r>
    <s v="ORD00115"/>
    <s v="2023-07-30"/>
    <x v="2"/>
    <x v="11"/>
    <s v="Lucknow"/>
    <x v="1"/>
    <x v="8"/>
    <x v="2"/>
    <s v="Debit Card"/>
    <n v="2"/>
    <n v="22632"/>
    <n v="15842.4"/>
    <n v="6789.6"/>
    <x v="0"/>
    <x v="1"/>
  </r>
  <r>
    <s v="ORD00116"/>
    <s v="2024-04-03"/>
    <x v="1"/>
    <x v="9"/>
    <s v="Pune"/>
    <x v="3"/>
    <x v="11"/>
    <x v="0"/>
    <s v="Debit Card"/>
    <n v="1"/>
    <n v="24573"/>
    <n v="17201.099999999999"/>
    <n v="7371.9000000000015"/>
    <x v="11"/>
    <x v="0"/>
  </r>
  <r>
    <s v="ORD00117"/>
    <s v="2024-08-22"/>
    <x v="1"/>
    <x v="9"/>
    <s v="Pune"/>
    <x v="1"/>
    <x v="7"/>
    <x v="1"/>
    <s v="Debit Card"/>
    <n v="1"/>
    <n v="8685"/>
    <n v="6079.5"/>
    <n v="2605.5"/>
    <x v="4"/>
    <x v="0"/>
  </r>
  <r>
    <s v="ORD00118"/>
    <s v="2023-05-11"/>
    <x v="0"/>
    <x v="13"/>
    <s v="Kolkata"/>
    <x v="0"/>
    <x v="10"/>
    <x v="2"/>
    <s v="Cash"/>
    <n v="7"/>
    <n v="344687"/>
    <n v="241280.9"/>
    <n v="103406.1"/>
    <x v="9"/>
    <x v="1"/>
  </r>
  <r>
    <s v="ORD00119"/>
    <s v="2024-07-22"/>
    <x v="1"/>
    <x v="9"/>
    <s v="Kolhapur"/>
    <x v="3"/>
    <x v="13"/>
    <x v="0"/>
    <s v="Debit Card"/>
    <n v="2"/>
    <n v="75488"/>
    <n v="52841.599999999999"/>
    <n v="22646.400000000001"/>
    <x v="0"/>
    <x v="0"/>
  </r>
  <r>
    <s v="ORD00120"/>
    <s v="2023-08-20"/>
    <x v="1"/>
    <x v="9"/>
    <s v="Kolhapur"/>
    <x v="1"/>
    <x v="5"/>
    <x v="0"/>
    <s v="Debit Card"/>
    <n v="2"/>
    <n v="58606"/>
    <n v="41024.199999999997"/>
    <n v="17581.800000000003"/>
    <x v="4"/>
    <x v="1"/>
  </r>
  <r>
    <s v="ORD00121"/>
    <s v="2023-11-19"/>
    <x v="1"/>
    <x v="1"/>
    <s v="Ahmedabad"/>
    <x v="1"/>
    <x v="1"/>
    <x v="0"/>
    <s v="Debit Card"/>
    <n v="9"/>
    <n v="405288"/>
    <n v="283701.59999999998"/>
    <n v="121586.40000000002"/>
    <x v="6"/>
    <x v="1"/>
  </r>
  <r>
    <s v="ORD00122"/>
    <s v="2023-04-27"/>
    <x v="2"/>
    <x v="2"/>
    <s v="New Delhi"/>
    <x v="2"/>
    <x v="15"/>
    <x v="0"/>
    <s v="Debit Card"/>
    <n v="4"/>
    <n v="38632"/>
    <n v="27042.399999999998"/>
    <n v="11589.600000000002"/>
    <x v="11"/>
    <x v="1"/>
  </r>
  <r>
    <s v="ORD00123"/>
    <s v="2023-10-19"/>
    <x v="0"/>
    <x v="12"/>
    <s v="Patna"/>
    <x v="3"/>
    <x v="9"/>
    <x v="1"/>
    <s v="Cash"/>
    <n v="10"/>
    <n v="423130"/>
    <n v="296191"/>
    <n v="126939"/>
    <x v="5"/>
    <x v="1"/>
  </r>
  <r>
    <s v="ORD00124"/>
    <s v="2023-10-05"/>
    <x v="2"/>
    <x v="4"/>
    <s v="Gurgaon"/>
    <x v="3"/>
    <x v="13"/>
    <x v="1"/>
    <s v="UPI"/>
    <n v="10"/>
    <n v="37100"/>
    <n v="25970"/>
    <n v="11130"/>
    <x v="5"/>
    <x v="1"/>
  </r>
  <r>
    <s v="ORD00125"/>
    <s v="2023-10-09"/>
    <x v="0"/>
    <x v="0"/>
    <s v="Bhubaneswar"/>
    <x v="1"/>
    <x v="7"/>
    <x v="2"/>
    <s v="UPI"/>
    <n v="2"/>
    <n v="39734"/>
    <n v="27813.8"/>
    <n v="11920.2"/>
    <x v="5"/>
    <x v="1"/>
  </r>
  <r>
    <s v="ORD00126"/>
    <s v="2024-11-14"/>
    <x v="0"/>
    <x v="13"/>
    <s v="Kolkata"/>
    <x v="3"/>
    <x v="6"/>
    <x v="1"/>
    <s v="Credit Card"/>
    <n v="4"/>
    <n v="118212"/>
    <n v="82748.399999999994"/>
    <n v="35463.600000000006"/>
    <x v="6"/>
    <x v="0"/>
  </r>
  <r>
    <s v="ORD00127"/>
    <s v="2023-12-23"/>
    <x v="2"/>
    <x v="2"/>
    <s v="New Delhi"/>
    <x v="1"/>
    <x v="1"/>
    <x v="0"/>
    <s v="Net Banking"/>
    <n v="5"/>
    <n v="141230"/>
    <n v="98861"/>
    <n v="42369"/>
    <x v="7"/>
    <x v="1"/>
  </r>
  <r>
    <s v="ORD00128"/>
    <s v="2024-04-19"/>
    <x v="1"/>
    <x v="8"/>
    <s v="Panaji"/>
    <x v="0"/>
    <x v="2"/>
    <x v="0"/>
    <s v="Net Banking"/>
    <n v="10"/>
    <n v="268770"/>
    <n v="188139"/>
    <n v="80631"/>
    <x v="11"/>
    <x v="0"/>
  </r>
  <r>
    <s v="ORD00129"/>
    <s v="2024-08-11"/>
    <x v="1"/>
    <x v="9"/>
    <s v="Pune"/>
    <x v="1"/>
    <x v="8"/>
    <x v="2"/>
    <s v="Credit Card"/>
    <n v="2"/>
    <n v="38336"/>
    <n v="26835.199999999997"/>
    <n v="11500.800000000003"/>
    <x v="4"/>
    <x v="0"/>
  </r>
  <r>
    <s v="ORD00130"/>
    <s v="2024-06-16"/>
    <x v="1"/>
    <x v="1"/>
    <s v="Ahmedabad"/>
    <x v="1"/>
    <x v="1"/>
    <x v="1"/>
    <s v="Net Banking"/>
    <n v="3"/>
    <n v="6636"/>
    <n v="4645.2"/>
    <n v="1990.8000000000002"/>
    <x v="3"/>
    <x v="0"/>
  </r>
  <r>
    <s v="ORD00131"/>
    <s v="2024-07-10"/>
    <x v="2"/>
    <x v="4"/>
    <s v="Gurgaon"/>
    <x v="1"/>
    <x v="5"/>
    <x v="1"/>
    <s v="Debit Card"/>
    <n v="5"/>
    <n v="232440"/>
    <n v="162708"/>
    <n v="69732"/>
    <x v="0"/>
    <x v="0"/>
  </r>
  <r>
    <s v="ORD00132"/>
    <s v="2024-04-05"/>
    <x v="0"/>
    <x v="14"/>
    <s v="Guwahati"/>
    <x v="3"/>
    <x v="11"/>
    <x v="1"/>
    <s v="Net Banking"/>
    <n v="10"/>
    <n v="258680"/>
    <n v="181076"/>
    <n v="77604"/>
    <x v="11"/>
    <x v="0"/>
  </r>
  <r>
    <s v="ORD00133"/>
    <s v="2024-01-16"/>
    <x v="2"/>
    <x v="11"/>
    <s v="Lucknow"/>
    <x v="3"/>
    <x v="11"/>
    <x v="2"/>
    <s v="Net Banking"/>
    <n v="6"/>
    <n v="247128"/>
    <n v="172989.59999999998"/>
    <n v="74138.400000000023"/>
    <x v="8"/>
    <x v="0"/>
  </r>
  <r>
    <s v="ORD00134"/>
    <s v="2024-07-10"/>
    <x v="2"/>
    <x v="11"/>
    <s v="Lucknow"/>
    <x v="2"/>
    <x v="14"/>
    <x v="0"/>
    <s v="Debit Card"/>
    <n v="4"/>
    <n v="30384"/>
    <n v="21268.799999999999"/>
    <n v="9115.2000000000007"/>
    <x v="0"/>
    <x v="0"/>
  </r>
  <r>
    <s v="ORD00135"/>
    <s v="2024-10-09"/>
    <x v="1"/>
    <x v="1"/>
    <s v="Ahmedabad"/>
    <x v="1"/>
    <x v="5"/>
    <x v="0"/>
    <s v="Credit Card"/>
    <n v="8"/>
    <n v="186120"/>
    <n v="130283.99999999999"/>
    <n v="55836.000000000015"/>
    <x v="5"/>
    <x v="0"/>
  </r>
  <r>
    <s v="ORD00136"/>
    <s v="2024-09-15"/>
    <x v="3"/>
    <x v="5"/>
    <s v="Kochi"/>
    <x v="1"/>
    <x v="5"/>
    <x v="2"/>
    <s v="Cash"/>
    <n v="6"/>
    <n v="19038"/>
    <n v="13326.599999999999"/>
    <n v="5711.4000000000015"/>
    <x v="10"/>
    <x v="0"/>
  </r>
  <r>
    <s v="ORD00137"/>
    <s v="2024-05-26"/>
    <x v="3"/>
    <x v="7"/>
    <s v="Chennai"/>
    <x v="0"/>
    <x v="4"/>
    <x v="0"/>
    <s v="Debit Card"/>
    <n v="1"/>
    <n v="37698"/>
    <n v="26388.6"/>
    <n v="11309.400000000001"/>
    <x v="9"/>
    <x v="0"/>
  </r>
  <r>
    <s v="ORD00138"/>
    <s v="2023-07-28"/>
    <x v="1"/>
    <x v="9"/>
    <s v="Kolhapur"/>
    <x v="3"/>
    <x v="6"/>
    <x v="2"/>
    <s v="Net Banking"/>
    <n v="5"/>
    <n v="85815"/>
    <n v="60070.499999999993"/>
    <n v="25744.500000000007"/>
    <x v="0"/>
    <x v="1"/>
  </r>
  <r>
    <s v="ORD00139"/>
    <s v="2024-06-11"/>
    <x v="1"/>
    <x v="9"/>
    <s v="Kolhapur"/>
    <x v="3"/>
    <x v="9"/>
    <x v="1"/>
    <s v="Net Banking"/>
    <n v="2"/>
    <n v="93650"/>
    <n v="65555"/>
    <n v="28095"/>
    <x v="3"/>
    <x v="0"/>
  </r>
  <r>
    <s v="ORD00140"/>
    <s v="2024-10-19"/>
    <x v="0"/>
    <x v="12"/>
    <s v="Patna"/>
    <x v="0"/>
    <x v="4"/>
    <x v="2"/>
    <s v="Net Banking"/>
    <n v="8"/>
    <n v="137616"/>
    <n v="96331.199999999997"/>
    <n v="41284.800000000003"/>
    <x v="5"/>
    <x v="0"/>
  </r>
  <r>
    <s v="ORD00141"/>
    <s v="2023-01-14"/>
    <x v="3"/>
    <x v="10"/>
    <s v="Bangalore"/>
    <x v="0"/>
    <x v="0"/>
    <x v="1"/>
    <s v="Net Banking"/>
    <n v="10"/>
    <n v="391740"/>
    <n v="274218"/>
    <n v="117522"/>
    <x v="8"/>
    <x v="1"/>
  </r>
  <r>
    <s v="ORD00142"/>
    <s v="2024-01-05"/>
    <x v="0"/>
    <x v="13"/>
    <s v="Kolkata"/>
    <x v="0"/>
    <x v="10"/>
    <x v="2"/>
    <s v="Cash"/>
    <n v="4"/>
    <n v="11956"/>
    <n v="8369.1999999999989"/>
    <n v="3586.8000000000011"/>
    <x v="8"/>
    <x v="0"/>
  </r>
  <r>
    <s v="ORD00143"/>
    <s v="2024-01-24"/>
    <x v="1"/>
    <x v="8"/>
    <s v="Panaji"/>
    <x v="0"/>
    <x v="4"/>
    <x v="0"/>
    <s v="UPI"/>
    <n v="9"/>
    <n v="150714"/>
    <n v="105499.79999999999"/>
    <n v="45214.200000000012"/>
    <x v="8"/>
    <x v="0"/>
  </r>
  <r>
    <s v="ORD00144"/>
    <s v="2024-03-18"/>
    <x v="1"/>
    <x v="9"/>
    <s v="Kolhapur"/>
    <x v="3"/>
    <x v="11"/>
    <x v="2"/>
    <s v="Net Banking"/>
    <n v="5"/>
    <n v="75505"/>
    <n v="52853.5"/>
    <n v="22651.5"/>
    <x v="2"/>
    <x v="0"/>
  </r>
  <r>
    <s v="ORD00145"/>
    <s v="2023-12-25"/>
    <x v="0"/>
    <x v="0"/>
    <s v="Bhubaneswar"/>
    <x v="2"/>
    <x v="3"/>
    <x v="2"/>
    <s v="Net Banking"/>
    <n v="10"/>
    <n v="421030"/>
    <n v="294721"/>
    <n v="126309"/>
    <x v="7"/>
    <x v="1"/>
  </r>
  <r>
    <s v="ORD00146"/>
    <s v="2024-09-26"/>
    <x v="1"/>
    <x v="8"/>
    <s v="Panaji"/>
    <x v="0"/>
    <x v="4"/>
    <x v="1"/>
    <s v="Cash"/>
    <n v="5"/>
    <n v="211460"/>
    <n v="148022"/>
    <n v="63438"/>
    <x v="10"/>
    <x v="0"/>
  </r>
  <r>
    <s v="ORD00147"/>
    <s v="2023-02-10"/>
    <x v="3"/>
    <x v="10"/>
    <s v="Bangalore"/>
    <x v="1"/>
    <x v="8"/>
    <x v="2"/>
    <s v="Debit Card"/>
    <n v="10"/>
    <n v="178950"/>
    <n v="125264.99999999999"/>
    <n v="53685.000000000015"/>
    <x v="1"/>
    <x v="1"/>
  </r>
  <r>
    <s v="ORD00148"/>
    <s v="2024-06-26"/>
    <x v="3"/>
    <x v="7"/>
    <s v="Chennai"/>
    <x v="1"/>
    <x v="7"/>
    <x v="1"/>
    <s v="Net Banking"/>
    <n v="6"/>
    <n v="246600"/>
    <n v="172620"/>
    <n v="73980"/>
    <x v="3"/>
    <x v="0"/>
  </r>
  <r>
    <s v="ORD00149"/>
    <s v="2023-01-14"/>
    <x v="0"/>
    <x v="13"/>
    <s v="Kolkata"/>
    <x v="3"/>
    <x v="9"/>
    <x v="2"/>
    <s v="Debit Card"/>
    <n v="7"/>
    <n v="173537"/>
    <n v="121475.9"/>
    <n v="52061.100000000006"/>
    <x v="8"/>
    <x v="1"/>
  </r>
  <r>
    <s v="ORD00150"/>
    <s v="2023-12-26"/>
    <x v="3"/>
    <x v="5"/>
    <s v="Kochi"/>
    <x v="2"/>
    <x v="12"/>
    <x v="1"/>
    <s v="Debit Card"/>
    <n v="7"/>
    <n v="8988"/>
    <n v="6291.5999999999995"/>
    <n v="2696.4000000000005"/>
    <x v="7"/>
    <x v="1"/>
  </r>
  <r>
    <s v="ORD00151"/>
    <s v="2023-06-16"/>
    <x v="3"/>
    <x v="10"/>
    <s v="Bangalore"/>
    <x v="2"/>
    <x v="12"/>
    <x v="2"/>
    <s v="UPI"/>
    <n v="6"/>
    <n v="45792"/>
    <n v="32054.399999999998"/>
    <n v="13737.600000000002"/>
    <x v="3"/>
    <x v="1"/>
  </r>
  <r>
    <s v="ORD00152"/>
    <s v="2024-08-26"/>
    <x v="2"/>
    <x v="4"/>
    <s v="Gurgaon"/>
    <x v="0"/>
    <x v="4"/>
    <x v="2"/>
    <s v="UPI"/>
    <n v="1"/>
    <n v="20273"/>
    <n v="14191.099999999999"/>
    <n v="6081.9000000000015"/>
    <x v="4"/>
    <x v="0"/>
  </r>
  <r>
    <s v="ORD00153"/>
    <s v="2023-02-01"/>
    <x v="2"/>
    <x v="2"/>
    <s v="New Delhi"/>
    <x v="1"/>
    <x v="1"/>
    <x v="2"/>
    <s v="Credit Card"/>
    <n v="9"/>
    <n v="323739"/>
    <n v="226617.3"/>
    <n v="97121.700000000012"/>
    <x v="1"/>
    <x v="1"/>
  </r>
  <r>
    <s v="ORD00154"/>
    <s v="2023-04-03"/>
    <x v="3"/>
    <x v="6"/>
    <s v="Hyderabad"/>
    <x v="2"/>
    <x v="12"/>
    <x v="0"/>
    <s v="Net Banking"/>
    <n v="10"/>
    <n v="249850"/>
    <n v="174895"/>
    <n v="74955"/>
    <x v="11"/>
    <x v="1"/>
  </r>
  <r>
    <s v="ORD00155"/>
    <s v="2023-09-21"/>
    <x v="0"/>
    <x v="14"/>
    <s v="Guwahati"/>
    <x v="2"/>
    <x v="15"/>
    <x v="2"/>
    <s v="Cash"/>
    <n v="8"/>
    <n v="268000"/>
    <n v="187600"/>
    <n v="80400"/>
    <x v="10"/>
    <x v="1"/>
  </r>
  <r>
    <s v="ORD00156"/>
    <s v="2023-11-07"/>
    <x v="0"/>
    <x v="14"/>
    <s v="Guwahati"/>
    <x v="0"/>
    <x v="10"/>
    <x v="1"/>
    <s v="UPI"/>
    <n v="4"/>
    <n v="165888"/>
    <n v="116121.59999999999"/>
    <n v="49766.400000000009"/>
    <x v="6"/>
    <x v="1"/>
  </r>
  <r>
    <s v="ORD00157"/>
    <s v="2023-09-24"/>
    <x v="3"/>
    <x v="7"/>
    <s v="Chennai"/>
    <x v="1"/>
    <x v="1"/>
    <x v="0"/>
    <s v="Net Banking"/>
    <n v="3"/>
    <n v="133803"/>
    <n v="93662.099999999991"/>
    <n v="40140.900000000009"/>
    <x v="10"/>
    <x v="1"/>
  </r>
  <r>
    <s v="ORD00158"/>
    <s v="2024-06-07"/>
    <x v="1"/>
    <x v="9"/>
    <s v="Kolhapur"/>
    <x v="3"/>
    <x v="11"/>
    <x v="0"/>
    <s v="Debit Card"/>
    <n v="1"/>
    <n v="29400"/>
    <n v="20580"/>
    <n v="8820"/>
    <x v="3"/>
    <x v="0"/>
  </r>
  <r>
    <s v="ORD00159"/>
    <s v="2024-06-10"/>
    <x v="3"/>
    <x v="5"/>
    <s v="Kochi"/>
    <x v="3"/>
    <x v="9"/>
    <x v="1"/>
    <s v="Net Banking"/>
    <n v="1"/>
    <n v="45674"/>
    <n v="31971.8"/>
    <n v="13702.2"/>
    <x v="3"/>
    <x v="0"/>
  </r>
  <r>
    <s v="ORD00160"/>
    <s v="2024-09-19"/>
    <x v="0"/>
    <x v="13"/>
    <s v="Kolkata"/>
    <x v="0"/>
    <x v="4"/>
    <x v="2"/>
    <s v="Net Banking"/>
    <n v="3"/>
    <n v="133326"/>
    <n v="93328.2"/>
    <n v="39997.800000000003"/>
    <x v="10"/>
    <x v="0"/>
  </r>
  <r>
    <s v="ORD00161"/>
    <s v="2024-10-30"/>
    <x v="1"/>
    <x v="9"/>
    <s v="Pune"/>
    <x v="2"/>
    <x v="15"/>
    <x v="0"/>
    <s v="Net Banking"/>
    <n v="5"/>
    <n v="97220"/>
    <n v="68054"/>
    <n v="29166"/>
    <x v="5"/>
    <x v="0"/>
  </r>
  <r>
    <s v="ORD00162"/>
    <s v="2024-04-07"/>
    <x v="1"/>
    <x v="9"/>
    <s v="Pune"/>
    <x v="0"/>
    <x v="2"/>
    <x v="2"/>
    <s v="Credit Card"/>
    <n v="6"/>
    <n v="36036"/>
    <n v="25225.199999999997"/>
    <n v="10810.800000000003"/>
    <x v="11"/>
    <x v="0"/>
  </r>
  <r>
    <s v="ORD00163"/>
    <s v="2024-05-24"/>
    <x v="2"/>
    <x v="3"/>
    <s v="Ludhiana"/>
    <x v="3"/>
    <x v="9"/>
    <x v="2"/>
    <s v="Net Banking"/>
    <n v="5"/>
    <n v="190565"/>
    <n v="133395.5"/>
    <n v="57169.5"/>
    <x v="9"/>
    <x v="0"/>
  </r>
  <r>
    <s v="ORD00164"/>
    <s v="2024-09-03"/>
    <x v="3"/>
    <x v="10"/>
    <s v="Bangalore"/>
    <x v="2"/>
    <x v="12"/>
    <x v="1"/>
    <s v="Credit Card"/>
    <n v="2"/>
    <n v="36384"/>
    <n v="25468.799999999999"/>
    <n v="10915.2"/>
    <x v="10"/>
    <x v="0"/>
  </r>
  <r>
    <s v="ORD00165"/>
    <s v="2023-09-23"/>
    <x v="0"/>
    <x v="12"/>
    <s v="Patna"/>
    <x v="0"/>
    <x v="2"/>
    <x v="0"/>
    <s v="Credit Card"/>
    <n v="8"/>
    <n v="292736"/>
    <n v="204915.19999999998"/>
    <n v="87820.800000000017"/>
    <x v="10"/>
    <x v="1"/>
  </r>
  <r>
    <s v="ORD00166"/>
    <s v="2023-09-07"/>
    <x v="3"/>
    <x v="10"/>
    <s v="Bangalore"/>
    <x v="1"/>
    <x v="5"/>
    <x v="1"/>
    <s v="Cash"/>
    <n v="4"/>
    <n v="78348"/>
    <n v="54843.6"/>
    <n v="23504.400000000001"/>
    <x v="10"/>
    <x v="1"/>
  </r>
  <r>
    <s v="ORD00167"/>
    <s v="2024-10-09"/>
    <x v="2"/>
    <x v="3"/>
    <s v="Ludhiana"/>
    <x v="2"/>
    <x v="14"/>
    <x v="1"/>
    <s v="Net Banking"/>
    <n v="7"/>
    <n v="30254"/>
    <n v="21177.8"/>
    <n v="9076.2000000000007"/>
    <x v="5"/>
    <x v="0"/>
  </r>
  <r>
    <s v="ORD00168"/>
    <s v="2023-01-13"/>
    <x v="3"/>
    <x v="6"/>
    <s v="Hyderabad"/>
    <x v="2"/>
    <x v="15"/>
    <x v="0"/>
    <s v="Credit Card"/>
    <n v="1"/>
    <n v="35478"/>
    <n v="24834.6"/>
    <n v="10643.400000000001"/>
    <x v="8"/>
    <x v="1"/>
  </r>
  <r>
    <s v="ORD00169"/>
    <s v="2024-02-27"/>
    <x v="1"/>
    <x v="9"/>
    <s v="Pune"/>
    <x v="2"/>
    <x v="14"/>
    <x v="1"/>
    <s v="Cash"/>
    <n v="1"/>
    <n v="24331"/>
    <n v="17031.7"/>
    <n v="7299.2999999999993"/>
    <x v="1"/>
    <x v="0"/>
  </r>
  <r>
    <s v="ORD00170"/>
    <s v="2023-12-07"/>
    <x v="0"/>
    <x v="13"/>
    <s v="Kolkata"/>
    <x v="2"/>
    <x v="12"/>
    <x v="2"/>
    <s v="UPI"/>
    <n v="5"/>
    <n v="154780"/>
    <n v="108346"/>
    <n v="46434"/>
    <x v="7"/>
    <x v="1"/>
  </r>
  <r>
    <s v="ORD00171"/>
    <s v="2023-01-22"/>
    <x v="1"/>
    <x v="1"/>
    <s v="Ahmedabad"/>
    <x v="3"/>
    <x v="9"/>
    <x v="2"/>
    <s v="Net Banking"/>
    <n v="2"/>
    <n v="18622"/>
    <n v="13035.4"/>
    <n v="5586.6"/>
    <x v="8"/>
    <x v="1"/>
  </r>
  <r>
    <s v="ORD00172"/>
    <s v="2024-01-26"/>
    <x v="3"/>
    <x v="7"/>
    <s v="Chennai"/>
    <x v="0"/>
    <x v="0"/>
    <x v="1"/>
    <s v="Cash"/>
    <n v="10"/>
    <n v="344290"/>
    <n v="241002.99999999997"/>
    <n v="103287.00000000003"/>
    <x v="8"/>
    <x v="0"/>
  </r>
  <r>
    <s v="ORD00173"/>
    <s v="2024-03-21"/>
    <x v="2"/>
    <x v="11"/>
    <s v="Lucknow"/>
    <x v="1"/>
    <x v="5"/>
    <x v="1"/>
    <s v="Credit Card"/>
    <n v="6"/>
    <n v="114264"/>
    <n v="79984.799999999988"/>
    <n v="34279.200000000012"/>
    <x v="2"/>
    <x v="0"/>
  </r>
  <r>
    <s v="ORD00174"/>
    <s v="2024-03-24"/>
    <x v="1"/>
    <x v="1"/>
    <s v="Ahmedabad"/>
    <x v="1"/>
    <x v="1"/>
    <x v="0"/>
    <s v="Cash"/>
    <n v="8"/>
    <n v="126608"/>
    <n v="88625.599999999991"/>
    <n v="37982.400000000009"/>
    <x v="2"/>
    <x v="0"/>
  </r>
  <r>
    <s v="ORD00175"/>
    <s v="2024-08-13"/>
    <x v="2"/>
    <x v="4"/>
    <s v="Gurgaon"/>
    <x v="1"/>
    <x v="8"/>
    <x v="2"/>
    <s v="UPI"/>
    <n v="9"/>
    <n v="206892"/>
    <n v="144824.4"/>
    <n v="62067.600000000006"/>
    <x v="4"/>
    <x v="0"/>
  </r>
  <r>
    <s v="ORD00176"/>
    <s v="2023-11-28"/>
    <x v="3"/>
    <x v="7"/>
    <s v="Chennai"/>
    <x v="3"/>
    <x v="9"/>
    <x v="1"/>
    <s v="Cash"/>
    <n v="10"/>
    <n v="238560"/>
    <n v="166992"/>
    <n v="71568"/>
    <x v="6"/>
    <x v="1"/>
  </r>
  <r>
    <s v="ORD00177"/>
    <s v="2024-05-19"/>
    <x v="2"/>
    <x v="11"/>
    <s v="Lucknow"/>
    <x v="1"/>
    <x v="1"/>
    <x v="1"/>
    <s v="UPI"/>
    <n v="9"/>
    <n v="419112"/>
    <n v="293378.39999999997"/>
    <n v="125733.60000000003"/>
    <x v="9"/>
    <x v="0"/>
  </r>
  <r>
    <s v="ORD00178"/>
    <s v="2023-12-27"/>
    <x v="3"/>
    <x v="6"/>
    <s v="Hyderabad"/>
    <x v="0"/>
    <x v="10"/>
    <x v="1"/>
    <s v="UPI"/>
    <n v="1"/>
    <n v="13920"/>
    <n v="9744"/>
    <n v="4176"/>
    <x v="7"/>
    <x v="1"/>
  </r>
  <r>
    <s v="ORD00179"/>
    <s v="2024-01-12"/>
    <x v="3"/>
    <x v="5"/>
    <s v="Kochi"/>
    <x v="2"/>
    <x v="15"/>
    <x v="2"/>
    <s v="Credit Card"/>
    <n v="10"/>
    <n v="299750"/>
    <n v="209825"/>
    <n v="89925"/>
    <x v="8"/>
    <x v="0"/>
  </r>
  <r>
    <s v="ORD00180"/>
    <s v="2024-01-11"/>
    <x v="2"/>
    <x v="11"/>
    <s v="Lucknow"/>
    <x v="0"/>
    <x v="10"/>
    <x v="0"/>
    <s v="Credit Card"/>
    <n v="1"/>
    <n v="19500"/>
    <n v="13650"/>
    <n v="5850"/>
    <x v="8"/>
    <x v="0"/>
  </r>
  <r>
    <s v="ORD00181"/>
    <s v="2024-10-19"/>
    <x v="1"/>
    <x v="1"/>
    <s v="Ahmedabad"/>
    <x v="1"/>
    <x v="5"/>
    <x v="2"/>
    <s v="Net Banking"/>
    <n v="6"/>
    <n v="154716"/>
    <n v="108301.2"/>
    <n v="46414.8"/>
    <x v="5"/>
    <x v="0"/>
  </r>
  <r>
    <s v="ORD00182"/>
    <s v="2023-05-31"/>
    <x v="0"/>
    <x v="12"/>
    <s v="Patna"/>
    <x v="1"/>
    <x v="8"/>
    <x v="1"/>
    <s v="Cash"/>
    <n v="5"/>
    <n v="13555"/>
    <n v="9488.5"/>
    <n v="4066.5"/>
    <x v="9"/>
    <x v="1"/>
  </r>
  <r>
    <s v="ORD00183"/>
    <s v="2023-02-28"/>
    <x v="1"/>
    <x v="1"/>
    <s v="Ahmedabad"/>
    <x v="2"/>
    <x v="3"/>
    <x v="1"/>
    <s v="Net Banking"/>
    <n v="9"/>
    <n v="295425"/>
    <n v="206797.5"/>
    <n v="88627.5"/>
    <x v="1"/>
    <x v="1"/>
  </r>
  <r>
    <s v="ORD00184"/>
    <s v="2023-04-11"/>
    <x v="3"/>
    <x v="7"/>
    <s v="Chennai"/>
    <x v="0"/>
    <x v="4"/>
    <x v="0"/>
    <s v="Debit Card"/>
    <n v="6"/>
    <n v="58992"/>
    <n v="41294.399999999994"/>
    <n v="17697.600000000006"/>
    <x v="11"/>
    <x v="1"/>
  </r>
  <r>
    <s v="ORD00185"/>
    <s v="2023-10-17"/>
    <x v="0"/>
    <x v="13"/>
    <s v="Kolkata"/>
    <x v="1"/>
    <x v="1"/>
    <x v="2"/>
    <s v="UPI"/>
    <n v="5"/>
    <n v="119125"/>
    <n v="83387.5"/>
    <n v="35737.5"/>
    <x v="5"/>
    <x v="1"/>
  </r>
  <r>
    <s v="ORD00186"/>
    <s v="2023-03-25"/>
    <x v="1"/>
    <x v="1"/>
    <s v="Ahmedabad"/>
    <x v="0"/>
    <x v="2"/>
    <x v="2"/>
    <s v="UPI"/>
    <n v="9"/>
    <n v="417825"/>
    <n v="292477.5"/>
    <n v="125347.5"/>
    <x v="2"/>
    <x v="1"/>
  </r>
  <r>
    <s v="ORD00187"/>
    <s v="2023-07-02"/>
    <x v="0"/>
    <x v="13"/>
    <s v="Kolkata"/>
    <x v="2"/>
    <x v="3"/>
    <x v="0"/>
    <s v="Debit Card"/>
    <n v="3"/>
    <n v="81402"/>
    <n v="56981.399999999994"/>
    <n v="24420.600000000006"/>
    <x v="0"/>
    <x v="1"/>
  </r>
  <r>
    <s v="ORD00188"/>
    <s v="2024-02-29"/>
    <x v="3"/>
    <x v="6"/>
    <s v="Hyderabad"/>
    <x v="1"/>
    <x v="8"/>
    <x v="2"/>
    <s v="Net Banking"/>
    <n v="8"/>
    <n v="195200"/>
    <n v="136640"/>
    <n v="58560"/>
    <x v="1"/>
    <x v="0"/>
  </r>
  <r>
    <s v="ORD00189"/>
    <s v="2024-07-16"/>
    <x v="3"/>
    <x v="7"/>
    <s v="Chennai"/>
    <x v="1"/>
    <x v="5"/>
    <x v="2"/>
    <s v="Debit Card"/>
    <n v="6"/>
    <n v="152334"/>
    <n v="106633.79999999999"/>
    <n v="45700.200000000012"/>
    <x v="0"/>
    <x v="0"/>
  </r>
  <r>
    <s v="ORD00190"/>
    <s v="2023-09-18"/>
    <x v="0"/>
    <x v="0"/>
    <s v="Bhubaneswar"/>
    <x v="1"/>
    <x v="7"/>
    <x v="1"/>
    <s v="Cash"/>
    <n v="2"/>
    <n v="90970"/>
    <n v="63678.999999999993"/>
    <n v="27291.000000000007"/>
    <x v="10"/>
    <x v="1"/>
  </r>
  <r>
    <s v="ORD00191"/>
    <s v="2023-04-19"/>
    <x v="0"/>
    <x v="14"/>
    <s v="Guwahati"/>
    <x v="1"/>
    <x v="5"/>
    <x v="2"/>
    <s v="Cash"/>
    <n v="2"/>
    <n v="7220"/>
    <n v="5054"/>
    <n v="2166"/>
    <x v="11"/>
    <x v="1"/>
  </r>
  <r>
    <s v="ORD00192"/>
    <s v="2023-04-04"/>
    <x v="0"/>
    <x v="14"/>
    <s v="Guwahati"/>
    <x v="2"/>
    <x v="3"/>
    <x v="1"/>
    <s v="UPI"/>
    <n v="10"/>
    <n v="95770"/>
    <n v="67039"/>
    <n v="28731"/>
    <x v="11"/>
    <x v="1"/>
  </r>
  <r>
    <s v="ORD00193"/>
    <s v="2024-01-26"/>
    <x v="0"/>
    <x v="12"/>
    <s v="Patna"/>
    <x v="2"/>
    <x v="15"/>
    <x v="0"/>
    <s v="Net Banking"/>
    <n v="7"/>
    <n v="339192"/>
    <n v="237434.4"/>
    <n v="101757.6"/>
    <x v="8"/>
    <x v="0"/>
  </r>
  <r>
    <s v="ORD00194"/>
    <s v="2023-05-27"/>
    <x v="0"/>
    <x v="12"/>
    <s v="Patna"/>
    <x v="0"/>
    <x v="2"/>
    <x v="2"/>
    <s v="Debit Card"/>
    <n v="3"/>
    <n v="61035"/>
    <n v="42724.5"/>
    <n v="18310.5"/>
    <x v="9"/>
    <x v="1"/>
  </r>
  <r>
    <s v="ORD00195"/>
    <s v="2023-04-19"/>
    <x v="3"/>
    <x v="6"/>
    <s v="Hyderabad"/>
    <x v="0"/>
    <x v="4"/>
    <x v="0"/>
    <s v="UPI"/>
    <n v="9"/>
    <n v="433602"/>
    <n v="303521.39999999997"/>
    <n v="130080.60000000003"/>
    <x v="11"/>
    <x v="1"/>
  </r>
  <r>
    <s v="ORD00196"/>
    <s v="2024-10-13"/>
    <x v="1"/>
    <x v="9"/>
    <s v="Kolhapur"/>
    <x v="1"/>
    <x v="1"/>
    <x v="0"/>
    <s v="Debit Card"/>
    <n v="9"/>
    <n v="180882"/>
    <n v="126617.4"/>
    <n v="54264.600000000006"/>
    <x v="5"/>
    <x v="0"/>
  </r>
  <r>
    <s v="ORD00197"/>
    <s v="2024-04-19"/>
    <x v="3"/>
    <x v="6"/>
    <s v="Hyderabad"/>
    <x v="0"/>
    <x v="10"/>
    <x v="1"/>
    <s v="Cash"/>
    <n v="4"/>
    <n v="12296"/>
    <n v="8607.1999999999989"/>
    <n v="3688.8000000000011"/>
    <x v="11"/>
    <x v="0"/>
  </r>
  <r>
    <s v="ORD00198"/>
    <s v="2023-06-16"/>
    <x v="2"/>
    <x v="4"/>
    <s v="Gurgaon"/>
    <x v="2"/>
    <x v="3"/>
    <x v="2"/>
    <s v="Debit Card"/>
    <n v="10"/>
    <n v="75740"/>
    <n v="53018"/>
    <n v="22722"/>
    <x v="3"/>
    <x v="1"/>
  </r>
  <r>
    <s v="ORD00199"/>
    <s v="2024-08-25"/>
    <x v="3"/>
    <x v="7"/>
    <s v="Chennai"/>
    <x v="1"/>
    <x v="7"/>
    <x v="1"/>
    <s v="Net Banking"/>
    <n v="4"/>
    <n v="163968"/>
    <n v="114777.59999999999"/>
    <n v="49190.400000000009"/>
    <x v="4"/>
    <x v="0"/>
  </r>
  <r>
    <s v="ORD00200"/>
    <s v="2023-11-29"/>
    <x v="0"/>
    <x v="13"/>
    <s v="Kolkata"/>
    <x v="2"/>
    <x v="15"/>
    <x v="1"/>
    <s v="Credit Card"/>
    <n v="1"/>
    <n v="48842"/>
    <n v="34189.4"/>
    <n v="14652.599999999999"/>
    <x v="6"/>
    <x v="1"/>
  </r>
  <r>
    <s v="ORD00201"/>
    <s v="2024-11-17"/>
    <x v="1"/>
    <x v="1"/>
    <s v="Ahmedabad"/>
    <x v="2"/>
    <x v="3"/>
    <x v="0"/>
    <s v="Credit Card"/>
    <n v="6"/>
    <n v="16590"/>
    <n v="11613"/>
    <n v="4977"/>
    <x v="6"/>
    <x v="0"/>
  </r>
  <r>
    <s v="ORD00202"/>
    <s v="2024-03-28"/>
    <x v="3"/>
    <x v="7"/>
    <s v="Chennai"/>
    <x v="1"/>
    <x v="8"/>
    <x v="0"/>
    <s v="Credit Card"/>
    <n v="4"/>
    <n v="24596"/>
    <n v="17217.199999999997"/>
    <n v="7378.8000000000029"/>
    <x v="2"/>
    <x v="0"/>
  </r>
  <r>
    <s v="ORD00203"/>
    <s v="2023-09-19"/>
    <x v="2"/>
    <x v="4"/>
    <s v="Gurgaon"/>
    <x v="2"/>
    <x v="12"/>
    <x v="1"/>
    <s v="Debit Card"/>
    <n v="5"/>
    <n v="144915"/>
    <n v="101440.5"/>
    <n v="43474.5"/>
    <x v="10"/>
    <x v="1"/>
  </r>
  <r>
    <s v="ORD00204"/>
    <s v="2023-03-22"/>
    <x v="2"/>
    <x v="3"/>
    <s v="Ludhiana"/>
    <x v="0"/>
    <x v="2"/>
    <x v="2"/>
    <s v="Net Banking"/>
    <n v="3"/>
    <n v="147648"/>
    <n v="103353.59999999999"/>
    <n v="44294.400000000009"/>
    <x v="2"/>
    <x v="1"/>
  </r>
  <r>
    <s v="ORD00205"/>
    <s v="2024-11-22"/>
    <x v="3"/>
    <x v="10"/>
    <s v="Bangalore"/>
    <x v="2"/>
    <x v="15"/>
    <x v="0"/>
    <s v="Credit Card"/>
    <n v="4"/>
    <n v="58660"/>
    <n v="41062"/>
    <n v="17598"/>
    <x v="6"/>
    <x v="0"/>
  </r>
  <r>
    <s v="ORD00206"/>
    <s v="2023-07-13"/>
    <x v="2"/>
    <x v="11"/>
    <s v="Lucknow"/>
    <x v="1"/>
    <x v="8"/>
    <x v="1"/>
    <s v="Credit Card"/>
    <n v="4"/>
    <n v="142200"/>
    <n v="99540"/>
    <n v="42660"/>
    <x v="0"/>
    <x v="1"/>
  </r>
  <r>
    <s v="ORD00207"/>
    <s v="2024-07-22"/>
    <x v="0"/>
    <x v="14"/>
    <s v="Guwahati"/>
    <x v="3"/>
    <x v="13"/>
    <x v="1"/>
    <s v="UPI"/>
    <n v="3"/>
    <n v="98001"/>
    <n v="68600.7"/>
    <n v="29400.300000000003"/>
    <x v="0"/>
    <x v="0"/>
  </r>
  <r>
    <s v="ORD00208"/>
    <s v="2024-02-03"/>
    <x v="2"/>
    <x v="11"/>
    <s v="Lucknow"/>
    <x v="0"/>
    <x v="4"/>
    <x v="2"/>
    <s v="Cash"/>
    <n v="9"/>
    <n v="192546"/>
    <n v="134782.19999999998"/>
    <n v="57763.800000000017"/>
    <x v="1"/>
    <x v="0"/>
  </r>
  <r>
    <s v="ORD00209"/>
    <s v="2023-03-26"/>
    <x v="0"/>
    <x v="0"/>
    <s v="Bhubaneswar"/>
    <x v="2"/>
    <x v="12"/>
    <x v="2"/>
    <s v="UPI"/>
    <n v="4"/>
    <n v="82568"/>
    <n v="57797.599999999999"/>
    <n v="24770.400000000001"/>
    <x v="2"/>
    <x v="1"/>
  </r>
  <r>
    <s v="ORD00210"/>
    <s v="2023-08-14"/>
    <x v="1"/>
    <x v="9"/>
    <s v="Pune"/>
    <x v="2"/>
    <x v="3"/>
    <x v="0"/>
    <s v="UPI"/>
    <n v="6"/>
    <n v="120966"/>
    <n v="84676.2"/>
    <n v="36289.800000000003"/>
    <x v="4"/>
    <x v="1"/>
  </r>
  <r>
    <s v="ORD00211"/>
    <s v="2023-03-31"/>
    <x v="3"/>
    <x v="7"/>
    <s v="Chennai"/>
    <x v="0"/>
    <x v="0"/>
    <x v="1"/>
    <s v="UPI"/>
    <n v="10"/>
    <n v="171050"/>
    <n v="119734.99999999999"/>
    <n v="51315.000000000015"/>
    <x v="2"/>
    <x v="1"/>
  </r>
  <r>
    <s v="ORD00212"/>
    <s v="2024-04-28"/>
    <x v="0"/>
    <x v="13"/>
    <s v="Kolkata"/>
    <x v="2"/>
    <x v="14"/>
    <x v="1"/>
    <s v="Debit Card"/>
    <n v="7"/>
    <n v="164514"/>
    <n v="115159.79999999999"/>
    <n v="49354.200000000012"/>
    <x v="11"/>
    <x v="0"/>
  </r>
  <r>
    <s v="ORD00213"/>
    <s v="2024-06-15"/>
    <x v="1"/>
    <x v="8"/>
    <s v="Panaji"/>
    <x v="2"/>
    <x v="12"/>
    <x v="0"/>
    <s v="Credit Card"/>
    <n v="3"/>
    <n v="45375"/>
    <n v="31762.499999999996"/>
    <n v="13612.500000000004"/>
    <x v="3"/>
    <x v="0"/>
  </r>
  <r>
    <s v="ORD00214"/>
    <s v="2023-07-11"/>
    <x v="1"/>
    <x v="9"/>
    <s v="Pune"/>
    <x v="2"/>
    <x v="3"/>
    <x v="0"/>
    <s v="Cash"/>
    <n v="1"/>
    <n v="19745"/>
    <n v="13821.5"/>
    <n v="5923.5"/>
    <x v="0"/>
    <x v="1"/>
  </r>
  <r>
    <s v="ORD00215"/>
    <s v="2024-05-25"/>
    <x v="0"/>
    <x v="13"/>
    <s v="Kolkata"/>
    <x v="2"/>
    <x v="12"/>
    <x v="2"/>
    <s v="Credit Card"/>
    <n v="1"/>
    <n v="42143"/>
    <n v="29500.1"/>
    <n v="12642.900000000001"/>
    <x v="9"/>
    <x v="0"/>
  </r>
  <r>
    <s v="ORD00216"/>
    <s v="2024-10-18"/>
    <x v="1"/>
    <x v="1"/>
    <s v="Ahmedabad"/>
    <x v="1"/>
    <x v="7"/>
    <x v="1"/>
    <s v="Cash"/>
    <n v="8"/>
    <n v="174856"/>
    <n v="122399.2"/>
    <n v="52456.800000000003"/>
    <x v="5"/>
    <x v="0"/>
  </r>
  <r>
    <s v="ORD00217"/>
    <s v="2024-03-14"/>
    <x v="3"/>
    <x v="7"/>
    <s v="Chennai"/>
    <x v="1"/>
    <x v="1"/>
    <x v="2"/>
    <s v="Net Banking"/>
    <n v="1"/>
    <n v="15039"/>
    <n v="10527.3"/>
    <n v="4511.7000000000007"/>
    <x v="2"/>
    <x v="0"/>
  </r>
  <r>
    <s v="ORD00218"/>
    <s v="2024-03-27"/>
    <x v="1"/>
    <x v="9"/>
    <s v="Pune"/>
    <x v="0"/>
    <x v="0"/>
    <x v="2"/>
    <s v="Net Banking"/>
    <n v="8"/>
    <n v="396584"/>
    <n v="277608.8"/>
    <n v="118975.20000000001"/>
    <x v="2"/>
    <x v="0"/>
  </r>
  <r>
    <s v="ORD00219"/>
    <s v="2023-10-10"/>
    <x v="1"/>
    <x v="8"/>
    <s v="Panaji"/>
    <x v="1"/>
    <x v="1"/>
    <x v="2"/>
    <s v="Debit Card"/>
    <n v="7"/>
    <n v="196210"/>
    <n v="137347"/>
    <n v="58863"/>
    <x v="5"/>
    <x v="1"/>
  </r>
  <r>
    <s v="ORD00220"/>
    <s v="2023-03-27"/>
    <x v="3"/>
    <x v="6"/>
    <s v="Hyderabad"/>
    <x v="1"/>
    <x v="7"/>
    <x v="0"/>
    <s v="Credit Card"/>
    <n v="2"/>
    <n v="29512"/>
    <n v="20658.399999999998"/>
    <n v="8853.6000000000022"/>
    <x v="2"/>
    <x v="1"/>
  </r>
  <r>
    <s v="ORD00221"/>
    <s v="2023-06-28"/>
    <x v="0"/>
    <x v="12"/>
    <s v="Patna"/>
    <x v="1"/>
    <x v="5"/>
    <x v="1"/>
    <s v="UPI"/>
    <n v="10"/>
    <n v="219970"/>
    <n v="153979"/>
    <n v="65991"/>
    <x v="3"/>
    <x v="1"/>
  </r>
  <r>
    <s v="ORD00222"/>
    <s v="2023-08-16"/>
    <x v="3"/>
    <x v="5"/>
    <s v="Kochi"/>
    <x v="1"/>
    <x v="5"/>
    <x v="2"/>
    <s v="UPI"/>
    <n v="9"/>
    <n v="170487"/>
    <n v="119340.9"/>
    <n v="51146.100000000006"/>
    <x v="4"/>
    <x v="1"/>
  </r>
  <r>
    <s v="ORD00223"/>
    <s v="2024-08-29"/>
    <x v="0"/>
    <x v="13"/>
    <s v="Kolkata"/>
    <x v="2"/>
    <x v="15"/>
    <x v="0"/>
    <s v="UPI"/>
    <n v="6"/>
    <n v="245724"/>
    <n v="172006.8"/>
    <n v="73717.200000000012"/>
    <x v="4"/>
    <x v="0"/>
  </r>
  <r>
    <s v="ORD00224"/>
    <s v="2024-04-16"/>
    <x v="0"/>
    <x v="0"/>
    <s v="Bhubaneswar"/>
    <x v="2"/>
    <x v="3"/>
    <x v="0"/>
    <s v="Credit Card"/>
    <n v="6"/>
    <n v="185400"/>
    <n v="129779.99999999999"/>
    <n v="55620.000000000015"/>
    <x v="11"/>
    <x v="0"/>
  </r>
  <r>
    <s v="ORD00225"/>
    <s v="2024-09-01"/>
    <x v="3"/>
    <x v="10"/>
    <s v="Bangalore"/>
    <x v="1"/>
    <x v="8"/>
    <x v="1"/>
    <s v="Credit Card"/>
    <n v="5"/>
    <n v="88340"/>
    <n v="61837.999999999993"/>
    <n v="26502.000000000007"/>
    <x v="10"/>
    <x v="0"/>
  </r>
  <r>
    <s v="ORD00226"/>
    <s v="2023-04-18"/>
    <x v="1"/>
    <x v="9"/>
    <s v="Pune"/>
    <x v="3"/>
    <x v="6"/>
    <x v="0"/>
    <s v="Credit Card"/>
    <n v="6"/>
    <n v="32976"/>
    <n v="23083.199999999997"/>
    <n v="9892.8000000000029"/>
    <x v="11"/>
    <x v="1"/>
  </r>
  <r>
    <s v="ORD00227"/>
    <s v="2024-03-21"/>
    <x v="1"/>
    <x v="9"/>
    <s v="Kolhapur"/>
    <x v="3"/>
    <x v="11"/>
    <x v="0"/>
    <s v="Credit Card"/>
    <n v="9"/>
    <n v="386559"/>
    <n v="270591.3"/>
    <n v="115967.70000000001"/>
    <x v="2"/>
    <x v="0"/>
  </r>
  <r>
    <s v="ORD00228"/>
    <s v="2024-03-25"/>
    <x v="1"/>
    <x v="9"/>
    <s v="Kolhapur"/>
    <x v="1"/>
    <x v="8"/>
    <x v="2"/>
    <s v="Cash"/>
    <n v="7"/>
    <n v="66080"/>
    <n v="46256"/>
    <n v="19824"/>
    <x v="2"/>
    <x v="0"/>
  </r>
  <r>
    <s v="ORD00229"/>
    <s v="2024-02-07"/>
    <x v="1"/>
    <x v="9"/>
    <s v="Kolhapur"/>
    <x v="2"/>
    <x v="3"/>
    <x v="1"/>
    <s v="Debit Card"/>
    <n v="9"/>
    <n v="157365"/>
    <n v="110155.5"/>
    <n v="47209.5"/>
    <x v="1"/>
    <x v="0"/>
  </r>
  <r>
    <s v="ORD00230"/>
    <s v="2024-03-29"/>
    <x v="3"/>
    <x v="6"/>
    <s v="Hyderabad"/>
    <x v="3"/>
    <x v="9"/>
    <x v="0"/>
    <s v="Cash"/>
    <n v="4"/>
    <n v="69832"/>
    <n v="48882.399999999994"/>
    <n v="20949.600000000006"/>
    <x v="2"/>
    <x v="0"/>
  </r>
  <r>
    <s v="ORD00231"/>
    <s v="2024-08-11"/>
    <x v="3"/>
    <x v="5"/>
    <s v="Kochi"/>
    <x v="1"/>
    <x v="7"/>
    <x v="0"/>
    <s v="Debit Card"/>
    <n v="7"/>
    <n v="109102"/>
    <n v="76371.399999999994"/>
    <n v="32730.600000000006"/>
    <x v="4"/>
    <x v="0"/>
  </r>
  <r>
    <s v="ORD00232"/>
    <s v="2024-07-15"/>
    <x v="3"/>
    <x v="6"/>
    <s v="Hyderabad"/>
    <x v="1"/>
    <x v="5"/>
    <x v="1"/>
    <s v="Cash"/>
    <n v="1"/>
    <n v="43094"/>
    <n v="30165.8"/>
    <n v="12928.2"/>
    <x v="0"/>
    <x v="0"/>
  </r>
  <r>
    <s v="ORD00233"/>
    <s v="2023-01-10"/>
    <x v="0"/>
    <x v="12"/>
    <s v="Patna"/>
    <x v="0"/>
    <x v="4"/>
    <x v="0"/>
    <s v="Credit Card"/>
    <n v="2"/>
    <n v="13434"/>
    <n v="9403.7999999999993"/>
    <n v="4030.2000000000007"/>
    <x v="8"/>
    <x v="1"/>
  </r>
  <r>
    <s v="ORD00234"/>
    <s v="2023-09-07"/>
    <x v="1"/>
    <x v="1"/>
    <s v="Ahmedabad"/>
    <x v="1"/>
    <x v="5"/>
    <x v="1"/>
    <s v="Credit Card"/>
    <n v="9"/>
    <n v="149526"/>
    <n v="104668.2"/>
    <n v="44857.8"/>
    <x v="10"/>
    <x v="1"/>
  </r>
  <r>
    <s v="ORD00235"/>
    <s v="2024-06-19"/>
    <x v="3"/>
    <x v="6"/>
    <s v="Hyderabad"/>
    <x v="1"/>
    <x v="7"/>
    <x v="0"/>
    <s v="Net Banking"/>
    <n v="7"/>
    <n v="133812"/>
    <n v="93668.4"/>
    <n v="40143.600000000006"/>
    <x v="3"/>
    <x v="0"/>
  </r>
  <r>
    <s v="ORD00236"/>
    <s v="2023-04-05"/>
    <x v="1"/>
    <x v="9"/>
    <s v="Pune"/>
    <x v="1"/>
    <x v="1"/>
    <x v="0"/>
    <s v="UPI"/>
    <n v="10"/>
    <n v="404770"/>
    <n v="283339"/>
    <n v="121431"/>
    <x v="11"/>
    <x v="1"/>
  </r>
  <r>
    <s v="ORD00237"/>
    <s v="2023-02-22"/>
    <x v="1"/>
    <x v="1"/>
    <s v="Ahmedabad"/>
    <x v="2"/>
    <x v="14"/>
    <x v="0"/>
    <s v="UPI"/>
    <n v="1"/>
    <n v="14091"/>
    <n v="9863.6999999999989"/>
    <n v="4227.3000000000011"/>
    <x v="1"/>
    <x v="1"/>
  </r>
  <r>
    <s v="ORD00238"/>
    <s v="2023-02-11"/>
    <x v="0"/>
    <x v="13"/>
    <s v="Kolkata"/>
    <x v="3"/>
    <x v="9"/>
    <x v="0"/>
    <s v="Net Banking"/>
    <n v="2"/>
    <n v="19228"/>
    <n v="13459.599999999999"/>
    <n v="5768.4000000000015"/>
    <x v="1"/>
    <x v="1"/>
  </r>
  <r>
    <s v="ORD00239"/>
    <s v="2024-01-01"/>
    <x v="0"/>
    <x v="12"/>
    <s v="Patna"/>
    <x v="0"/>
    <x v="0"/>
    <x v="2"/>
    <s v="Credit Card"/>
    <n v="3"/>
    <n v="29511"/>
    <n v="20657.699999999997"/>
    <n v="8853.3000000000029"/>
    <x v="8"/>
    <x v="0"/>
  </r>
  <r>
    <s v="ORD00240"/>
    <s v="2024-02-02"/>
    <x v="0"/>
    <x v="12"/>
    <s v="Patna"/>
    <x v="3"/>
    <x v="6"/>
    <x v="2"/>
    <s v="Net Banking"/>
    <n v="9"/>
    <n v="349326"/>
    <n v="244528.19999999998"/>
    <n v="104797.80000000002"/>
    <x v="1"/>
    <x v="0"/>
  </r>
  <r>
    <s v="ORD00241"/>
    <s v="2024-06-25"/>
    <x v="3"/>
    <x v="10"/>
    <s v="Bangalore"/>
    <x v="3"/>
    <x v="13"/>
    <x v="0"/>
    <s v="Net Banking"/>
    <n v="3"/>
    <n v="15135"/>
    <n v="10594.5"/>
    <n v="4540.5"/>
    <x v="3"/>
    <x v="0"/>
  </r>
  <r>
    <s v="ORD00242"/>
    <s v="2024-05-01"/>
    <x v="2"/>
    <x v="3"/>
    <s v="Ludhiana"/>
    <x v="3"/>
    <x v="9"/>
    <x v="2"/>
    <s v="Debit Card"/>
    <n v="7"/>
    <n v="263214"/>
    <n v="184249.8"/>
    <n v="78964.200000000012"/>
    <x v="9"/>
    <x v="0"/>
  </r>
  <r>
    <s v="ORD00243"/>
    <s v="2023-11-09"/>
    <x v="2"/>
    <x v="4"/>
    <s v="Gurgaon"/>
    <x v="0"/>
    <x v="0"/>
    <x v="1"/>
    <s v="UPI"/>
    <n v="1"/>
    <n v="21359"/>
    <n v="14951.3"/>
    <n v="6407.7000000000007"/>
    <x v="6"/>
    <x v="1"/>
  </r>
  <r>
    <s v="ORD00244"/>
    <s v="2024-07-07"/>
    <x v="2"/>
    <x v="2"/>
    <s v="New Delhi"/>
    <x v="3"/>
    <x v="9"/>
    <x v="2"/>
    <s v="Credit Card"/>
    <n v="8"/>
    <n v="396376"/>
    <n v="277463.19999999995"/>
    <n v="118912.80000000005"/>
    <x v="0"/>
    <x v="0"/>
  </r>
  <r>
    <s v="ORD00245"/>
    <s v="2023-09-19"/>
    <x v="2"/>
    <x v="4"/>
    <s v="Gurgaon"/>
    <x v="3"/>
    <x v="6"/>
    <x v="0"/>
    <s v="Debit Card"/>
    <n v="7"/>
    <n v="44933"/>
    <n v="31453.1"/>
    <n v="13479.900000000001"/>
    <x v="10"/>
    <x v="1"/>
  </r>
  <r>
    <s v="ORD00246"/>
    <s v="2023-10-05"/>
    <x v="0"/>
    <x v="12"/>
    <s v="Patna"/>
    <x v="3"/>
    <x v="9"/>
    <x v="1"/>
    <s v="UPI"/>
    <n v="8"/>
    <n v="346800"/>
    <n v="242759.99999999997"/>
    <n v="104040.00000000003"/>
    <x v="5"/>
    <x v="1"/>
  </r>
  <r>
    <s v="ORD00247"/>
    <s v="2024-04-21"/>
    <x v="0"/>
    <x v="12"/>
    <s v="Patna"/>
    <x v="1"/>
    <x v="5"/>
    <x v="0"/>
    <s v="Net Banking"/>
    <n v="8"/>
    <n v="21232"/>
    <n v="14862.4"/>
    <n v="6369.6"/>
    <x v="11"/>
    <x v="0"/>
  </r>
  <r>
    <s v="ORD00248"/>
    <s v="2024-02-06"/>
    <x v="2"/>
    <x v="3"/>
    <s v="Ludhiana"/>
    <x v="3"/>
    <x v="6"/>
    <x v="0"/>
    <s v="UPI"/>
    <n v="8"/>
    <n v="392976"/>
    <n v="275083.19999999995"/>
    <n v="117892.80000000005"/>
    <x v="1"/>
    <x v="0"/>
  </r>
  <r>
    <s v="ORD00249"/>
    <s v="2024-10-10"/>
    <x v="2"/>
    <x v="2"/>
    <s v="New Delhi"/>
    <x v="2"/>
    <x v="12"/>
    <x v="0"/>
    <s v="Cash"/>
    <n v="5"/>
    <n v="46050"/>
    <n v="32234.999999999996"/>
    <n v="13815.000000000004"/>
    <x v="5"/>
    <x v="0"/>
  </r>
  <r>
    <s v="ORD00250"/>
    <s v="2023-08-15"/>
    <x v="0"/>
    <x v="13"/>
    <s v="Kolkata"/>
    <x v="0"/>
    <x v="10"/>
    <x v="2"/>
    <s v="UPI"/>
    <n v="2"/>
    <n v="36924"/>
    <n v="25846.799999999999"/>
    <n v="11077.2"/>
    <x v="4"/>
    <x v="1"/>
  </r>
  <r>
    <s v="ORD00251"/>
    <s v="2023-08-07"/>
    <x v="3"/>
    <x v="7"/>
    <s v="Chennai"/>
    <x v="1"/>
    <x v="7"/>
    <x v="0"/>
    <s v="Debit Card"/>
    <n v="10"/>
    <n v="258740"/>
    <n v="181118"/>
    <n v="77622"/>
    <x v="4"/>
    <x v="1"/>
  </r>
  <r>
    <s v="ORD00252"/>
    <s v="2023-11-25"/>
    <x v="3"/>
    <x v="6"/>
    <s v="Hyderabad"/>
    <x v="3"/>
    <x v="9"/>
    <x v="1"/>
    <s v="Cash"/>
    <n v="5"/>
    <n v="236805"/>
    <n v="165763.5"/>
    <n v="71041.5"/>
    <x v="6"/>
    <x v="1"/>
  </r>
  <r>
    <s v="ORD00253"/>
    <s v="2024-05-06"/>
    <x v="3"/>
    <x v="10"/>
    <s v="Bangalore"/>
    <x v="1"/>
    <x v="1"/>
    <x v="2"/>
    <s v="Credit Card"/>
    <n v="6"/>
    <n v="36528"/>
    <n v="25569.599999999999"/>
    <n v="10958.400000000001"/>
    <x v="9"/>
    <x v="0"/>
  </r>
  <r>
    <s v="ORD00254"/>
    <s v="2023-12-20"/>
    <x v="1"/>
    <x v="9"/>
    <s v="Kolhapur"/>
    <x v="2"/>
    <x v="15"/>
    <x v="1"/>
    <s v="UPI"/>
    <n v="8"/>
    <n v="265936"/>
    <n v="186155.19999999998"/>
    <n v="79780.800000000017"/>
    <x v="7"/>
    <x v="1"/>
  </r>
  <r>
    <s v="ORD00255"/>
    <s v="2023-09-28"/>
    <x v="0"/>
    <x v="14"/>
    <s v="Guwahati"/>
    <x v="0"/>
    <x v="0"/>
    <x v="0"/>
    <s v="Cash"/>
    <n v="3"/>
    <n v="68481"/>
    <n v="47936.7"/>
    <n v="20544.300000000003"/>
    <x v="10"/>
    <x v="1"/>
  </r>
  <r>
    <s v="ORD00256"/>
    <s v="2024-10-17"/>
    <x v="1"/>
    <x v="9"/>
    <s v="Pune"/>
    <x v="3"/>
    <x v="6"/>
    <x v="1"/>
    <s v="Cash"/>
    <n v="1"/>
    <n v="40360"/>
    <n v="28252"/>
    <n v="12108"/>
    <x v="5"/>
    <x v="0"/>
  </r>
  <r>
    <s v="ORD00257"/>
    <s v="2023-01-29"/>
    <x v="2"/>
    <x v="11"/>
    <s v="Lucknow"/>
    <x v="0"/>
    <x v="4"/>
    <x v="0"/>
    <s v="Debit Card"/>
    <n v="7"/>
    <n v="64176"/>
    <n v="44923.199999999997"/>
    <n v="19252.800000000003"/>
    <x v="8"/>
    <x v="1"/>
  </r>
  <r>
    <s v="ORD00258"/>
    <s v="2024-01-11"/>
    <x v="3"/>
    <x v="7"/>
    <s v="Chennai"/>
    <x v="0"/>
    <x v="0"/>
    <x v="2"/>
    <s v="Net Banking"/>
    <n v="6"/>
    <n v="230334"/>
    <n v="161233.79999999999"/>
    <n v="69100.200000000012"/>
    <x v="8"/>
    <x v="0"/>
  </r>
  <r>
    <s v="ORD00259"/>
    <s v="2024-03-08"/>
    <x v="2"/>
    <x v="3"/>
    <s v="Ludhiana"/>
    <x v="0"/>
    <x v="0"/>
    <x v="1"/>
    <s v="UPI"/>
    <n v="10"/>
    <n v="468660"/>
    <n v="328062"/>
    <n v="140598"/>
    <x v="2"/>
    <x v="0"/>
  </r>
  <r>
    <s v="ORD00260"/>
    <s v="2023-03-24"/>
    <x v="1"/>
    <x v="8"/>
    <s v="Panaji"/>
    <x v="1"/>
    <x v="8"/>
    <x v="2"/>
    <s v="Credit Card"/>
    <n v="1"/>
    <n v="48244"/>
    <n v="33770.799999999996"/>
    <n v="14473.200000000004"/>
    <x v="2"/>
    <x v="1"/>
  </r>
  <r>
    <s v="ORD00261"/>
    <s v="2024-04-06"/>
    <x v="1"/>
    <x v="9"/>
    <s v="Pune"/>
    <x v="3"/>
    <x v="13"/>
    <x v="2"/>
    <s v="Cash"/>
    <n v="4"/>
    <n v="140124"/>
    <n v="98086.799999999988"/>
    <n v="42037.200000000012"/>
    <x v="11"/>
    <x v="0"/>
  </r>
  <r>
    <s v="ORD00262"/>
    <s v="2023-02-05"/>
    <x v="2"/>
    <x v="11"/>
    <s v="Lucknow"/>
    <x v="2"/>
    <x v="15"/>
    <x v="1"/>
    <s v="Credit Card"/>
    <n v="9"/>
    <n v="165474"/>
    <n v="115831.79999999999"/>
    <n v="49642.200000000012"/>
    <x v="1"/>
    <x v="1"/>
  </r>
  <r>
    <s v="ORD00263"/>
    <s v="2023-11-23"/>
    <x v="0"/>
    <x v="12"/>
    <s v="Patna"/>
    <x v="2"/>
    <x v="14"/>
    <x v="0"/>
    <s v="Cash"/>
    <n v="7"/>
    <n v="167069"/>
    <n v="116948.29999999999"/>
    <n v="50120.700000000012"/>
    <x v="6"/>
    <x v="1"/>
  </r>
  <r>
    <s v="ORD00264"/>
    <s v="2024-05-08"/>
    <x v="0"/>
    <x v="0"/>
    <s v="Bhubaneswar"/>
    <x v="1"/>
    <x v="5"/>
    <x v="1"/>
    <s v="Debit Card"/>
    <n v="1"/>
    <n v="47354"/>
    <n v="33147.799999999996"/>
    <n v="14206.200000000004"/>
    <x v="9"/>
    <x v="0"/>
  </r>
  <r>
    <s v="ORD00265"/>
    <s v="2023-05-25"/>
    <x v="2"/>
    <x v="11"/>
    <s v="Lucknow"/>
    <x v="2"/>
    <x v="12"/>
    <x v="2"/>
    <s v="Credit Card"/>
    <n v="5"/>
    <n v="138485"/>
    <n v="96939.5"/>
    <n v="41545.5"/>
    <x v="9"/>
    <x v="1"/>
  </r>
  <r>
    <s v="ORD00266"/>
    <s v="2023-09-14"/>
    <x v="1"/>
    <x v="9"/>
    <s v="Pune"/>
    <x v="1"/>
    <x v="1"/>
    <x v="2"/>
    <s v="Net Banking"/>
    <n v="9"/>
    <n v="95859"/>
    <n v="67101.3"/>
    <n v="28757.699999999997"/>
    <x v="10"/>
    <x v="1"/>
  </r>
  <r>
    <s v="ORD00267"/>
    <s v="2023-09-24"/>
    <x v="3"/>
    <x v="10"/>
    <s v="Bangalore"/>
    <x v="0"/>
    <x v="10"/>
    <x v="2"/>
    <s v="Debit Card"/>
    <n v="2"/>
    <n v="16880"/>
    <n v="11816"/>
    <n v="5064"/>
    <x v="10"/>
    <x v="1"/>
  </r>
  <r>
    <s v="ORD00268"/>
    <s v="2023-12-24"/>
    <x v="1"/>
    <x v="1"/>
    <s v="Ahmedabad"/>
    <x v="0"/>
    <x v="4"/>
    <x v="2"/>
    <s v="Net Banking"/>
    <n v="1"/>
    <n v="23848"/>
    <n v="16693.599999999999"/>
    <n v="7154.4000000000015"/>
    <x v="7"/>
    <x v="1"/>
  </r>
  <r>
    <s v="ORD00269"/>
    <s v="2023-02-10"/>
    <x v="2"/>
    <x v="4"/>
    <s v="Gurgaon"/>
    <x v="1"/>
    <x v="1"/>
    <x v="2"/>
    <s v="UPI"/>
    <n v="8"/>
    <n v="172856"/>
    <n v="120999.2"/>
    <n v="51856.800000000003"/>
    <x v="1"/>
    <x v="1"/>
  </r>
  <r>
    <s v="ORD00270"/>
    <s v="2023-11-26"/>
    <x v="1"/>
    <x v="1"/>
    <s v="Ahmedabad"/>
    <x v="2"/>
    <x v="12"/>
    <x v="1"/>
    <s v="Credit Card"/>
    <n v="10"/>
    <n v="55240"/>
    <n v="38668"/>
    <n v="16572"/>
    <x v="6"/>
    <x v="1"/>
  </r>
  <r>
    <s v="ORD00271"/>
    <s v="2023-04-19"/>
    <x v="3"/>
    <x v="5"/>
    <s v="Kochi"/>
    <x v="3"/>
    <x v="9"/>
    <x v="2"/>
    <s v="Credit Card"/>
    <n v="9"/>
    <n v="93249"/>
    <n v="65274.299999999996"/>
    <n v="27974.700000000004"/>
    <x v="11"/>
    <x v="1"/>
  </r>
  <r>
    <s v="ORD00272"/>
    <s v="2024-04-29"/>
    <x v="1"/>
    <x v="1"/>
    <s v="Ahmedabad"/>
    <x v="1"/>
    <x v="1"/>
    <x v="2"/>
    <s v="Cash"/>
    <n v="10"/>
    <n v="170010"/>
    <n v="119006.99999999999"/>
    <n v="51003.000000000015"/>
    <x v="11"/>
    <x v="0"/>
  </r>
  <r>
    <s v="ORD00273"/>
    <s v="2023-07-17"/>
    <x v="1"/>
    <x v="9"/>
    <s v="Pune"/>
    <x v="3"/>
    <x v="9"/>
    <x v="1"/>
    <s v="Cash"/>
    <n v="3"/>
    <n v="43536"/>
    <n v="30475.199999999997"/>
    <n v="13060.800000000003"/>
    <x v="0"/>
    <x v="1"/>
  </r>
  <r>
    <s v="ORD00274"/>
    <s v="2024-03-24"/>
    <x v="0"/>
    <x v="13"/>
    <s v="Kolkata"/>
    <x v="3"/>
    <x v="13"/>
    <x v="1"/>
    <s v="UPI"/>
    <n v="8"/>
    <n v="62048"/>
    <n v="43433.599999999999"/>
    <n v="18614.400000000001"/>
    <x v="2"/>
    <x v="0"/>
  </r>
  <r>
    <s v="ORD00275"/>
    <s v="2024-11-19"/>
    <x v="2"/>
    <x v="4"/>
    <s v="Gurgaon"/>
    <x v="0"/>
    <x v="0"/>
    <x v="2"/>
    <s v="Net Banking"/>
    <n v="10"/>
    <n v="373320"/>
    <n v="261323.99999999997"/>
    <n v="111996.00000000003"/>
    <x v="6"/>
    <x v="0"/>
  </r>
  <r>
    <s v="ORD00276"/>
    <s v="2024-11-04"/>
    <x v="3"/>
    <x v="7"/>
    <s v="Chennai"/>
    <x v="0"/>
    <x v="10"/>
    <x v="1"/>
    <s v="Credit Card"/>
    <n v="5"/>
    <n v="193150"/>
    <n v="135205"/>
    <n v="57945"/>
    <x v="6"/>
    <x v="0"/>
  </r>
  <r>
    <s v="ORD00277"/>
    <s v="2024-10-27"/>
    <x v="2"/>
    <x v="11"/>
    <s v="Lucknow"/>
    <x v="1"/>
    <x v="5"/>
    <x v="2"/>
    <s v="Cash"/>
    <n v="1"/>
    <n v="28281"/>
    <n v="19796.699999999997"/>
    <n v="8484.3000000000029"/>
    <x v="5"/>
    <x v="0"/>
  </r>
  <r>
    <s v="ORD00278"/>
    <s v="2023-01-11"/>
    <x v="3"/>
    <x v="7"/>
    <s v="Chennai"/>
    <x v="2"/>
    <x v="3"/>
    <x v="2"/>
    <s v="Net Banking"/>
    <n v="7"/>
    <n v="258412"/>
    <n v="180888.4"/>
    <n v="77523.600000000006"/>
    <x v="8"/>
    <x v="1"/>
  </r>
  <r>
    <s v="ORD00279"/>
    <s v="2024-05-01"/>
    <x v="3"/>
    <x v="5"/>
    <s v="Kochi"/>
    <x v="0"/>
    <x v="10"/>
    <x v="0"/>
    <s v="Debit Card"/>
    <n v="9"/>
    <n v="438876"/>
    <n v="307213.19999999995"/>
    <n v="131662.80000000005"/>
    <x v="9"/>
    <x v="0"/>
  </r>
  <r>
    <s v="ORD00280"/>
    <s v="2024-11-03"/>
    <x v="2"/>
    <x v="4"/>
    <s v="Gurgaon"/>
    <x v="3"/>
    <x v="6"/>
    <x v="2"/>
    <s v="UPI"/>
    <n v="1"/>
    <n v="26085"/>
    <n v="18259.5"/>
    <n v="7825.5"/>
    <x v="6"/>
    <x v="0"/>
  </r>
  <r>
    <s v="ORD00281"/>
    <s v="2024-10-26"/>
    <x v="3"/>
    <x v="10"/>
    <s v="Bangalore"/>
    <x v="1"/>
    <x v="7"/>
    <x v="2"/>
    <s v="Credit Card"/>
    <n v="3"/>
    <n v="140511"/>
    <n v="98357.7"/>
    <n v="42153.3"/>
    <x v="5"/>
    <x v="0"/>
  </r>
  <r>
    <s v="ORD00282"/>
    <s v="2024-01-09"/>
    <x v="1"/>
    <x v="9"/>
    <s v="Pune"/>
    <x v="3"/>
    <x v="9"/>
    <x v="0"/>
    <s v="Net Banking"/>
    <n v="4"/>
    <n v="49792"/>
    <n v="34854.399999999994"/>
    <n v="14937.600000000006"/>
    <x v="8"/>
    <x v="0"/>
  </r>
  <r>
    <s v="ORD00283"/>
    <s v="2023-03-10"/>
    <x v="3"/>
    <x v="6"/>
    <s v="Hyderabad"/>
    <x v="2"/>
    <x v="14"/>
    <x v="0"/>
    <s v="Debit Card"/>
    <n v="10"/>
    <n v="141870"/>
    <n v="99309"/>
    <n v="42561"/>
    <x v="2"/>
    <x v="1"/>
  </r>
  <r>
    <s v="ORD00284"/>
    <s v="2023-03-31"/>
    <x v="0"/>
    <x v="13"/>
    <s v="Kolkata"/>
    <x v="2"/>
    <x v="12"/>
    <x v="1"/>
    <s v="Debit Card"/>
    <n v="2"/>
    <n v="29122"/>
    <n v="20385.399999999998"/>
    <n v="8736.6000000000022"/>
    <x v="2"/>
    <x v="1"/>
  </r>
  <r>
    <s v="ORD00285"/>
    <s v="2023-09-29"/>
    <x v="3"/>
    <x v="6"/>
    <s v="Hyderabad"/>
    <x v="3"/>
    <x v="6"/>
    <x v="2"/>
    <s v="Net Banking"/>
    <n v="10"/>
    <n v="446090"/>
    <n v="312263"/>
    <n v="133827"/>
    <x v="10"/>
    <x v="1"/>
  </r>
  <r>
    <s v="ORD00286"/>
    <s v="2023-06-17"/>
    <x v="1"/>
    <x v="1"/>
    <s v="Ahmedabad"/>
    <x v="2"/>
    <x v="3"/>
    <x v="2"/>
    <s v="Debit Card"/>
    <n v="6"/>
    <n v="158244"/>
    <n v="110770.79999999999"/>
    <n v="47473.200000000012"/>
    <x v="3"/>
    <x v="1"/>
  </r>
  <r>
    <s v="ORD00287"/>
    <s v="2023-05-18"/>
    <x v="1"/>
    <x v="9"/>
    <s v="Kolhapur"/>
    <x v="0"/>
    <x v="2"/>
    <x v="1"/>
    <s v="Debit Card"/>
    <n v="9"/>
    <n v="351153"/>
    <n v="245807.09999999998"/>
    <n v="105345.90000000002"/>
    <x v="9"/>
    <x v="1"/>
  </r>
  <r>
    <s v="ORD00288"/>
    <s v="2024-10-17"/>
    <x v="0"/>
    <x v="12"/>
    <s v="Patna"/>
    <x v="0"/>
    <x v="10"/>
    <x v="0"/>
    <s v="UPI"/>
    <n v="6"/>
    <n v="110826"/>
    <n v="77578.2"/>
    <n v="33247.800000000003"/>
    <x v="5"/>
    <x v="0"/>
  </r>
  <r>
    <s v="ORD00289"/>
    <s v="2023-12-05"/>
    <x v="1"/>
    <x v="9"/>
    <s v="Kolhapur"/>
    <x v="2"/>
    <x v="14"/>
    <x v="2"/>
    <s v="UPI"/>
    <n v="7"/>
    <n v="265237"/>
    <n v="185665.9"/>
    <n v="79571.100000000006"/>
    <x v="7"/>
    <x v="1"/>
  </r>
  <r>
    <s v="ORD00290"/>
    <s v="2024-06-11"/>
    <x v="1"/>
    <x v="9"/>
    <s v="Pune"/>
    <x v="0"/>
    <x v="4"/>
    <x v="0"/>
    <s v="Cash"/>
    <n v="2"/>
    <n v="72602"/>
    <n v="50821.399999999994"/>
    <n v="21780.600000000006"/>
    <x v="3"/>
    <x v="0"/>
  </r>
  <r>
    <s v="ORD00291"/>
    <s v="2023-06-18"/>
    <x v="3"/>
    <x v="5"/>
    <s v="Kochi"/>
    <x v="3"/>
    <x v="6"/>
    <x v="2"/>
    <s v="Cash"/>
    <n v="6"/>
    <n v="84984"/>
    <n v="59488.799999999996"/>
    <n v="25495.200000000004"/>
    <x v="3"/>
    <x v="1"/>
  </r>
  <r>
    <s v="ORD00292"/>
    <s v="2024-05-13"/>
    <x v="3"/>
    <x v="5"/>
    <s v="Kochi"/>
    <x v="0"/>
    <x v="4"/>
    <x v="0"/>
    <s v="UPI"/>
    <n v="2"/>
    <n v="15198"/>
    <n v="10638.599999999999"/>
    <n v="4559.4000000000015"/>
    <x v="9"/>
    <x v="0"/>
  </r>
  <r>
    <s v="ORD00293"/>
    <s v="2023-11-27"/>
    <x v="0"/>
    <x v="12"/>
    <s v="Patna"/>
    <x v="0"/>
    <x v="0"/>
    <x v="1"/>
    <s v="Cash"/>
    <n v="5"/>
    <n v="138190"/>
    <n v="96733"/>
    <n v="41457"/>
    <x v="6"/>
    <x v="1"/>
  </r>
  <r>
    <s v="ORD00294"/>
    <s v="2024-06-15"/>
    <x v="2"/>
    <x v="2"/>
    <s v="New Delhi"/>
    <x v="2"/>
    <x v="3"/>
    <x v="1"/>
    <s v="Cash"/>
    <n v="5"/>
    <n v="3290"/>
    <n v="2303"/>
    <n v="987"/>
    <x v="3"/>
    <x v="0"/>
  </r>
  <r>
    <s v="ORD00295"/>
    <s v="2024-10-02"/>
    <x v="0"/>
    <x v="12"/>
    <s v="Patna"/>
    <x v="3"/>
    <x v="9"/>
    <x v="0"/>
    <s v="Cash"/>
    <n v="2"/>
    <n v="80040"/>
    <n v="56028"/>
    <n v="24012"/>
    <x v="5"/>
    <x v="0"/>
  </r>
  <r>
    <s v="ORD00296"/>
    <s v="2024-07-28"/>
    <x v="3"/>
    <x v="5"/>
    <s v="Kochi"/>
    <x v="3"/>
    <x v="6"/>
    <x v="0"/>
    <s v="Credit Card"/>
    <n v="1"/>
    <n v="17446"/>
    <n v="12212.199999999999"/>
    <n v="5233.8000000000011"/>
    <x v="0"/>
    <x v="0"/>
  </r>
  <r>
    <s v="ORD00297"/>
    <s v="2024-03-21"/>
    <x v="1"/>
    <x v="9"/>
    <s v="Pune"/>
    <x v="0"/>
    <x v="4"/>
    <x v="2"/>
    <s v="Debit Card"/>
    <n v="3"/>
    <n v="24525"/>
    <n v="17167.5"/>
    <n v="7357.5"/>
    <x v="2"/>
    <x v="0"/>
  </r>
  <r>
    <s v="ORD00298"/>
    <s v="2024-03-13"/>
    <x v="0"/>
    <x v="0"/>
    <s v="Bhubaneswar"/>
    <x v="3"/>
    <x v="6"/>
    <x v="2"/>
    <s v="Net Banking"/>
    <n v="10"/>
    <n v="422200"/>
    <n v="295540"/>
    <n v="126660"/>
    <x v="2"/>
    <x v="0"/>
  </r>
  <r>
    <s v="ORD00299"/>
    <s v="2024-09-04"/>
    <x v="0"/>
    <x v="0"/>
    <s v="Bhubaneswar"/>
    <x v="3"/>
    <x v="11"/>
    <x v="2"/>
    <s v="Cash"/>
    <n v="10"/>
    <n v="476230"/>
    <n v="333361"/>
    <n v="142869"/>
    <x v="10"/>
    <x v="0"/>
  </r>
  <r>
    <s v="ORD00300"/>
    <s v="2024-10-23"/>
    <x v="1"/>
    <x v="8"/>
    <s v="Panaji"/>
    <x v="1"/>
    <x v="8"/>
    <x v="2"/>
    <s v="Cash"/>
    <n v="6"/>
    <n v="34866"/>
    <n v="24406.199999999997"/>
    <n v="10459.800000000003"/>
    <x v="5"/>
    <x v="0"/>
  </r>
  <r>
    <s v="ORD00301"/>
    <s v="2024-02-22"/>
    <x v="3"/>
    <x v="6"/>
    <s v="Hyderabad"/>
    <x v="0"/>
    <x v="0"/>
    <x v="0"/>
    <s v="Cash"/>
    <n v="8"/>
    <n v="148880"/>
    <n v="104216"/>
    <n v="44664"/>
    <x v="1"/>
    <x v="0"/>
  </r>
  <r>
    <s v="ORD00302"/>
    <s v="2023-02-21"/>
    <x v="0"/>
    <x v="0"/>
    <s v="Bhubaneswar"/>
    <x v="2"/>
    <x v="14"/>
    <x v="1"/>
    <s v="Net Banking"/>
    <n v="10"/>
    <n v="50460"/>
    <n v="35322"/>
    <n v="15138"/>
    <x v="1"/>
    <x v="1"/>
  </r>
  <r>
    <s v="ORD00303"/>
    <s v="2023-02-21"/>
    <x v="2"/>
    <x v="3"/>
    <s v="Ludhiana"/>
    <x v="2"/>
    <x v="15"/>
    <x v="2"/>
    <s v="Debit Card"/>
    <n v="1"/>
    <n v="46543"/>
    <n v="32580.1"/>
    <n v="13962.900000000001"/>
    <x v="1"/>
    <x v="1"/>
  </r>
  <r>
    <s v="ORD00304"/>
    <s v="2024-07-06"/>
    <x v="3"/>
    <x v="7"/>
    <s v="Chennai"/>
    <x v="2"/>
    <x v="12"/>
    <x v="2"/>
    <s v="UPI"/>
    <n v="7"/>
    <n v="88844"/>
    <n v="62190.799999999996"/>
    <n v="26653.200000000004"/>
    <x v="0"/>
    <x v="0"/>
  </r>
  <r>
    <s v="ORD00305"/>
    <s v="2023-08-16"/>
    <x v="0"/>
    <x v="14"/>
    <s v="Guwahati"/>
    <x v="3"/>
    <x v="11"/>
    <x v="2"/>
    <s v="UPI"/>
    <n v="5"/>
    <n v="199045"/>
    <n v="139331.5"/>
    <n v="59713.5"/>
    <x v="4"/>
    <x v="1"/>
  </r>
  <r>
    <s v="ORD00306"/>
    <s v="2023-02-14"/>
    <x v="2"/>
    <x v="2"/>
    <s v="New Delhi"/>
    <x v="3"/>
    <x v="11"/>
    <x v="2"/>
    <s v="Debit Card"/>
    <n v="7"/>
    <n v="153881"/>
    <n v="107716.7"/>
    <n v="46164.3"/>
    <x v="1"/>
    <x v="1"/>
  </r>
  <r>
    <s v="ORD00307"/>
    <s v="2024-10-23"/>
    <x v="1"/>
    <x v="9"/>
    <s v="Kolhapur"/>
    <x v="3"/>
    <x v="13"/>
    <x v="2"/>
    <s v="UPI"/>
    <n v="3"/>
    <n v="114552"/>
    <n v="80186.399999999994"/>
    <n v="34365.600000000006"/>
    <x v="5"/>
    <x v="0"/>
  </r>
  <r>
    <s v="ORD00308"/>
    <s v="2024-02-17"/>
    <x v="2"/>
    <x v="2"/>
    <s v="New Delhi"/>
    <x v="0"/>
    <x v="0"/>
    <x v="1"/>
    <s v="Credit Card"/>
    <n v="7"/>
    <n v="146356"/>
    <n v="102449.2"/>
    <n v="43906.8"/>
    <x v="1"/>
    <x v="0"/>
  </r>
  <r>
    <s v="ORD00309"/>
    <s v="2023-10-07"/>
    <x v="3"/>
    <x v="5"/>
    <s v="Kochi"/>
    <x v="2"/>
    <x v="14"/>
    <x v="1"/>
    <s v="UPI"/>
    <n v="6"/>
    <n v="66426"/>
    <n v="46498.2"/>
    <n v="19927.800000000003"/>
    <x v="5"/>
    <x v="1"/>
  </r>
  <r>
    <s v="ORD00310"/>
    <s v="2023-12-25"/>
    <x v="3"/>
    <x v="6"/>
    <s v="Hyderabad"/>
    <x v="2"/>
    <x v="12"/>
    <x v="1"/>
    <s v="UPI"/>
    <n v="2"/>
    <n v="46528"/>
    <n v="32569.599999999999"/>
    <n v="13958.400000000001"/>
    <x v="7"/>
    <x v="1"/>
  </r>
  <r>
    <s v="ORD00311"/>
    <s v="2023-02-16"/>
    <x v="0"/>
    <x v="0"/>
    <s v="Bhubaneswar"/>
    <x v="0"/>
    <x v="10"/>
    <x v="0"/>
    <s v="Cash"/>
    <n v="6"/>
    <n v="253224"/>
    <n v="177256.8"/>
    <n v="75967.200000000012"/>
    <x v="1"/>
    <x v="1"/>
  </r>
  <r>
    <s v="ORD00312"/>
    <s v="2023-12-27"/>
    <x v="1"/>
    <x v="8"/>
    <s v="Panaji"/>
    <x v="0"/>
    <x v="10"/>
    <x v="0"/>
    <s v="Credit Card"/>
    <n v="5"/>
    <n v="134435"/>
    <n v="94104.5"/>
    <n v="40330.5"/>
    <x v="7"/>
    <x v="1"/>
  </r>
  <r>
    <s v="ORD00313"/>
    <s v="2024-01-28"/>
    <x v="3"/>
    <x v="5"/>
    <s v="Kochi"/>
    <x v="1"/>
    <x v="8"/>
    <x v="2"/>
    <s v="Net Banking"/>
    <n v="2"/>
    <n v="65796"/>
    <n v="46057.2"/>
    <n v="19738.800000000003"/>
    <x v="8"/>
    <x v="0"/>
  </r>
  <r>
    <s v="ORD00314"/>
    <s v="2024-02-23"/>
    <x v="2"/>
    <x v="11"/>
    <s v="Lucknow"/>
    <x v="1"/>
    <x v="1"/>
    <x v="2"/>
    <s v="Credit Card"/>
    <n v="5"/>
    <n v="75195"/>
    <n v="52636.5"/>
    <n v="22558.5"/>
    <x v="1"/>
    <x v="0"/>
  </r>
  <r>
    <s v="ORD00315"/>
    <s v="2023-05-08"/>
    <x v="1"/>
    <x v="8"/>
    <s v="Panaji"/>
    <x v="0"/>
    <x v="0"/>
    <x v="2"/>
    <s v="Debit Card"/>
    <n v="4"/>
    <n v="103008"/>
    <n v="72105.599999999991"/>
    <n v="30902.400000000009"/>
    <x v="9"/>
    <x v="1"/>
  </r>
  <r>
    <s v="ORD00316"/>
    <s v="2023-12-29"/>
    <x v="0"/>
    <x v="14"/>
    <s v="Guwahati"/>
    <x v="3"/>
    <x v="11"/>
    <x v="0"/>
    <s v="Debit Card"/>
    <n v="3"/>
    <n v="129570"/>
    <n v="90699"/>
    <n v="38871"/>
    <x v="7"/>
    <x v="1"/>
  </r>
  <r>
    <s v="ORD00317"/>
    <s v="2024-05-10"/>
    <x v="2"/>
    <x v="4"/>
    <s v="Gurgaon"/>
    <x v="2"/>
    <x v="3"/>
    <x v="1"/>
    <s v="UPI"/>
    <n v="9"/>
    <n v="408528"/>
    <n v="285969.59999999998"/>
    <n v="122558.40000000002"/>
    <x v="9"/>
    <x v="0"/>
  </r>
  <r>
    <s v="ORD00318"/>
    <s v="2024-05-03"/>
    <x v="1"/>
    <x v="9"/>
    <s v="Kolhapur"/>
    <x v="1"/>
    <x v="1"/>
    <x v="2"/>
    <s v="Net Banking"/>
    <n v="9"/>
    <n v="142866"/>
    <n v="100006.2"/>
    <n v="42859.8"/>
    <x v="9"/>
    <x v="0"/>
  </r>
  <r>
    <s v="ORD00319"/>
    <s v="2023-12-28"/>
    <x v="3"/>
    <x v="6"/>
    <s v="Hyderabad"/>
    <x v="2"/>
    <x v="3"/>
    <x v="1"/>
    <s v="Credit Card"/>
    <n v="1"/>
    <n v="804"/>
    <n v="562.79999999999995"/>
    <n v="241.20000000000005"/>
    <x v="7"/>
    <x v="1"/>
  </r>
  <r>
    <s v="ORD00320"/>
    <s v="2023-08-29"/>
    <x v="0"/>
    <x v="0"/>
    <s v="Bhubaneswar"/>
    <x v="2"/>
    <x v="15"/>
    <x v="0"/>
    <s v="Credit Card"/>
    <n v="10"/>
    <n v="416560"/>
    <n v="291592"/>
    <n v="124968"/>
    <x v="4"/>
    <x v="1"/>
  </r>
  <r>
    <s v="ORD00321"/>
    <s v="2024-02-27"/>
    <x v="2"/>
    <x v="2"/>
    <s v="New Delhi"/>
    <x v="1"/>
    <x v="1"/>
    <x v="2"/>
    <s v="Debit Card"/>
    <n v="1"/>
    <n v="32031"/>
    <n v="22421.699999999997"/>
    <n v="9609.3000000000029"/>
    <x v="1"/>
    <x v="0"/>
  </r>
  <r>
    <s v="ORD00322"/>
    <s v="2023-10-27"/>
    <x v="1"/>
    <x v="9"/>
    <s v="Kolhapur"/>
    <x v="1"/>
    <x v="8"/>
    <x v="2"/>
    <s v="Credit Card"/>
    <n v="2"/>
    <n v="97922"/>
    <n v="68545.399999999994"/>
    <n v="29376.600000000006"/>
    <x v="5"/>
    <x v="1"/>
  </r>
  <r>
    <s v="ORD00323"/>
    <s v="2023-01-31"/>
    <x v="2"/>
    <x v="4"/>
    <s v="Gurgaon"/>
    <x v="2"/>
    <x v="3"/>
    <x v="0"/>
    <s v="Cash"/>
    <n v="4"/>
    <n v="109088"/>
    <n v="76361.599999999991"/>
    <n v="32726.400000000009"/>
    <x v="8"/>
    <x v="1"/>
  </r>
  <r>
    <s v="ORD00324"/>
    <s v="2023-05-23"/>
    <x v="2"/>
    <x v="2"/>
    <s v="New Delhi"/>
    <x v="0"/>
    <x v="4"/>
    <x v="1"/>
    <s v="Cash"/>
    <n v="5"/>
    <n v="44690"/>
    <n v="31282.999999999996"/>
    <n v="13407.000000000004"/>
    <x v="9"/>
    <x v="1"/>
  </r>
  <r>
    <s v="ORD00325"/>
    <s v="2024-09-12"/>
    <x v="1"/>
    <x v="1"/>
    <s v="Ahmedabad"/>
    <x v="3"/>
    <x v="6"/>
    <x v="1"/>
    <s v="Debit Card"/>
    <n v="5"/>
    <n v="75725"/>
    <n v="53007.5"/>
    <n v="22717.5"/>
    <x v="10"/>
    <x v="0"/>
  </r>
  <r>
    <s v="ORD00326"/>
    <s v="2024-09-28"/>
    <x v="3"/>
    <x v="7"/>
    <s v="Chennai"/>
    <x v="3"/>
    <x v="6"/>
    <x v="0"/>
    <s v="Credit Card"/>
    <n v="3"/>
    <n v="6291"/>
    <n v="4403.7"/>
    <n v="1887.3000000000002"/>
    <x v="10"/>
    <x v="0"/>
  </r>
  <r>
    <s v="ORD00327"/>
    <s v="2023-01-15"/>
    <x v="0"/>
    <x v="0"/>
    <s v="Bhubaneswar"/>
    <x v="0"/>
    <x v="10"/>
    <x v="1"/>
    <s v="Credit Card"/>
    <n v="7"/>
    <n v="328041"/>
    <n v="229628.69999999998"/>
    <n v="98412.300000000017"/>
    <x v="8"/>
    <x v="1"/>
  </r>
  <r>
    <s v="ORD00328"/>
    <s v="2024-08-12"/>
    <x v="0"/>
    <x v="14"/>
    <s v="Guwahati"/>
    <x v="2"/>
    <x v="14"/>
    <x v="2"/>
    <s v="Cash"/>
    <n v="5"/>
    <n v="247970"/>
    <n v="173579"/>
    <n v="74391"/>
    <x v="4"/>
    <x v="0"/>
  </r>
  <r>
    <s v="ORD00329"/>
    <s v="2024-09-08"/>
    <x v="2"/>
    <x v="3"/>
    <s v="Ludhiana"/>
    <x v="2"/>
    <x v="3"/>
    <x v="2"/>
    <s v="Debit Card"/>
    <n v="7"/>
    <n v="25858"/>
    <n v="18100.599999999999"/>
    <n v="7757.4000000000015"/>
    <x v="10"/>
    <x v="0"/>
  </r>
  <r>
    <s v="ORD00330"/>
    <s v="2024-01-14"/>
    <x v="1"/>
    <x v="9"/>
    <s v="Kolhapur"/>
    <x v="3"/>
    <x v="9"/>
    <x v="2"/>
    <s v="Debit Card"/>
    <n v="2"/>
    <n v="38890"/>
    <n v="27223"/>
    <n v="11667"/>
    <x v="8"/>
    <x v="0"/>
  </r>
  <r>
    <s v="ORD00331"/>
    <s v="2024-06-28"/>
    <x v="3"/>
    <x v="6"/>
    <s v="Hyderabad"/>
    <x v="1"/>
    <x v="8"/>
    <x v="2"/>
    <s v="Net Banking"/>
    <n v="10"/>
    <n v="215260"/>
    <n v="150682"/>
    <n v="64578"/>
    <x v="3"/>
    <x v="0"/>
  </r>
  <r>
    <s v="ORD00332"/>
    <s v="2023-04-23"/>
    <x v="3"/>
    <x v="6"/>
    <s v="Hyderabad"/>
    <x v="2"/>
    <x v="3"/>
    <x v="0"/>
    <s v="Credit Card"/>
    <n v="4"/>
    <n v="94756"/>
    <n v="66329.2"/>
    <n v="28426.800000000003"/>
    <x v="11"/>
    <x v="1"/>
  </r>
  <r>
    <s v="ORD00333"/>
    <s v="2024-07-22"/>
    <x v="3"/>
    <x v="10"/>
    <s v="Bangalore"/>
    <x v="3"/>
    <x v="9"/>
    <x v="2"/>
    <s v="UPI"/>
    <n v="4"/>
    <n v="45152"/>
    <n v="31606.399999999998"/>
    <n v="13545.600000000002"/>
    <x v="0"/>
    <x v="0"/>
  </r>
  <r>
    <s v="ORD00334"/>
    <s v="2023-02-28"/>
    <x v="3"/>
    <x v="5"/>
    <s v="Kochi"/>
    <x v="0"/>
    <x v="4"/>
    <x v="2"/>
    <s v="Credit Card"/>
    <n v="7"/>
    <n v="10024"/>
    <n v="7016.7999999999993"/>
    <n v="3007.2000000000007"/>
    <x v="1"/>
    <x v="1"/>
  </r>
  <r>
    <s v="ORD00335"/>
    <s v="2023-02-05"/>
    <x v="1"/>
    <x v="1"/>
    <s v="Ahmedabad"/>
    <x v="2"/>
    <x v="14"/>
    <x v="1"/>
    <s v="Cash"/>
    <n v="5"/>
    <n v="161640"/>
    <n v="113148"/>
    <n v="48492"/>
    <x v="1"/>
    <x v="1"/>
  </r>
  <r>
    <s v="ORD00336"/>
    <s v="2024-07-22"/>
    <x v="0"/>
    <x v="0"/>
    <s v="Bhubaneswar"/>
    <x v="2"/>
    <x v="12"/>
    <x v="0"/>
    <s v="Cash"/>
    <n v="6"/>
    <n v="167724"/>
    <n v="117406.79999999999"/>
    <n v="50317.200000000012"/>
    <x v="0"/>
    <x v="0"/>
  </r>
  <r>
    <s v="ORD00337"/>
    <s v="2023-05-07"/>
    <x v="1"/>
    <x v="1"/>
    <s v="Ahmedabad"/>
    <x v="2"/>
    <x v="12"/>
    <x v="0"/>
    <s v="Net Banking"/>
    <n v="8"/>
    <n v="384624"/>
    <n v="269236.8"/>
    <n v="115387.20000000001"/>
    <x v="9"/>
    <x v="1"/>
  </r>
  <r>
    <s v="ORD00338"/>
    <s v="2023-08-03"/>
    <x v="1"/>
    <x v="1"/>
    <s v="Ahmedabad"/>
    <x v="3"/>
    <x v="13"/>
    <x v="0"/>
    <s v="UPI"/>
    <n v="4"/>
    <n v="129556"/>
    <n v="90689.2"/>
    <n v="38866.800000000003"/>
    <x v="4"/>
    <x v="1"/>
  </r>
  <r>
    <s v="ORD00339"/>
    <s v="2023-06-28"/>
    <x v="0"/>
    <x v="0"/>
    <s v="Bhubaneswar"/>
    <x v="3"/>
    <x v="11"/>
    <x v="1"/>
    <s v="Credit Card"/>
    <n v="5"/>
    <n v="43985"/>
    <n v="30789.499999999996"/>
    <n v="13195.500000000004"/>
    <x v="3"/>
    <x v="1"/>
  </r>
  <r>
    <s v="ORD00340"/>
    <s v="2023-10-31"/>
    <x v="3"/>
    <x v="6"/>
    <s v="Hyderabad"/>
    <x v="1"/>
    <x v="7"/>
    <x v="2"/>
    <s v="UPI"/>
    <n v="7"/>
    <n v="96271"/>
    <n v="67389.7"/>
    <n v="28881.300000000003"/>
    <x v="5"/>
    <x v="1"/>
  </r>
  <r>
    <s v="ORD00341"/>
    <s v="2024-03-01"/>
    <x v="1"/>
    <x v="9"/>
    <s v="Pune"/>
    <x v="1"/>
    <x v="5"/>
    <x v="0"/>
    <s v="Credit Card"/>
    <n v="6"/>
    <n v="181920"/>
    <n v="127343.99999999999"/>
    <n v="54576.000000000015"/>
    <x v="2"/>
    <x v="0"/>
  </r>
  <r>
    <s v="ORD00342"/>
    <s v="2024-01-02"/>
    <x v="0"/>
    <x v="0"/>
    <s v="Bhubaneswar"/>
    <x v="3"/>
    <x v="6"/>
    <x v="0"/>
    <s v="Net Banking"/>
    <n v="8"/>
    <n v="393112"/>
    <n v="275178.39999999997"/>
    <n v="117933.60000000003"/>
    <x v="8"/>
    <x v="0"/>
  </r>
  <r>
    <s v="ORD00343"/>
    <s v="2024-08-04"/>
    <x v="0"/>
    <x v="14"/>
    <s v="Guwahati"/>
    <x v="2"/>
    <x v="14"/>
    <x v="2"/>
    <s v="Credit Card"/>
    <n v="10"/>
    <n v="371070"/>
    <n v="259748.99999999997"/>
    <n v="111321.00000000003"/>
    <x v="4"/>
    <x v="0"/>
  </r>
  <r>
    <s v="ORD00344"/>
    <s v="2024-04-23"/>
    <x v="0"/>
    <x v="14"/>
    <s v="Guwahati"/>
    <x v="2"/>
    <x v="12"/>
    <x v="0"/>
    <s v="Cash"/>
    <n v="2"/>
    <n v="34088"/>
    <n v="23861.599999999999"/>
    <n v="10226.400000000001"/>
    <x v="11"/>
    <x v="0"/>
  </r>
  <r>
    <s v="ORD00345"/>
    <s v="2024-10-29"/>
    <x v="2"/>
    <x v="4"/>
    <s v="Gurgaon"/>
    <x v="1"/>
    <x v="7"/>
    <x v="2"/>
    <s v="Cash"/>
    <n v="8"/>
    <n v="382800"/>
    <n v="267960"/>
    <n v="114840"/>
    <x v="5"/>
    <x v="0"/>
  </r>
  <r>
    <s v="ORD00346"/>
    <s v="2024-08-13"/>
    <x v="2"/>
    <x v="11"/>
    <s v="Lucknow"/>
    <x v="3"/>
    <x v="6"/>
    <x v="0"/>
    <s v="Cash"/>
    <n v="6"/>
    <n v="3678"/>
    <n v="2574.6"/>
    <n v="1103.4000000000001"/>
    <x v="4"/>
    <x v="0"/>
  </r>
  <r>
    <s v="ORD00347"/>
    <s v="2023-08-03"/>
    <x v="2"/>
    <x v="2"/>
    <s v="New Delhi"/>
    <x v="2"/>
    <x v="12"/>
    <x v="0"/>
    <s v="Credit Card"/>
    <n v="2"/>
    <n v="47378"/>
    <n v="33164.6"/>
    <n v="14213.400000000001"/>
    <x v="4"/>
    <x v="1"/>
  </r>
  <r>
    <s v="ORD00348"/>
    <s v="2024-03-07"/>
    <x v="0"/>
    <x v="12"/>
    <s v="Patna"/>
    <x v="2"/>
    <x v="3"/>
    <x v="0"/>
    <s v="Cash"/>
    <n v="2"/>
    <n v="24792"/>
    <n v="17354.399999999998"/>
    <n v="7437.6000000000022"/>
    <x v="2"/>
    <x v="0"/>
  </r>
  <r>
    <s v="ORD00349"/>
    <s v="2024-06-01"/>
    <x v="3"/>
    <x v="10"/>
    <s v="Bangalore"/>
    <x v="1"/>
    <x v="8"/>
    <x v="2"/>
    <s v="Credit Card"/>
    <n v="1"/>
    <n v="6742"/>
    <n v="4719.3999999999996"/>
    <n v="2022.6000000000004"/>
    <x v="3"/>
    <x v="0"/>
  </r>
  <r>
    <s v="ORD00350"/>
    <s v="2023-01-11"/>
    <x v="0"/>
    <x v="14"/>
    <s v="Guwahati"/>
    <x v="1"/>
    <x v="8"/>
    <x v="1"/>
    <s v="Cash"/>
    <n v="3"/>
    <n v="57351"/>
    <n v="40145.699999999997"/>
    <n v="17205.300000000003"/>
    <x v="8"/>
    <x v="1"/>
  </r>
  <r>
    <s v="ORD00351"/>
    <s v="2023-06-08"/>
    <x v="3"/>
    <x v="7"/>
    <s v="Chennai"/>
    <x v="1"/>
    <x v="7"/>
    <x v="0"/>
    <s v="UPI"/>
    <n v="9"/>
    <n v="85869"/>
    <n v="60108.299999999996"/>
    <n v="25760.700000000004"/>
    <x v="3"/>
    <x v="1"/>
  </r>
  <r>
    <s v="ORD00352"/>
    <s v="2024-03-11"/>
    <x v="1"/>
    <x v="8"/>
    <s v="Panaji"/>
    <x v="2"/>
    <x v="12"/>
    <x v="1"/>
    <s v="Cash"/>
    <n v="4"/>
    <n v="46344"/>
    <n v="32440.799999999999"/>
    <n v="13903.2"/>
    <x v="2"/>
    <x v="0"/>
  </r>
  <r>
    <s v="ORD00353"/>
    <s v="2023-05-17"/>
    <x v="0"/>
    <x v="0"/>
    <s v="Bhubaneswar"/>
    <x v="2"/>
    <x v="14"/>
    <x v="2"/>
    <s v="UPI"/>
    <n v="3"/>
    <n v="37308"/>
    <n v="26115.599999999999"/>
    <n v="11192.400000000001"/>
    <x v="9"/>
    <x v="1"/>
  </r>
  <r>
    <s v="ORD00354"/>
    <s v="2024-06-28"/>
    <x v="2"/>
    <x v="4"/>
    <s v="Gurgaon"/>
    <x v="3"/>
    <x v="11"/>
    <x v="1"/>
    <s v="Net Banking"/>
    <n v="9"/>
    <n v="211311"/>
    <n v="147917.69999999998"/>
    <n v="63393.300000000017"/>
    <x v="3"/>
    <x v="0"/>
  </r>
  <r>
    <s v="ORD00355"/>
    <s v="2024-12-01"/>
    <x v="0"/>
    <x v="13"/>
    <s v="Kolkata"/>
    <x v="1"/>
    <x v="7"/>
    <x v="2"/>
    <s v="Cash"/>
    <n v="3"/>
    <n v="39648"/>
    <n v="27753.599999999999"/>
    <n v="11894.400000000001"/>
    <x v="7"/>
    <x v="0"/>
  </r>
  <r>
    <s v="ORD00356"/>
    <s v="2023-10-10"/>
    <x v="0"/>
    <x v="0"/>
    <s v="Bhubaneswar"/>
    <x v="3"/>
    <x v="9"/>
    <x v="1"/>
    <s v="Credit Card"/>
    <n v="2"/>
    <n v="53702"/>
    <n v="37591.399999999994"/>
    <n v="16110.600000000006"/>
    <x v="5"/>
    <x v="1"/>
  </r>
  <r>
    <s v="ORD00357"/>
    <s v="2023-08-26"/>
    <x v="0"/>
    <x v="14"/>
    <s v="Guwahati"/>
    <x v="1"/>
    <x v="7"/>
    <x v="1"/>
    <s v="Net Banking"/>
    <n v="8"/>
    <n v="396312"/>
    <n v="277418.39999999997"/>
    <n v="118893.60000000003"/>
    <x v="4"/>
    <x v="1"/>
  </r>
  <r>
    <s v="ORD00358"/>
    <s v="2024-06-18"/>
    <x v="0"/>
    <x v="14"/>
    <s v="Guwahati"/>
    <x v="2"/>
    <x v="14"/>
    <x v="2"/>
    <s v="Credit Card"/>
    <n v="9"/>
    <n v="273258"/>
    <n v="191280.59999999998"/>
    <n v="81977.400000000023"/>
    <x v="3"/>
    <x v="0"/>
  </r>
  <r>
    <s v="ORD00359"/>
    <s v="2024-11-02"/>
    <x v="2"/>
    <x v="3"/>
    <s v="Ludhiana"/>
    <x v="3"/>
    <x v="6"/>
    <x v="2"/>
    <s v="Debit Card"/>
    <n v="9"/>
    <n v="79956"/>
    <n v="55969.2"/>
    <n v="23986.800000000003"/>
    <x v="6"/>
    <x v="0"/>
  </r>
  <r>
    <s v="ORD00360"/>
    <s v="2024-03-08"/>
    <x v="0"/>
    <x v="0"/>
    <s v="Bhubaneswar"/>
    <x v="0"/>
    <x v="0"/>
    <x v="0"/>
    <s v="Debit Card"/>
    <n v="10"/>
    <n v="248700"/>
    <n v="174090"/>
    <n v="74610"/>
    <x v="2"/>
    <x v="0"/>
  </r>
  <r>
    <s v="ORD00361"/>
    <s v="2024-08-12"/>
    <x v="1"/>
    <x v="9"/>
    <s v="Kolhapur"/>
    <x v="3"/>
    <x v="11"/>
    <x v="1"/>
    <s v="Cash"/>
    <n v="3"/>
    <n v="34461"/>
    <n v="24122.699999999997"/>
    <n v="10338.300000000003"/>
    <x v="4"/>
    <x v="0"/>
  </r>
  <r>
    <s v="ORD00362"/>
    <s v="2024-07-01"/>
    <x v="2"/>
    <x v="3"/>
    <s v="Ludhiana"/>
    <x v="2"/>
    <x v="15"/>
    <x v="0"/>
    <s v="Net Banking"/>
    <n v="6"/>
    <n v="204966"/>
    <n v="143476.19999999998"/>
    <n v="61489.800000000017"/>
    <x v="0"/>
    <x v="0"/>
  </r>
  <r>
    <s v="ORD00363"/>
    <s v="2024-04-08"/>
    <x v="3"/>
    <x v="6"/>
    <s v="Hyderabad"/>
    <x v="1"/>
    <x v="8"/>
    <x v="2"/>
    <s v="UPI"/>
    <n v="10"/>
    <n v="299740"/>
    <n v="209818"/>
    <n v="89922"/>
    <x v="11"/>
    <x v="0"/>
  </r>
  <r>
    <s v="ORD00364"/>
    <s v="2024-06-02"/>
    <x v="3"/>
    <x v="6"/>
    <s v="Hyderabad"/>
    <x v="2"/>
    <x v="14"/>
    <x v="0"/>
    <s v="Debit Card"/>
    <n v="2"/>
    <n v="79714"/>
    <n v="55799.799999999996"/>
    <n v="23914.200000000004"/>
    <x v="3"/>
    <x v="0"/>
  </r>
  <r>
    <s v="ORD00365"/>
    <s v="2023-05-12"/>
    <x v="2"/>
    <x v="2"/>
    <s v="New Delhi"/>
    <x v="2"/>
    <x v="12"/>
    <x v="2"/>
    <s v="UPI"/>
    <n v="9"/>
    <n v="86292"/>
    <n v="60404.399999999994"/>
    <n v="25887.600000000006"/>
    <x v="9"/>
    <x v="1"/>
  </r>
  <r>
    <s v="ORD00366"/>
    <s v="2023-07-29"/>
    <x v="1"/>
    <x v="1"/>
    <s v="Ahmedabad"/>
    <x v="1"/>
    <x v="1"/>
    <x v="0"/>
    <s v="Credit Card"/>
    <n v="7"/>
    <n v="161525"/>
    <n v="113067.5"/>
    <n v="48457.5"/>
    <x v="0"/>
    <x v="1"/>
  </r>
  <r>
    <s v="ORD00367"/>
    <s v="2023-09-11"/>
    <x v="2"/>
    <x v="11"/>
    <s v="Lucknow"/>
    <x v="3"/>
    <x v="11"/>
    <x v="2"/>
    <s v="Cash"/>
    <n v="9"/>
    <n v="438021"/>
    <n v="306614.69999999995"/>
    <n v="131406.30000000005"/>
    <x v="10"/>
    <x v="1"/>
  </r>
  <r>
    <s v="ORD00368"/>
    <s v="2023-04-16"/>
    <x v="3"/>
    <x v="5"/>
    <s v="Kochi"/>
    <x v="1"/>
    <x v="7"/>
    <x v="1"/>
    <s v="UPI"/>
    <n v="1"/>
    <n v="31828"/>
    <n v="22279.599999999999"/>
    <n v="9548.4000000000015"/>
    <x v="11"/>
    <x v="1"/>
  </r>
  <r>
    <s v="ORD00369"/>
    <s v="2024-02-13"/>
    <x v="3"/>
    <x v="6"/>
    <s v="Hyderabad"/>
    <x v="1"/>
    <x v="5"/>
    <x v="0"/>
    <s v="UPI"/>
    <n v="2"/>
    <n v="85822"/>
    <n v="60075.399999999994"/>
    <n v="25746.600000000006"/>
    <x v="1"/>
    <x v="0"/>
  </r>
  <r>
    <s v="ORD00370"/>
    <s v="2024-06-13"/>
    <x v="1"/>
    <x v="9"/>
    <s v="Kolhapur"/>
    <x v="1"/>
    <x v="5"/>
    <x v="2"/>
    <s v="Credit Card"/>
    <n v="2"/>
    <n v="83616"/>
    <n v="58531.199999999997"/>
    <n v="25084.800000000003"/>
    <x v="3"/>
    <x v="0"/>
  </r>
  <r>
    <s v="ORD00371"/>
    <s v="2024-01-12"/>
    <x v="2"/>
    <x v="3"/>
    <s v="Ludhiana"/>
    <x v="3"/>
    <x v="11"/>
    <x v="0"/>
    <s v="Net Banking"/>
    <n v="5"/>
    <n v="188910"/>
    <n v="132237"/>
    <n v="56673"/>
    <x v="8"/>
    <x v="0"/>
  </r>
  <r>
    <s v="ORD00372"/>
    <s v="2023-06-19"/>
    <x v="0"/>
    <x v="0"/>
    <s v="Bhubaneswar"/>
    <x v="3"/>
    <x v="9"/>
    <x v="2"/>
    <s v="Debit Card"/>
    <n v="9"/>
    <n v="368145"/>
    <n v="257701.49999999997"/>
    <n v="110443.50000000003"/>
    <x v="3"/>
    <x v="1"/>
  </r>
  <r>
    <s v="ORD00373"/>
    <s v="2024-07-15"/>
    <x v="1"/>
    <x v="1"/>
    <s v="Ahmedabad"/>
    <x v="0"/>
    <x v="0"/>
    <x v="2"/>
    <s v="Credit Card"/>
    <n v="8"/>
    <n v="279472"/>
    <n v="195630.4"/>
    <n v="83841.600000000006"/>
    <x v="0"/>
    <x v="0"/>
  </r>
  <r>
    <s v="ORD00374"/>
    <s v="2024-08-13"/>
    <x v="3"/>
    <x v="6"/>
    <s v="Hyderabad"/>
    <x v="0"/>
    <x v="10"/>
    <x v="2"/>
    <s v="Cash"/>
    <n v="2"/>
    <n v="27166"/>
    <n v="19016.199999999997"/>
    <n v="8149.8000000000029"/>
    <x v="4"/>
    <x v="0"/>
  </r>
  <r>
    <s v="ORD00375"/>
    <s v="2024-11-26"/>
    <x v="3"/>
    <x v="7"/>
    <s v="Chennai"/>
    <x v="0"/>
    <x v="4"/>
    <x v="1"/>
    <s v="Credit Card"/>
    <n v="8"/>
    <n v="258032"/>
    <n v="180622.4"/>
    <n v="77409.600000000006"/>
    <x v="6"/>
    <x v="0"/>
  </r>
  <r>
    <s v="ORD00376"/>
    <s v="2023-10-23"/>
    <x v="3"/>
    <x v="5"/>
    <s v="Kochi"/>
    <x v="0"/>
    <x v="0"/>
    <x v="1"/>
    <s v="Cash"/>
    <n v="3"/>
    <n v="89436"/>
    <n v="62605.2"/>
    <n v="26830.800000000003"/>
    <x v="5"/>
    <x v="1"/>
  </r>
  <r>
    <s v="ORD00377"/>
    <s v="2024-01-22"/>
    <x v="2"/>
    <x v="11"/>
    <s v="Lucknow"/>
    <x v="1"/>
    <x v="1"/>
    <x v="1"/>
    <s v="Net Banking"/>
    <n v="6"/>
    <n v="264120"/>
    <n v="184884"/>
    <n v="79236"/>
    <x v="8"/>
    <x v="0"/>
  </r>
  <r>
    <s v="ORD00378"/>
    <s v="2024-06-02"/>
    <x v="2"/>
    <x v="2"/>
    <s v="New Delhi"/>
    <x v="1"/>
    <x v="1"/>
    <x v="0"/>
    <s v="UPI"/>
    <n v="2"/>
    <n v="54872"/>
    <n v="38410.399999999994"/>
    <n v="16461.600000000006"/>
    <x v="3"/>
    <x v="0"/>
  </r>
  <r>
    <s v="ORD00379"/>
    <s v="2023-06-02"/>
    <x v="2"/>
    <x v="4"/>
    <s v="Gurgaon"/>
    <x v="2"/>
    <x v="3"/>
    <x v="0"/>
    <s v="Credit Card"/>
    <n v="2"/>
    <n v="24874"/>
    <n v="17411.8"/>
    <n v="7462.2000000000007"/>
    <x v="3"/>
    <x v="1"/>
  </r>
  <r>
    <s v="ORD00380"/>
    <s v="2024-05-12"/>
    <x v="2"/>
    <x v="11"/>
    <s v="Lucknow"/>
    <x v="3"/>
    <x v="6"/>
    <x v="2"/>
    <s v="Cash"/>
    <n v="5"/>
    <n v="23050"/>
    <n v="16134.999999999998"/>
    <n v="6915.0000000000018"/>
    <x v="9"/>
    <x v="0"/>
  </r>
  <r>
    <s v="ORD00381"/>
    <s v="2023-06-01"/>
    <x v="0"/>
    <x v="13"/>
    <s v="Kolkata"/>
    <x v="2"/>
    <x v="12"/>
    <x v="1"/>
    <s v="Cash"/>
    <n v="2"/>
    <n v="14312"/>
    <n v="10018.4"/>
    <n v="4293.6000000000004"/>
    <x v="3"/>
    <x v="1"/>
  </r>
  <r>
    <s v="ORD00382"/>
    <s v="2023-11-13"/>
    <x v="0"/>
    <x v="0"/>
    <s v="Bhubaneswar"/>
    <x v="1"/>
    <x v="1"/>
    <x v="1"/>
    <s v="UPI"/>
    <n v="2"/>
    <n v="90730"/>
    <n v="63510.999999999993"/>
    <n v="27219.000000000007"/>
    <x v="6"/>
    <x v="1"/>
  </r>
  <r>
    <s v="ORD00383"/>
    <s v="2023-01-19"/>
    <x v="1"/>
    <x v="9"/>
    <s v="Kolhapur"/>
    <x v="0"/>
    <x v="0"/>
    <x v="0"/>
    <s v="Debit Card"/>
    <n v="5"/>
    <n v="121825"/>
    <n v="85277.5"/>
    <n v="36547.5"/>
    <x v="8"/>
    <x v="1"/>
  </r>
  <r>
    <s v="ORD00384"/>
    <s v="2023-01-07"/>
    <x v="3"/>
    <x v="5"/>
    <s v="Kochi"/>
    <x v="2"/>
    <x v="12"/>
    <x v="1"/>
    <s v="Net Banking"/>
    <n v="9"/>
    <n v="234441"/>
    <n v="164108.69999999998"/>
    <n v="70332.300000000017"/>
    <x v="8"/>
    <x v="1"/>
  </r>
  <r>
    <s v="ORD00385"/>
    <s v="2024-05-04"/>
    <x v="1"/>
    <x v="8"/>
    <s v="Panaji"/>
    <x v="0"/>
    <x v="10"/>
    <x v="1"/>
    <s v="Net Banking"/>
    <n v="6"/>
    <n v="86406"/>
    <n v="60484.2"/>
    <n v="25921.800000000003"/>
    <x v="9"/>
    <x v="0"/>
  </r>
  <r>
    <s v="ORD00386"/>
    <s v="2023-07-05"/>
    <x v="3"/>
    <x v="10"/>
    <s v="Bangalore"/>
    <x v="3"/>
    <x v="9"/>
    <x v="1"/>
    <s v="UPI"/>
    <n v="6"/>
    <n v="283950"/>
    <n v="198765"/>
    <n v="85185"/>
    <x v="0"/>
    <x v="1"/>
  </r>
  <r>
    <s v="ORD00387"/>
    <s v="2023-05-26"/>
    <x v="3"/>
    <x v="10"/>
    <s v="Bangalore"/>
    <x v="0"/>
    <x v="2"/>
    <x v="1"/>
    <s v="Credit Card"/>
    <n v="8"/>
    <n v="352736"/>
    <n v="246915.19999999998"/>
    <n v="105820.80000000002"/>
    <x v="9"/>
    <x v="1"/>
  </r>
  <r>
    <s v="ORD00388"/>
    <s v="2023-11-05"/>
    <x v="2"/>
    <x v="11"/>
    <s v="Lucknow"/>
    <x v="3"/>
    <x v="13"/>
    <x v="0"/>
    <s v="Net Banking"/>
    <n v="5"/>
    <n v="4540"/>
    <n v="3178"/>
    <n v="1362"/>
    <x v="6"/>
    <x v="1"/>
  </r>
  <r>
    <s v="ORD00389"/>
    <s v="2024-07-04"/>
    <x v="1"/>
    <x v="8"/>
    <s v="Panaji"/>
    <x v="2"/>
    <x v="15"/>
    <x v="2"/>
    <s v="Credit Card"/>
    <n v="4"/>
    <n v="16956"/>
    <n v="11869.199999999999"/>
    <n v="5086.8000000000011"/>
    <x v="0"/>
    <x v="0"/>
  </r>
  <r>
    <s v="ORD00390"/>
    <s v="2023-11-21"/>
    <x v="2"/>
    <x v="4"/>
    <s v="Gurgaon"/>
    <x v="3"/>
    <x v="11"/>
    <x v="0"/>
    <s v="UPI"/>
    <n v="4"/>
    <n v="104460"/>
    <n v="73122"/>
    <n v="31338"/>
    <x v="6"/>
    <x v="1"/>
  </r>
  <r>
    <s v="ORD00391"/>
    <s v="2023-09-25"/>
    <x v="1"/>
    <x v="9"/>
    <s v="Pune"/>
    <x v="0"/>
    <x v="10"/>
    <x v="0"/>
    <s v="UPI"/>
    <n v="5"/>
    <n v="79065"/>
    <n v="55345.5"/>
    <n v="23719.5"/>
    <x v="10"/>
    <x v="1"/>
  </r>
  <r>
    <s v="ORD00392"/>
    <s v="2023-11-15"/>
    <x v="1"/>
    <x v="1"/>
    <s v="Ahmedabad"/>
    <x v="1"/>
    <x v="8"/>
    <x v="2"/>
    <s v="Net Banking"/>
    <n v="8"/>
    <n v="119480"/>
    <n v="83636"/>
    <n v="35844"/>
    <x v="6"/>
    <x v="1"/>
  </r>
  <r>
    <s v="ORD00393"/>
    <s v="2024-02-07"/>
    <x v="1"/>
    <x v="1"/>
    <s v="Ahmedabad"/>
    <x v="3"/>
    <x v="11"/>
    <x v="0"/>
    <s v="Credit Card"/>
    <n v="8"/>
    <n v="206952"/>
    <n v="144866.4"/>
    <n v="62085.600000000006"/>
    <x v="1"/>
    <x v="0"/>
  </r>
  <r>
    <s v="ORD00394"/>
    <s v="2023-02-21"/>
    <x v="1"/>
    <x v="8"/>
    <s v="Panaji"/>
    <x v="0"/>
    <x v="2"/>
    <x v="1"/>
    <s v="Cash"/>
    <n v="4"/>
    <n v="79404"/>
    <n v="55582.799999999996"/>
    <n v="23821.200000000004"/>
    <x v="1"/>
    <x v="1"/>
  </r>
  <r>
    <s v="ORD00395"/>
    <s v="2024-09-19"/>
    <x v="0"/>
    <x v="13"/>
    <s v="Kolkata"/>
    <x v="2"/>
    <x v="3"/>
    <x v="0"/>
    <s v="Debit Card"/>
    <n v="10"/>
    <n v="326530"/>
    <n v="228571"/>
    <n v="97959"/>
    <x v="10"/>
    <x v="0"/>
  </r>
  <r>
    <s v="ORD00396"/>
    <s v="2023-12-21"/>
    <x v="1"/>
    <x v="8"/>
    <s v="Panaji"/>
    <x v="1"/>
    <x v="7"/>
    <x v="0"/>
    <s v="Credit Card"/>
    <n v="8"/>
    <n v="278200"/>
    <n v="194740"/>
    <n v="83460"/>
    <x v="7"/>
    <x v="1"/>
  </r>
  <r>
    <s v="ORD00397"/>
    <s v="2023-08-30"/>
    <x v="1"/>
    <x v="9"/>
    <s v="Pune"/>
    <x v="2"/>
    <x v="15"/>
    <x v="1"/>
    <s v="UPI"/>
    <n v="6"/>
    <n v="213618"/>
    <n v="149532.59999999998"/>
    <n v="64085.400000000023"/>
    <x v="4"/>
    <x v="1"/>
  </r>
  <r>
    <s v="ORD00398"/>
    <s v="2023-01-25"/>
    <x v="0"/>
    <x v="13"/>
    <s v="Kolkata"/>
    <x v="2"/>
    <x v="12"/>
    <x v="0"/>
    <s v="Cash"/>
    <n v="9"/>
    <n v="224208"/>
    <n v="156945.59999999998"/>
    <n v="67262.400000000023"/>
    <x v="8"/>
    <x v="1"/>
  </r>
  <r>
    <s v="ORD00399"/>
    <s v="2023-08-04"/>
    <x v="1"/>
    <x v="9"/>
    <s v="Pune"/>
    <x v="1"/>
    <x v="7"/>
    <x v="0"/>
    <s v="Debit Card"/>
    <n v="7"/>
    <n v="185115"/>
    <n v="129580.49999999999"/>
    <n v="55534.500000000015"/>
    <x v="4"/>
    <x v="1"/>
  </r>
  <r>
    <s v="ORD00400"/>
    <s v="2024-11-05"/>
    <x v="1"/>
    <x v="1"/>
    <s v="Ahmedabad"/>
    <x v="1"/>
    <x v="7"/>
    <x v="1"/>
    <s v="Cash"/>
    <n v="7"/>
    <n v="158179"/>
    <n v="110725.29999999999"/>
    <n v="47453.700000000012"/>
    <x v="6"/>
    <x v="0"/>
  </r>
  <r>
    <s v="ORD00401"/>
    <s v="2023-12-18"/>
    <x v="1"/>
    <x v="8"/>
    <s v="Panaji"/>
    <x v="3"/>
    <x v="9"/>
    <x v="2"/>
    <s v="UPI"/>
    <n v="6"/>
    <n v="160224"/>
    <n v="112156.79999999999"/>
    <n v="48067.200000000012"/>
    <x v="7"/>
    <x v="1"/>
  </r>
  <r>
    <s v="ORD00402"/>
    <s v="2023-01-17"/>
    <x v="0"/>
    <x v="13"/>
    <s v="Kolkata"/>
    <x v="2"/>
    <x v="15"/>
    <x v="0"/>
    <s v="Net Banking"/>
    <n v="6"/>
    <n v="230568"/>
    <n v="161397.59999999998"/>
    <n v="69170.400000000023"/>
    <x v="8"/>
    <x v="1"/>
  </r>
  <r>
    <s v="ORD00403"/>
    <s v="2023-08-04"/>
    <x v="3"/>
    <x v="6"/>
    <s v="Hyderabad"/>
    <x v="0"/>
    <x v="0"/>
    <x v="2"/>
    <s v="Net Banking"/>
    <n v="1"/>
    <n v="7524"/>
    <n v="5266.7999999999993"/>
    <n v="2257.2000000000007"/>
    <x v="4"/>
    <x v="1"/>
  </r>
  <r>
    <s v="ORD00404"/>
    <s v="2024-09-29"/>
    <x v="0"/>
    <x v="0"/>
    <s v="Bhubaneswar"/>
    <x v="2"/>
    <x v="14"/>
    <x v="2"/>
    <s v="Cash"/>
    <n v="3"/>
    <n v="54501"/>
    <n v="38150.699999999997"/>
    <n v="16350.300000000003"/>
    <x v="10"/>
    <x v="0"/>
  </r>
  <r>
    <s v="ORD00405"/>
    <s v="2024-06-08"/>
    <x v="0"/>
    <x v="13"/>
    <s v="Kolkata"/>
    <x v="0"/>
    <x v="4"/>
    <x v="1"/>
    <s v="Debit Card"/>
    <n v="8"/>
    <n v="77856"/>
    <n v="54499.199999999997"/>
    <n v="23356.800000000003"/>
    <x v="3"/>
    <x v="0"/>
  </r>
  <r>
    <s v="ORD00406"/>
    <s v="2023-11-27"/>
    <x v="2"/>
    <x v="11"/>
    <s v="Lucknow"/>
    <x v="2"/>
    <x v="3"/>
    <x v="1"/>
    <s v="Net Banking"/>
    <n v="3"/>
    <n v="136800"/>
    <n v="95760"/>
    <n v="41040"/>
    <x v="6"/>
    <x v="1"/>
  </r>
  <r>
    <s v="ORD00407"/>
    <s v="2023-05-24"/>
    <x v="1"/>
    <x v="9"/>
    <s v="Kolhapur"/>
    <x v="1"/>
    <x v="8"/>
    <x v="2"/>
    <s v="Cash"/>
    <n v="9"/>
    <n v="364590"/>
    <n v="255212.99999999997"/>
    <n v="109377.00000000003"/>
    <x v="9"/>
    <x v="1"/>
  </r>
  <r>
    <s v="ORD00408"/>
    <s v="2024-03-26"/>
    <x v="2"/>
    <x v="2"/>
    <s v="New Delhi"/>
    <x v="2"/>
    <x v="3"/>
    <x v="2"/>
    <s v="Credit Card"/>
    <n v="5"/>
    <n v="139265"/>
    <n v="97485.5"/>
    <n v="41779.5"/>
    <x v="2"/>
    <x v="0"/>
  </r>
  <r>
    <s v="ORD00409"/>
    <s v="2024-02-07"/>
    <x v="2"/>
    <x v="11"/>
    <s v="Lucknow"/>
    <x v="0"/>
    <x v="10"/>
    <x v="0"/>
    <s v="Net Banking"/>
    <n v="9"/>
    <n v="420705"/>
    <n v="294493.5"/>
    <n v="126211.5"/>
    <x v="1"/>
    <x v="0"/>
  </r>
  <r>
    <s v="ORD00410"/>
    <s v="2024-07-02"/>
    <x v="1"/>
    <x v="9"/>
    <s v="Pune"/>
    <x v="1"/>
    <x v="8"/>
    <x v="1"/>
    <s v="Credit Card"/>
    <n v="4"/>
    <n v="94284"/>
    <n v="65998.8"/>
    <n v="28285.199999999997"/>
    <x v="0"/>
    <x v="0"/>
  </r>
  <r>
    <s v="ORD00411"/>
    <s v="2023-12-01"/>
    <x v="2"/>
    <x v="11"/>
    <s v="Lucknow"/>
    <x v="1"/>
    <x v="7"/>
    <x v="0"/>
    <s v="Cash"/>
    <n v="6"/>
    <n v="241524"/>
    <n v="169066.8"/>
    <n v="72457.200000000012"/>
    <x v="7"/>
    <x v="1"/>
  </r>
  <r>
    <s v="ORD00412"/>
    <s v="2024-10-28"/>
    <x v="3"/>
    <x v="7"/>
    <s v="Chennai"/>
    <x v="0"/>
    <x v="2"/>
    <x v="2"/>
    <s v="UPI"/>
    <n v="7"/>
    <n v="267246"/>
    <n v="187072.19999999998"/>
    <n v="80173.800000000017"/>
    <x v="5"/>
    <x v="0"/>
  </r>
  <r>
    <s v="ORD00413"/>
    <s v="2023-12-17"/>
    <x v="3"/>
    <x v="6"/>
    <s v="Hyderabad"/>
    <x v="2"/>
    <x v="3"/>
    <x v="2"/>
    <s v="Net Banking"/>
    <n v="4"/>
    <n v="167160"/>
    <n v="117011.99999999999"/>
    <n v="50148.000000000015"/>
    <x v="7"/>
    <x v="1"/>
  </r>
  <r>
    <s v="ORD00414"/>
    <s v="2023-08-23"/>
    <x v="1"/>
    <x v="9"/>
    <s v="Kolhapur"/>
    <x v="2"/>
    <x v="12"/>
    <x v="0"/>
    <s v="Net Banking"/>
    <n v="6"/>
    <n v="201168"/>
    <n v="140817.59999999998"/>
    <n v="60350.400000000023"/>
    <x v="4"/>
    <x v="1"/>
  </r>
  <r>
    <s v="ORD00415"/>
    <s v="2024-03-17"/>
    <x v="1"/>
    <x v="8"/>
    <s v="Panaji"/>
    <x v="3"/>
    <x v="13"/>
    <x v="2"/>
    <s v="Credit Card"/>
    <n v="7"/>
    <n v="253484"/>
    <n v="177438.8"/>
    <n v="76045.200000000012"/>
    <x v="2"/>
    <x v="0"/>
  </r>
  <r>
    <s v="ORD00416"/>
    <s v="2023-11-25"/>
    <x v="1"/>
    <x v="9"/>
    <s v="Kolhapur"/>
    <x v="1"/>
    <x v="1"/>
    <x v="0"/>
    <s v="Cash"/>
    <n v="6"/>
    <n v="4158"/>
    <n v="2910.6"/>
    <n v="1247.4000000000001"/>
    <x v="6"/>
    <x v="1"/>
  </r>
  <r>
    <s v="ORD00417"/>
    <s v="2024-01-30"/>
    <x v="2"/>
    <x v="11"/>
    <s v="Lucknow"/>
    <x v="3"/>
    <x v="6"/>
    <x v="0"/>
    <s v="Debit Card"/>
    <n v="8"/>
    <n v="290416"/>
    <n v="203291.19999999998"/>
    <n v="87124.800000000017"/>
    <x v="8"/>
    <x v="0"/>
  </r>
  <r>
    <s v="ORD00418"/>
    <s v="2024-02-26"/>
    <x v="3"/>
    <x v="10"/>
    <s v="Bangalore"/>
    <x v="2"/>
    <x v="3"/>
    <x v="1"/>
    <s v="Debit Card"/>
    <n v="7"/>
    <n v="233205"/>
    <n v="163243.5"/>
    <n v="69961.5"/>
    <x v="1"/>
    <x v="0"/>
  </r>
  <r>
    <s v="ORD00419"/>
    <s v="2023-11-05"/>
    <x v="0"/>
    <x v="12"/>
    <s v="Patna"/>
    <x v="3"/>
    <x v="11"/>
    <x v="2"/>
    <s v="Credit Card"/>
    <n v="6"/>
    <n v="85788"/>
    <n v="60051.6"/>
    <n v="25736.400000000001"/>
    <x v="6"/>
    <x v="1"/>
  </r>
  <r>
    <s v="ORD00420"/>
    <s v="2023-06-25"/>
    <x v="2"/>
    <x v="11"/>
    <s v="Lucknow"/>
    <x v="3"/>
    <x v="6"/>
    <x v="0"/>
    <s v="Debit Card"/>
    <n v="5"/>
    <n v="16030"/>
    <n v="11221"/>
    <n v="4809"/>
    <x v="3"/>
    <x v="1"/>
  </r>
  <r>
    <s v="ORD00421"/>
    <s v="2024-08-23"/>
    <x v="2"/>
    <x v="2"/>
    <s v="New Delhi"/>
    <x v="1"/>
    <x v="7"/>
    <x v="2"/>
    <s v="Net Banking"/>
    <n v="4"/>
    <n v="23960"/>
    <n v="16772"/>
    <n v="7188"/>
    <x v="4"/>
    <x v="0"/>
  </r>
  <r>
    <s v="ORD00422"/>
    <s v="2024-06-16"/>
    <x v="3"/>
    <x v="5"/>
    <s v="Kochi"/>
    <x v="2"/>
    <x v="14"/>
    <x v="1"/>
    <s v="UPI"/>
    <n v="7"/>
    <n v="141911"/>
    <n v="99337.7"/>
    <n v="42573.3"/>
    <x v="3"/>
    <x v="0"/>
  </r>
  <r>
    <s v="ORD00423"/>
    <s v="2024-07-30"/>
    <x v="3"/>
    <x v="7"/>
    <s v="Chennai"/>
    <x v="1"/>
    <x v="7"/>
    <x v="0"/>
    <s v="Cash"/>
    <n v="5"/>
    <n v="214055"/>
    <n v="149838.5"/>
    <n v="64216.5"/>
    <x v="0"/>
    <x v="0"/>
  </r>
  <r>
    <s v="ORD00424"/>
    <s v="2024-11-20"/>
    <x v="2"/>
    <x v="2"/>
    <s v="New Delhi"/>
    <x v="2"/>
    <x v="12"/>
    <x v="0"/>
    <s v="Credit Card"/>
    <n v="4"/>
    <n v="169236"/>
    <n v="118465.2"/>
    <n v="50770.8"/>
    <x v="6"/>
    <x v="0"/>
  </r>
  <r>
    <s v="ORD00425"/>
    <s v="2024-06-17"/>
    <x v="3"/>
    <x v="6"/>
    <s v="Hyderabad"/>
    <x v="1"/>
    <x v="7"/>
    <x v="2"/>
    <s v="Cash"/>
    <n v="5"/>
    <n v="182010"/>
    <n v="127406.99999999999"/>
    <n v="54603.000000000015"/>
    <x v="3"/>
    <x v="0"/>
  </r>
  <r>
    <s v="ORD00426"/>
    <s v="2024-03-07"/>
    <x v="2"/>
    <x v="2"/>
    <s v="New Delhi"/>
    <x v="0"/>
    <x v="0"/>
    <x v="0"/>
    <s v="Debit Card"/>
    <n v="10"/>
    <n v="431220"/>
    <n v="301854"/>
    <n v="129366"/>
    <x v="2"/>
    <x v="0"/>
  </r>
  <r>
    <s v="ORD00427"/>
    <s v="2023-04-08"/>
    <x v="3"/>
    <x v="6"/>
    <s v="Hyderabad"/>
    <x v="3"/>
    <x v="6"/>
    <x v="1"/>
    <s v="UPI"/>
    <n v="2"/>
    <n v="15732"/>
    <n v="11012.4"/>
    <n v="4719.6000000000004"/>
    <x v="11"/>
    <x v="1"/>
  </r>
  <r>
    <s v="ORD00428"/>
    <s v="2024-02-18"/>
    <x v="2"/>
    <x v="11"/>
    <s v="Lucknow"/>
    <x v="0"/>
    <x v="4"/>
    <x v="0"/>
    <s v="Debit Card"/>
    <n v="7"/>
    <n v="3927"/>
    <n v="2748.8999999999996"/>
    <n v="1178.1000000000004"/>
    <x v="1"/>
    <x v="0"/>
  </r>
  <r>
    <s v="ORD00429"/>
    <s v="2023-01-05"/>
    <x v="3"/>
    <x v="10"/>
    <s v="Bangalore"/>
    <x v="3"/>
    <x v="6"/>
    <x v="0"/>
    <s v="Cash"/>
    <n v="3"/>
    <n v="42117"/>
    <n v="29481.899999999998"/>
    <n v="12635.100000000002"/>
    <x v="8"/>
    <x v="1"/>
  </r>
  <r>
    <s v="ORD00430"/>
    <s v="2024-02-23"/>
    <x v="0"/>
    <x v="13"/>
    <s v="Kolkata"/>
    <x v="3"/>
    <x v="6"/>
    <x v="0"/>
    <s v="Credit Card"/>
    <n v="5"/>
    <n v="172870"/>
    <n v="121008.99999999999"/>
    <n v="51861.000000000015"/>
    <x v="1"/>
    <x v="0"/>
  </r>
  <r>
    <s v="ORD00431"/>
    <s v="2024-06-07"/>
    <x v="3"/>
    <x v="7"/>
    <s v="Chennai"/>
    <x v="1"/>
    <x v="1"/>
    <x v="1"/>
    <s v="Credit Card"/>
    <n v="8"/>
    <n v="241728"/>
    <n v="169209.59999999998"/>
    <n v="72518.400000000023"/>
    <x v="3"/>
    <x v="0"/>
  </r>
  <r>
    <s v="ORD00432"/>
    <s v="2023-08-29"/>
    <x v="3"/>
    <x v="5"/>
    <s v="Kochi"/>
    <x v="3"/>
    <x v="9"/>
    <x v="1"/>
    <s v="UPI"/>
    <n v="4"/>
    <n v="28636"/>
    <n v="20045.199999999997"/>
    <n v="8590.8000000000029"/>
    <x v="4"/>
    <x v="1"/>
  </r>
  <r>
    <s v="ORD00433"/>
    <s v="2023-06-21"/>
    <x v="3"/>
    <x v="7"/>
    <s v="Chennai"/>
    <x v="3"/>
    <x v="13"/>
    <x v="2"/>
    <s v="Credit Card"/>
    <n v="2"/>
    <n v="51748"/>
    <n v="36223.599999999999"/>
    <n v="15524.400000000001"/>
    <x v="3"/>
    <x v="1"/>
  </r>
  <r>
    <s v="ORD00434"/>
    <s v="2024-04-23"/>
    <x v="1"/>
    <x v="1"/>
    <s v="Ahmedabad"/>
    <x v="0"/>
    <x v="0"/>
    <x v="1"/>
    <s v="Debit Card"/>
    <n v="10"/>
    <n v="390560"/>
    <n v="273392"/>
    <n v="117168"/>
    <x v="11"/>
    <x v="0"/>
  </r>
  <r>
    <s v="ORD00435"/>
    <s v="2023-10-25"/>
    <x v="0"/>
    <x v="14"/>
    <s v="Guwahati"/>
    <x v="0"/>
    <x v="2"/>
    <x v="0"/>
    <s v="Net Banking"/>
    <n v="3"/>
    <n v="38094"/>
    <n v="26665.8"/>
    <n v="11428.2"/>
    <x v="5"/>
    <x v="1"/>
  </r>
  <r>
    <s v="ORD00436"/>
    <s v="2024-05-12"/>
    <x v="3"/>
    <x v="6"/>
    <s v="Hyderabad"/>
    <x v="1"/>
    <x v="1"/>
    <x v="2"/>
    <s v="Debit Card"/>
    <n v="2"/>
    <n v="44254"/>
    <n v="30977.8"/>
    <n v="13276.2"/>
    <x v="9"/>
    <x v="0"/>
  </r>
  <r>
    <s v="ORD00437"/>
    <s v="2024-01-04"/>
    <x v="1"/>
    <x v="1"/>
    <s v="Ahmedabad"/>
    <x v="0"/>
    <x v="0"/>
    <x v="0"/>
    <s v="Net Banking"/>
    <n v="5"/>
    <n v="171225"/>
    <n v="119857.49999999999"/>
    <n v="51367.500000000015"/>
    <x v="8"/>
    <x v="0"/>
  </r>
  <r>
    <s v="ORD00438"/>
    <s v="2023-04-24"/>
    <x v="1"/>
    <x v="9"/>
    <s v="Pune"/>
    <x v="2"/>
    <x v="12"/>
    <x v="0"/>
    <s v="UPI"/>
    <n v="10"/>
    <n v="369890"/>
    <n v="258922.99999999997"/>
    <n v="110967.00000000003"/>
    <x v="11"/>
    <x v="1"/>
  </r>
  <r>
    <s v="ORD00439"/>
    <s v="2024-07-31"/>
    <x v="3"/>
    <x v="10"/>
    <s v="Bangalore"/>
    <x v="2"/>
    <x v="15"/>
    <x v="1"/>
    <s v="Credit Card"/>
    <n v="8"/>
    <n v="157936"/>
    <n v="110555.2"/>
    <n v="47380.800000000003"/>
    <x v="0"/>
    <x v="0"/>
  </r>
  <r>
    <s v="ORD00440"/>
    <s v="2024-10-11"/>
    <x v="0"/>
    <x v="14"/>
    <s v="Guwahati"/>
    <x v="0"/>
    <x v="2"/>
    <x v="1"/>
    <s v="UPI"/>
    <n v="5"/>
    <n v="224175"/>
    <n v="156922.5"/>
    <n v="67252.5"/>
    <x v="5"/>
    <x v="0"/>
  </r>
  <r>
    <s v="ORD00441"/>
    <s v="2023-01-07"/>
    <x v="0"/>
    <x v="12"/>
    <s v="Patna"/>
    <x v="0"/>
    <x v="10"/>
    <x v="1"/>
    <s v="Debit Card"/>
    <n v="10"/>
    <n v="445900"/>
    <n v="312130"/>
    <n v="133770"/>
    <x v="8"/>
    <x v="1"/>
  </r>
  <r>
    <s v="ORD00442"/>
    <s v="2024-04-11"/>
    <x v="2"/>
    <x v="3"/>
    <s v="Ludhiana"/>
    <x v="0"/>
    <x v="2"/>
    <x v="1"/>
    <s v="Cash"/>
    <n v="1"/>
    <n v="24009"/>
    <n v="16806.3"/>
    <n v="7202.7000000000007"/>
    <x v="11"/>
    <x v="0"/>
  </r>
  <r>
    <s v="ORD00443"/>
    <s v="2023-06-09"/>
    <x v="0"/>
    <x v="14"/>
    <s v="Guwahati"/>
    <x v="2"/>
    <x v="3"/>
    <x v="1"/>
    <s v="Credit Card"/>
    <n v="10"/>
    <n v="484670"/>
    <n v="339269"/>
    <n v="145401"/>
    <x v="3"/>
    <x v="1"/>
  </r>
  <r>
    <s v="ORD00444"/>
    <s v="2024-02-20"/>
    <x v="2"/>
    <x v="11"/>
    <s v="Lucknow"/>
    <x v="3"/>
    <x v="13"/>
    <x v="1"/>
    <s v="Debit Card"/>
    <n v="2"/>
    <n v="72008"/>
    <n v="50405.599999999999"/>
    <n v="21602.400000000001"/>
    <x v="1"/>
    <x v="0"/>
  </r>
  <r>
    <s v="ORD00445"/>
    <s v="2024-08-20"/>
    <x v="1"/>
    <x v="9"/>
    <s v="Pune"/>
    <x v="0"/>
    <x v="2"/>
    <x v="0"/>
    <s v="Net Banking"/>
    <n v="7"/>
    <n v="336448"/>
    <n v="235513.59999999998"/>
    <n v="100934.40000000002"/>
    <x v="4"/>
    <x v="0"/>
  </r>
  <r>
    <s v="ORD00446"/>
    <s v="2023-09-11"/>
    <x v="1"/>
    <x v="8"/>
    <s v="Panaji"/>
    <x v="1"/>
    <x v="7"/>
    <x v="1"/>
    <s v="UPI"/>
    <n v="1"/>
    <n v="46083"/>
    <n v="32258.1"/>
    <n v="13824.900000000001"/>
    <x v="10"/>
    <x v="1"/>
  </r>
  <r>
    <s v="ORD00447"/>
    <s v="2023-07-20"/>
    <x v="3"/>
    <x v="6"/>
    <s v="Hyderabad"/>
    <x v="2"/>
    <x v="14"/>
    <x v="0"/>
    <s v="Credit Card"/>
    <n v="10"/>
    <n v="240150"/>
    <n v="168105"/>
    <n v="72045"/>
    <x v="0"/>
    <x v="1"/>
  </r>
  <r>
    <s v="ORD00448"/>
    <s v="2023-11-18"/>
    <x v="1"/>
    <x v="1"/>
    <s v="Ahmedabad"/>
    <x v="3"/>
    <x v="6"/>
    <x v="2"/>
    <s v="Credit Card"/>
    <n v="10"/>
    <n v="53360"/>
    <n v="37352"/>
    <n v="16008"/>
    <x v="6"/>
    <x v="1"/>
  </r>
  <r>
    <s v="ORD00449"/>
    <s v="2023-08-22"/>
    <x v="0"/>
    <x v="0"/>
    <s v="Bhubaneswar"/>
    <x v="3"/>
    <x v="11"/>
    <x v="0"/>
    <s v="Debit Card"/>
    <n v="4"/>
    <n v="72696"/>
    <n v="50887.199999999997"/>
    <n v="21808.800000000003"/>
    <x v="4"/>
    <x v="1"/>
  </r>
  <r>
    <s v="ORD00450"/>
    <s v="2023-08-17"/>
    <x v="2"/>
    <x v="2"/>
    <s v="New Delhi"/>
    <x v="0"/>
    <x v="2"/>
    <x v="1"/>
    <s v="Credit Card"/>
    <n v="10"/>
    <n v="223560"/>
    <n v="156492"/>
    <n v="67068"/>
    <x v="4"/>
    <x v="1"/>
  </r>
  <r>
    <s v="ORD00451"/>
    <s v="2023-09-22"/>
    <x v="2"/>
    <x v="2"/>
    <s v="New Delhi"/>
    <x v="1"/>
    <x v="8"/>
    <x v="0"/>
    <s v="Credit Card"/>
    <n v="8"/>
    <n v="198344"/>
    <n v="138840.79999999999"/>
    <n v="59503.200000000012"/>
    <x v="10"/>
    <x v="1"/>
  </r>
  <r>
    <s v="ORD00452"/>
    <s v="2023-03-26"/>
    <x v="2"/>
    <x v="2"/>
    <s v="New Delhi"/>
    <x v="0"/>
    <x v="10"/>
    <x v="2"/>
    <s v="Cash"/>
    <n v="1"/>
    <n v="26202"/>
    <n v="18341.399999999998"/>
    <n v="7860.6000000000022"/>
    <x v="2"/>
    <x v="1"/>
  </r>
  <r>
    <s v="ORD00453"/>
    <s v="2024-04-01"/>
    <x v="2"/>
    <x v="2"/>
    <s v="New Delhi"/>
    <x v="1"/>
    <x v="7"/>
    <x v="0"/>
    <s v="Net Banking"/>
    <n v="1"/>
    <n v="40138"/>
    <n v="28096.6"/>
    <n v="12041.400000000001"/>
    <x v="11"/>
    <x v="0"/>
  </r>
  <r>
    <s v="ORD00454"/>
    <s v="2023-01-01"/>
    <x v="1"/>
    <x v="9"/>
    <s v="Pune"/>
    <x v="3"/>
    <x v="6"/>
    <x v="1"/>
    <s v="Cash"/>
    <n v="1"/>
    <n v="45285"/>
    <n v="31699.499999999996"/>
    <n v="13585.500000000004"/>
    <x v="8"/>
    <x v="1"/>
  </r>
  <r>
    <s v="ORD00455"/>
    <s v="2024-07-12"/>
    <x v="1"/>
    <x v="1"/>
    <s v="Ahmedabad"/>
    <x v="2"/>
    <x v="3"/>
    <x v="1"/>
    <s v="Debit Card"/>
    <n v="5"/>
    <n v="75660"/>
    <n v="52962"/>
    <n v="22698"/>
    <x v="0"/>
    <x v="0"/>
  </r>
  <r>
    <s v="ORD00456"/>
    <s v="2024-07-11"/>
    <x v="3"/>
    <x v="5"/>
    <s v="Kochi"/>
    <x v="1"/>
    <x v="5"/>
    <x v="0"/>
    <s v="UPI"/>
    <n v="9"/>
    <n v="201771"/>
    <n v="141239.69999999998"/>
    <n v="60531.300000000017"/>
    <x v="0"/>
    <x v="0"/>
  </r>
  <r>
    <s v="ORD00457"/>
    <s v="2023-09-07"/>
    <x v="0"/>
    <x v="14"/>
    <s v="Guwahati"/>
    <x v="0"/>
    <x v="0"/>
    <x v="0"/>
    <s v="Debit Card"/>
    <n v="3"/>
    <n v="39897"/>
    <n v="27927.899999999998"/>
    <n v="11969.100000000002"/>
    <x v="10"/>
    <x v="1"/>
  </r>
  <r>
    <s v="ORD00458"/>
    <s v="2023-09-05"/>
    <x v="2"/>
    <x v="11"/>
    <s v="Lucknow"/>
    <x v="0"/>
    <x v="10"/>
    <x v="2"/>
    <s v="Cash"/>
    <n v="1"/>
    <n v="20729"/>
    <n v="14510.3"/>
    <n v="6218.7000000000007"/>
    <x v="10"/>
    <x v="1"/>
  </r>
  <r>
    <s v="ORD00459"/>
    <s v="2023-06-18"/>
    <x v="0"/>
    <x v="14"/>
    <s v="Guwahati"/>
    <x v="2"/>
    <x v="12"/>
    <x v="1"/>
    <s v="Net Banking"/>
    <n v="3"/>
    <n v="4764"/>
    <n v="3334.7999999999997"/>
    <n v="1429.2000000000003"/>
    <x v="3"/>
    <x v="1"/>
  </r>
  <r>
    <s v="ORD00460"/>
    <s v="2024-10-05"/>
    <x v="0"/>
    <x v="12"/>
    <s v="Patna"/>
    <x v="3"/>
    <x v="13"/>
    <x v="2"/>
    <s v="Cash"/>
    <n v="4"/>
    <n v="119164"/>
    <n v="83414.799999999988"/>
    <n v="35749.200000000012"/>
    <x v="5"/>
    <x v="0"/>
  </r>
  <r>
    <s v="ORD00461"/>
    <s v="2023-12-15"/>
    <x v="1"/>
    <x v="9"/>
    <s v="Kolhapur"/>
    <x v="3"/>
    <x v="11"/>
    <x v="0"/>
    <s v="UPI"/>
    <n v="9"/>
    <n v="142155"/>
    <n v="99508.5"/>
    <n v="42646.5"/>
    <x v="7"/>
    <x v="1"/>
  </r>
  <r>
    <s v="ORD00462"/>
    <s v="2024-05-16"/>
    <x v="3"/>
    <x v="5"/>
    <s v="Kochi"/>
    <x v="0"/>
    <x v="10"/>
    <x v="1"/>
    <s v="Net Banking"/>
    <n v="3"/>
    <n v="141504"/>
    <n v="99052.799999999988"/>
    <n v="42451.200000000012"/>
    <x v="9"/>
    <x v="0"/>
  </r>
  <r>
    <s v="ORD00463"/>
    <s v="2023-12-24"/>
    <x v="2"/>
    <x v="3"/>
    <s v="Ludhiana"/>
    <x v="0"/>
    <x v="4"/>
    <x v="2"/>
    <s v="Credit Card"/>
    <n v="7"/>
    <n v="103677"/>
    <n v="72573.899999999994"/>
    <n v="31103.100000000006"/>
    <x v="7"/>
    <x v="1"/>
  </r>
  <r>
    <s v="ORD00464"/>
    <s v="2023-06-30"/>
    <x v="3"/>
    <x v="7"/>
    <s v="Chennai"/>
    <x v="2"/>
    <x v="3"/>
    <x v="1"/>
    <s v="Credit Card"/>
    <n v="4"/>
    <n v="25916"/>
    <n v="18141.199999999997"/>
    <n v="7774.8000000000029"/>
    <x v="3"/>
    <x v="1"/>
  </r>
  <r>
    <s v="ORD00465"/>
    <s v="2023-04-30"/>
    <x v="3"/>
    <x v="6"/>
    <s v="Hyderabad"/>
    <x v="1"/>
    <x v="5"/>
    <x v="1"/>
    <s v="Cash"/>
    <n v="3"/>
    <n v="145191"/>
    <n v="101633.7"/>
    <n v="43557.3"/>
    <x v="11"/>
    <x v="1"/>
  </r>
  <r>
    <s v="ORD00466"/>
    <s v="2023-11-29"/>
    <x v="1"/>
    <x v="9"/>
    <s v="Pune"/>
    <x v="3"/>
    <x v="6"/>
    <x v="2"/>
    <s v="Cash"/>
    <n v="4"/>
    <n v="114700"/>
    <n v="80290"/>
    <n v="34410"/>
    <x v="6"/>
    <x v="1"/>
  </r>
  <r>
    <s v="ORD00467"/>
    <s v="2024-04-24"/>
    <x v="3"/>
    <x v="5"/>
    <s v="Kochi"/>
    <x v="3"/>
    <x v="9"/>
    <x v="1"/>
    <s v="Debit Card"/>
    <n v="4"/>
    <n v="194260"/>
    <n v="135982"/>
    <n v="58278"/>
    <x v="11"/>
    <x v="0"/>
  </r>
  <r>
    <s v="ORD00468"/>
    <s v="2024-05-30"/>
    <x v="3"/>
    <x v="5"/>
    <s v="Kochi"/>
    <x v="2"/>
    <x v="14"/>
    <x v="2"/>
    <s v="Net Banking"/>
    <n v="5"/>
    <n v="50095"/>
    <n v="35066.5"/>
    <n v="15028.5"/>
    <x v="9"/>
    <x v="0"/>
  </r>
  <r>
    <s v="ORD00469"/>
    <s v="2024-01-11"/>
    <x v="2"/>
    <x v="3"/>
    <s v="Ludhiana"/>
    <x v="1"/>
    <x v="5"/>
    <x v="2"/>
    <s v="Debit Card"/>
    <n v="2"/>
    <n v="35418"/>
    <n v="24792.6"/>
    <n v="10625.400000000001"/>
    <x v="8"/>
    <x v="0"/>
  </r>
  <r>
    <s v="ORD00470"/>
    <s v="2024-08-26"/>
    <x v="3"/>
    <x v="5"/>
    <s v="Kochi"/>
    <x v="2"/>
    <x v="15"/>
    <x v="1"/>
    <s v="Cash"/>
    <n v="4"/>
    <n v="2664"/>
    <n v="1864.8"/>
    <n v="799.2"/>
    <x v="4"/>
    <x v="0"/>
  </r>
  <r>
    <s v="ORD00471"/>
    <s v="2024-01-22"/>
    <x v="3"/>
    <x v="5"/>
    <s v="Kochi"/>
    <x v="2"/>
    <x v="15"/>
    <x v="2"/>
    <s v="Debit Card"/>
    <n v="7"/>
    <n v="121058"/>
    <n v="84740.599999999991"/>
    <n v="36317.400000000009"/>
    <x v="8"/>
    <x v="0"/>
  </r>
  <r>
    <s v="ORD00472"/>
    <s v="2024-03-10"/>
    <x v="0"/>
    <x v="14"/>
    <s v="Guwahati"/>
    <x v="1"/>
    <x v="7"/>
    <x v="0"/>
    <s v="Credit Card"/>
    <n v="4"/>
    <n v="31468"/>
    <n v="22027.599999999999"/>
    <n v="9440.4000000000015"/>
    <x v="2"/>
    <x v="0"/>
  </r>
  <r>
    <s v="ORD00473"/>
    <s v="2024-11-03"/>
    <x v="3"/>
    <x v="5"/>
    <s v="Kochi"/>
    <x v="2"/>
    <x v="3"/>
    <x v="0"/>
    <s v="Credit Card"/>
    <n v="9"/>
    <n v="79029"/>
    <n v="55320.299999999996"/>
    <n v="23708.700000000004"/>
    <x v="6"/>
    <x v="0"/>
  </r>
  <r>
    <s v="ORD00474"/>
    <s v="2024-11-14"/>
    <x v="0"/>
    <x v="0"/>
    <s v="Bhubaneswar"/>
    <x v="3"/>
    <x v="6"/>
    <x v="2"/>
    <s v="Cash"/>
    <n v="9"/>
    <n v="193176"/>
    <n v="135223.19999999998"/>
    <n v="57952.800000000017"/>
    <x v="6"/>
    <x v="0"/>
  </r>
  <r>
    <s v="ORD00475"/>
    <s v="2023-03-17"/>
    <x v="2"/>
    <x v="3"/>
    <s v="Ludhiana"/>
    <x v="2"/>
    <x v="12"/>
    <x v="2"/>
    <s v="Debit Card"/>
    <n v="6"/>
    <n v="186534"/>
    <n v="130573.79999999999"/>
    <n v="55960.200000000012"/>
    <x v="2"/>
    <x v="1"/>
  </r>
  <r>
    <s v="ORD00476"/>
    <s v="2023-08-17"/>
    <x v="2"/>
    <x v="4"/>
    <s v="Gurgaon"/>
    <x v="0"/>
    <x v="4"/>
    <x v="1"/>
    <s v="UPI"/>
    <n v="4"/>
    <n v="122436"/>
    <n v="85705.2"/>
    <n v="36730.800000000003"/>
    <x v="4"/>
    <x v="1"/>
  </r>
  <r>
    <s v="ORD00477"/>
    <s v="2024-01-17"/>
    <x v="0"/>
    <x v="12"/>
    <s v="Patna"/>
    <x v="1"/>
    <x v="5"/>
    <x v="0"/>
    <s v="Credit Card"/>
    <n v="9"/>
    <n v="79668"/>
    <n v="55767.6"/>
    <n v="23900.400000000001"/>
    <x v="8"/>
    <x v="0"/>
  </r>
  <r>
    <s v="ORD00478"/>
    <s v="2024-09-08"/>
    <x v="0"/>
    <x v="13"/>
    <s v="Kolkata"/>
    <x v="0"/>
    <x v="4"/>
    <x v="0"/>
    <s v="UPI"/>
    <n v="4"/>
    <n v="70640"/>
    <n v="49448"/>
    <n v="21192"/>
    <x v="10"/>
    <x v="0"/>
  </r>
  <r>
    <s v="ORD00479"/>
    <s v="2023-08-16"/>
    <x v="3"/>
    <x v="7"/>
    <s v="Chennai"/>
    <x v="2"/>
    <x v="12"/>
    <x v="2"/>
    <s v="UPI"/>
    <n v="10"/>
    <n v="345380"/>
    <n v="241765.99999999997"/>
    <n v="103614.00000000003"/>
    <x v="4"/>
    <x v="1"/>
  </r>
  <r>
    <s v="ORD00480"/>
    <s v="2023-10-16"/>
    <x v="2"/>
    <x v="11"/>
    <s v="Lucknow"/>
    <x v="1"/>
    <x v="1"/>
    <x v="2"/>
    <s v="Credit Card"/>
    <n v="5"/>
    <n v="81660"/>
    <n v="57162"/>
    <n v="24498"/>
    <x v="5"/>
    <x v="1"/>
  </r>
  <r>
    <s v="ORD00481"/>
    <s v="2024-03-15"/>
    <x v="1"/>
    <x v="9"/>
    <s v="Pune"/>
    <x v="2"/>
    <x v="12"/>
    <x v="1"/>
    <s v="Cash"/>
    <n v="10"/>
    <n v="407610"/>
    <n v="285327"/>
    <n v="122283"/>
    <x v="2"/>
    <x v="0"/>
  </r>
  <r>
    <s v="ORD00482"/>
    <s v="2023-09-09"/>
    <x v="1"/>
    <x v="9"/>
    <s v="Pune"/>
    <x v="1"/>
    <x v="1"/>
    <x v="0"/>
    <s v="Cash"/>
    <n v="8"/>
    <n v="114184"/>
    <n v="79928.799999999988"/>
    <n v="34255.200000000012"/>
    <x v="10"/>
    <x v="1"/>
  </r>
  <r>
    <s v="ORD00483"/>
    <s v="2023-09-27"/>
    <x v="2"/>
    <x v="3"/>
    <s v="Ludhiana"/>
    <x v="3"/>
    <x v="11"/>
    <x v="1"/>
    <s v="UPI"/>
    <n v="4"/>
    <n v="17228"/>
    <n v="12059.599999999999"/>
    <n v="5168.4000000000015"/>
    <x v="10"/>
    <x v="1"/>
  </r>
  <r>
    <s v="ORD00484"/>
    <s v="2024-07-25"/>
    <x v="2"/>
    <x v="2"/>
    <s v="New Delhi"/>
    <x v="1"/>
    <x v="8"/>
    <x v="1"/>
    <s v="Cash"/>
    <n v="9"/>
    <n v="113409"/>
    <n v="79386.299999999988"/>
    <n v="34022.700000000012"/>
    <x v="0"/>
    <x v="0"/>
  </r>
  <r>
    <s v="ORD00485"/>
    <s v="2023-07-14"/>
    <x v="3"/>
    <x v="7"/>
    <s v="Chennai"/>
    <x v="1"/>
    <x v="8"/>
    <x v="2"/>
    <s v="Cash"/>
    <n v="7"/>
    <n v="172459"/>
    <n v="120721.29999999999"/>
    <n v="51737.700000000012"/>
    <x v="0"/>
    <x v="1"/>
  </r>
  <r>
    <s v="ORD00486"/>
    <s v="2023-07-16"/>
    <x v="2"/>
    <x v="2"/>
    <s v="New Delhi"/>
    <x v="2"/>
    <x v="15"/>
    <x v="1"/>
    <s v="Cash"/>
    <n v="6"/>
    <n v="159966"/>
    <n v="111976.2"/>
    <n v="47989.8"/>
    <x v="0"/>
    <x v="1"/>
  </r>
  <r>
    <s v="ORD00487"/>
    <s v="2024-08-09"/>
    <x v="3"/>
    <x v="5"/>
    <s v="Kochi"/>
    <x v="2"/>
    <x v="15"/>
    <x v="1"/>
    <s v="Cash"/>
    <n v="4"/>
    <n v="172776"/>
    <n v="120943.2"/>
    <n v="51832.800000000003"/>
    <x v="4"/>
    <x v="0"/>
  </r>
  <r>
    <s v="ORD00488"/>
    <s v="2024-04-22"/>
    <x v="1"/>
    <x v="1"/>
    <s v="Ahmedabad"/>
    <x v="1"/>
    <x v="5"/>
    <x v="0"/>
    <s v="Debit Card"/>
    <n v="5"/>
    <n v="73680"/>
    <n v="51576"/>
    <n v="22104"/>
    <x v="11"/>
    <x v="0"/>
  </r>
  <r>
    <s v="ORD00489"/>
    <s v="2023-12-26"/>
    <x v="0"/>
    <x v="0"/>
    <s v="Bhubaneswar"/>
    <x v="0"/>
    <x v="4"/>
    <x v="0"/>
    <s v="Cash"/>
    <n v="9"/>
    <n v="83556"/>
    <n v="58489.2"/>
    <n v="25066.800000000003"/>
    <x v="7"/>
    <x v="1"/>
  </r>
  <r>
    <s v="ORD00490"/>
    <s v="2023-10-20"/>
    <x v="2"/>
    <x v="4"/>
    <s v="Gurgaon"/>
    <x v="0"/>
    <x v="2"/>
    <x v="1"/>
    <s v="Net Banking"/>
    <n v="8"/>
    <n v="188528"/>
    <n v="131969.60000000001"/>
    <n v="56558.399999999994"/>
    <x v="5"/>
    <x v="1"/>
  </r>
  <r>
    <s v="ORD00491"/>
    <s v="2024-09-20"/>
    <x v="3"/>
    <x v="5"/>
    <s v="Kochi"/>
    <x v="1"/>
    <x v="1"/>
    <x v="1"/>
    <s v="Debit Card"/>
    <n v="2"/>
    <n v="3572"/>
    <n v="2500.3999999999996"/>
    <n v="1071.6000000000004"/>
    <x v="10"/>
    <x v="0"/>
  </r>
  <r>
    <s v="ORD00492"/>
    <s v="2024-03-31"/>
    <x v="3"/>
    <x v="10"/>
    <s v="Bangalore"/>
    <x v="2"/>
    <x v="12"/>
    <x v="0"/>
    <s v="Cash"/>
    <n v="4"/>
    <n v="148508"/>
    <n v="103955.59999999999"/>
    <n v="44552.400000000009"/>
    <x v="2"/>
    <x v="0"/>
  </r>
  <r>
    <s v="ORD00493"/>
    <s v="2024-06-08"/>
    <x v="3"/>
    <x v="7"/>
    <s v="Chennai"/>
    <x v="0"/>
    <x v="10"/>
    <x v="0"/>
    <s v="Net Banking"/>
    <n v="6"/>
    <n v="187590"/>
    <n v="131313"/>
    <n v="56277"/>
    <x v="3"/>
    <x v="0"/>
  </r>
  <r>
    <s v="ORD00494"/>
    <s v="2023-04-05"/>
    <x v="0"/>
    <x v="13"/>
    <s v="Kolkata"/>
    <x v="1"/>
    <x v="8"/>
    <x v="0"/>
    <s v="UPI"/>
    <n v="4"/>
    <n v="164528"/>
    <n v="115169.59999999999"/>
    <n v="49358.400000000009"/>
    <x v="11"/>
    <x v="1"/>
  </r>
  <r>
    <s v="ORD00495"/>
    <s v="2024-10-21"/>
    <x v="3"/>
    <x v="5"/>
    <s v="Kochi"/>
    <x v="1"/>
    <x v="5"/>
    <x v="1"/>
    <s v="UPI"/>
    <n v="2"/>
    <n v="2634"/>
    <n v="1843.8"/>
    <n v="790.2"/>
    <x v="5"/>
    <x v="0"/>
  </r>
  <r>
    <s v="ORD00496"/>
    <s v="2024-03-07"/>
    <x v="0"/>
    <x v="14"/>
    <s v="Guwahati"/>
    <x v="1"/>
    <x v="7"/>
    <x v="2"/>
    <s v="Credit Card"/>
    <n v="9"/>
    <n v="98784"/>
    <n v="69148.799999999988"/>
    <n v="29635.200000000012"/>
    <x v="2"/>
    <x v="0"/>
  </r>
  <r>
    <s v="ORD00497"/>
    <s v="2024-11-17"/>
    <x v="1"/>
    <x v="9"/>
    <s v="Kolhapur"/>
    <x v="3"/>
    <x v="13"/>
    <x v="1"/>
    <s v="Cash"/>
    <n v="10"/>
    <n v="75420"/>
    <n v="52794"/>
    <n v="22626"/>
    <x v="6"/>
    <x v="0"/>
  </r>
  <r>
    <s v="ORD00498"/>
    <s v="2024-06-21"/>
    <x v="1"/>
    <x v="9"/>
    <s v="Pune"/>
    <x v="0"/>
    <x v="4"/>
    <x v="1"/>
    <s v="Credit Card"/>
    <n v="1"/>
    <n v="15971"/>
    <n v="11179.699999999999"/>
    <n v="4791.3000000000011"/>
    <x v="3"/>
    <x v="0"/>
  </r>
  <r>
    <s v="ORD00499"/>
    <s v="2024-04-10"/>
    <x v="3"/>
    <x v="5"/>
    <s v="Kochi"/>
    <x v="3"/>
    <x v="6"/>
    <x v="2"/>
    <s v="Net Banking"/>
    <n v="5"/>
    <n v="55920"/>
    <n v="39144"/>
    <n v="16776"/>
    <x v="11"/>
    <x v="0"/>
  </r>
  <r>
    <s v="ORD00500"/>
    <s v="2023-10-13"/>
    <x v="1"/>
    <x v="9"/>
    <s v="Pune"/>
    <x v="0"/>
    <x v="10"/>
    <x v="0"/>
    <s v="Net Banking"/>
    <n v="10"/>
    <n v="191500"/>
    <n v="134050"/>
    <n v="57450"/>
    <x v="5"/>
    <x v="1"/>
  </r>
  <r>
    <s v="ORD00501"/>
    <s v="2023-01-23"/>
    <x v="0"/>
    <x v="14"/>
    <s v="Guwahati"/>
    <x v="3"/>
    <x v="6"/>
    <x v="1"/>
    <s v="Cash"/>
    <n v="5"/>
    <n v="192065"/>
    <n v="134445.5"/>
    <n v="57619.5"/>
    <x v="8"/>
    <x v="1"/>
  </r>
  <r>
    <s v="ORD00502"/>
    <s v="2024-05-05"/>
    <x v="3"/>
    <x v="5"/>
    <s v="Kochi"/>
    <x v="1"/>
    <x v="1"/>
    <x v="0"/>
    <s v="Debit Card"/>
    <n v="6"/>
    <n v="101400"/>
    <n v="70980"/>
    <n v="30420"/>
    <x v="9"/>
    <x v="0"/>
  </r>
  <r>
    <s v="ORD00503"/>
    <s v="2023-02-13"/>
    <x v="3"/>
    <x v="10"/>
    <s v="Bangalore"/>
    <x v="0"/>
    <x v="4"/>
    <x v="1"/>
    <s v="Net Banking"/>
    <n v="9"/>
    <n v="117855"/>
    <n v="82498.5"/>
    <n v="35356.5"/>
    <x v="1"/>
    <x v="1"/>
  </r>
  <r>
    <s v="ORD00504"/>
    <s v="2023-01-21"/>
    <x v="2"/>
    <x v="2"/>
    <s v="New Delhi"/>
    <x v="2"/>
    <x v="14"/>
    <x v="1"/>
    <s v="Cash"/>
    <n v="5"/>
    <n v="118950"/>
    <n v="83265"/>
    <n v="35685"/>
    <x v="8"/>
    <x v="1"/>
  </r>
  <r>
    <s v="ORD00505"/>
    <s v="2024-04-07"/>
    <x v="3"/>
    <x v="7"/>
    <s v="Chennai"/>
    <x v="2"/>
    <x v="12"/>
    <x v="1"/>
    <s v="Debit Card"/>
    <n v="8"/>
    <n v="397344"/>
    <n v="278140.79999999999"/>
    <n v="119203.20000000001"/>
    <x v="11"/>
    <x v="0"/>
  </r>
  <r>
    <s v="ORD00506"/>
    <s v="2023-02-12"/>
    <x v="1"/>
    <x v="9"/>
    <s v="Pune"/>
    <x v="1"/>
    <x v="1"/>
    <x v="1"/>
    <s v="Debit Card"/>
    <n v="5"/>
    <n v="151215"/>
    <n v="105850.5"/>
    <n v="45364.5"/>
    <x v="1"/>
    <x v="1"/>
  </r>
  <r>
    <s v="ORD00507"/>
    <s v="2023-06-22"/>
    <x v="2"/>
    <x v="4"/>
    <s v="Gurgaon"/>
    <x v="3"/>
    <x v="6"/>
    <x v="0"/>
    <s v="UPI"/>
    <n v="8"/>
    <n v="271672"/>
    <n v="190170.4"/>
    <n v="81501.600000000006"/>
    <x v="3"/>
    <x v="1"/>
  </r>
  <r>
    <s v="ORD00508"/>
    <s v="2023-02-06"/>
    <x v="2"/>
    <x v="3"/>
    <s v="Ludhiana"/>
    <x v="1"/>
    <x v="1"/>
    <x v="0"/>
    <s v="Cash"/>
    <n v="3"/>
    <n v="44454"/>
    <n v="31117.8"/>
    <n v="13336.2"/>
    <x v="1"/>
    <x v="1"/>
  </r>
  <r>
    <s v="ORD00509"/>
    <s v="2023-10-14"/>
    <x v="0"/>
    <x v="12"/>
    <s v="Patna"/>
    <x v="0"/>
    <x v="10"/>
    <x v="2"/>
    <s v="Debit Card"/>
    <n v="2"/>
    <n v="29528"/>
    <n v="20669.599999999999"/>
    <n v="8858.4000000000015"/>
    <x v="5"/>
    <x v="1"/>
  </r>
  <r>
    <s v="ORD00510"/>
    <s v="2023-06-12"/>
    <x v="0"/>
    <x v="13"/>
    <s v="Kolkata"/>
    <x v="3"/>
    <x v="9"/>
    <x v="1"/>
    <s v="UPI"/>
    <n v="3"/>
    <n v="52866"/>
    <n v="37006.199999999997"/>
    <n v="15859.800000000003"/>
    <x v="3"/>
    <x v="1"/>
  </r>
  <r>
    <s v="ORD00511"/>
    <s v="2023-09-26"/>
    <x v="2"/>
    <x v="4"/>
    <s v="Gurgaon"/>
    <x v="1"/>
    <x v="1"/>
    <x v="2"/>
    <s v="Net Banking"/>
    <n v="9"/>
    <n v="52992"/>
    <n v="37094.399999999994"/>
    <n v="15897.600000000006"/>
    <x v="10"/>
    <x v="1"/>
  </r>
  <r>
    <s v="ORD00512"/>
    <s v="2023-11-17"/>
    <x v="3"/>
    <x v="7"/>
    <s v="Chennai"/>
    <x v="1"/>
    <x v="1"/>
    <x v="0"/>
    <s v="Debit Card"/>
    <n v="5"/>
    <n v="146875"/>
    <n v="102812.5"/>
    <n v="44062.5"/>
    <x v="6"/>
    <x v="1"/>
  </r>
  <r>
    <s v="ORD00513"/>
    <s v="2023-04-11"/>
    <x v="3"/>
    <x v="7"/>
    <s v="Chennai"/>
    <x v="1"/>
    <x v="1"/>
    <x v="2"/>
    <s v="Net Banking"/>
    <n v="5"/>
    <n v="59520"/>
    <n v="41664"/>
    <n v="17856"/>
    <x v="11"/>
    <x v="1"/>
  </r>
  <r>
    <s v="ORD00514"/>
    <s v="2023-09-03"/>
    <x v="2"/>
    <x v="4"/>
    <s v="Gurgaon"/>
    <x v="3"/>
    <x v="6"/>
    <x v="1"/>
    <s v="Net Banking"/>
    <n v="5"/>
    <n v="37975"/>
    <n v="26582.5"/>
    <n v="11392.5"/>
    <x v="10"/>
    <x v="1"/>
  </r>
  <r>
    <s v="ORD00515"/>
    <s v="2023-06-06"/>
    <x v="0"/>
    <x v="14"/>
    <s v="Guwahati"/>
    <x v="0"/>
    <x v="2"/>
    <x v="2"/>
    <s v="Net Banking"/>
    <n v="6"/>
    <n v="101112"/>
    <n v="70778.399999999994"/>
    <n v="30333.600000000006"/>
    <x v="3"/>
    <x v="1"/>
  </r>
  <r>
    <s v="ORD00516"/>
    <s v="2024-06-28"/>
    <x v="2"/>
    <x v="3"/>
    <s v="Ludhiana"/>
    <x v="2"/>
    <x v="3"/>
    <x v="0"/>
    <s v="Cash"/>
    <n v="2"/>
    <n v="23700"/>
    <n v="16590"/>
    <n v="7110"/>
    <x v="3"/>
    <x v="0"/>
  </r>
  <r>
    <s v="ORD00517"/>
    <s v="2024-02-28"/>
    <x v="2"/>
    <x v="3"/>
    <s v="Ludhiana"/>
    <x v="0"/>
    <x v="4"/>
    <x v="0"/>
    <s v="Net Banking"/>
    <n v="5"/>
    <n v="138965"/>
    <n v="97275.5"/>
    <n v="41689.5"/>
    <x v="1"/>
    <x v="0"/>
  </r>
  <r>
    <s v="ORD00518"/>
    <s v="2024-11-20"/>
    <x v="1"/>
    <x v="9"/>
    <s v="Kolhapur"/>
    <x v="0"/>
    <x v="0"/>
    <x v="1"/>
    <s v="Credit Card"/>
    <n v="7"/>
    <n v="88599"/>
    <n v="62019.299999999996"/>
    <n v="26579.700000000004"/>
    <x v="6"/>
    <x v="0"/>
  </r>
  <r>
    <s v="ORD00519"/>
    <s v="2023-05-29"/>
    <x v="1"/>
    <x v="1"/>
    <s v="Ahmedabad"/>
    <x v="0"/>
    <x v="2"/>
    <x v="0"/>
    <s v="Net Banking"/>
    <n v="8"/>
    <n v="175184"/>
    <n v="122628.79999999999"/>
    <n v="52555.200000000012"/>
    <x v="9"/>
    <x v="1"/>
  </r>
  <r>
    <s v="ORD00520"/>
    <s v="2024-04-20"/>
    <x v="2"/>
    <x v="2"/>
    <s v="New Delhi"/>
    <x v="3"/>
    <x v="9"/>
    <x v="0"/>
    <s v="Net Banking"/>
    <n v="9"/>
    <n v="420912"/>
    <n v="294638.39999999997"/>
    <n v="126273.60000000003"/>
    <x v="11"/>
    <x v="0"/>
  </r>
  <r>
    <s v="ORD00521"/>
    <s v="2023-09-20"/>
    <x v="3"/>
    <x v="10"/>
    <s v="Bangalore"/>
    <x v="1"/>
    <x v="1"/>
    <x v="0"/>
    <s v="Net Banking"/>
    <n v="9"/>
    <n v="64179"/>
    <n v="44925.299999999996"/>
    <n v="19253.700000000004"/>
    <x v="10"/>
    <x v="1"/>
  </r>
  <r>
    <s v="ORD00522"/>
    <s v="2023-08-21"/>
    <x v="0"/>
    <x v="0"/>
    <s v="Bhubaneswar"/>
    <x v="2"/>
    <x v="3"/>
    <x v="2"/>
    <s v="Debit Card"/>
    <n v="9"/>
    <n v="351522"/>
    <n v="246065.4"/>
    <n v="105456.6"/>
    <x v="4"/>
    <x v="1"/>
  </r>
  <r>
    <s v="ORD00523"/>
    <s v="2024-01-29"/>
    <x v="0"/>
    <x v="0"/>
    <s v="Bhubaneswar"/>
    <x v="3"/>
    <x v="13"/>
    <x v="1"/>
    <s v="Net Banking"/>
    <n v="8"/>
    <n v="197768"/>
    <n v="138437.59999999998"/>
    <n v="59330.400000000023"/>
    <x v="8"/>
    <x v="0"/>
  </r>
  <r>
    <s v="ORD00524"/>
    <s v="2024-11-07"/>
    <x v="3"/>
    <x v="7"/>
    <s v="Chennai"/>
    <x v="1"/>
    <x v="5"/>
    <x v="0"/>
    <s v="Credit Card"/>
    <n v="4"/>
    <n v="17668"/>
    <n v="12367.599999999999"/>
    <n v="5300.4000000000015"/>
    <x v="6"/>
    <x v="0"/>
  </r>
  <r>
    <s v="ORD00525"/>
    <s v="2024-11-25"/>
    <x v="1"/>
    <x v="9"/>
    <s v="Pune"/>
    <x v="0"/>
    <x v="10"/>
    <x v="0"/>
    <s v="UPI"/>
    <n v="6"/>
    <n v="299202"/>
    <n v="209441.4"/>
    <n v="89760.6"/>
    <x v="6"/>
    <x v="0"/>
  </r>
  <r>
    <s v="ORD00526"/>
    <s v="2024-01-27"/>
    <x v="1"/>
    <x v="9"/>
    <s v="Pune"/>
    <x v="2"/>
    <x v="15"/>
    <x v="0"/>
    <s v="Net Banking"/>
    <n v="8"/>
    <n v="263640"/>
    <n v="184548"/>
    <n v="79092"/>
    <x v="8"/>
    <x v="0"/>
  </r>
  <r>
    <s v="ORD00527"/>
    <s v="2023-10-14"/>
    <x v="3"/>
    <x v="5"/>
    <s v="Kochi"/>
    <x v="1"/>
    <x v="1"/>
    <x v="2"/>
    <s v="Credit Card"/>
    <n v="3"/>
    <n v="7752"/>
    <n v="5426.4"/>
    <n v="2325.6000000000004"/>
    <x v="5"/>
    <x v="1"/>
  </r>
  <r>
    <s v="ORD00528"/>
    <s v="2023-04-25"/>
    <x v="0"/>
    <x v="0"/>
    <s v="Bhubaneswar"/>
    <x v="1"/>
    <x v="1"/>
    <x v="2"/>
    <s v="Cash"/>
    <n v="2"/>
    <n v="44690"/>
    <n v="31282.999999999996"/>
    <n v="13407.000000000004"/>
    <x v="11"/>
    <x v="1"/>
  </r>
  <r>
    <s v="ORD00529"/>
    <s v="2023-06-08"/>
    <x v="3"/>
    <x v="10"/>
    <s v="Bangalore"/>
    <x v="0"/>
    <x v="10"/>
    <x v="2"/>
    <s v="Net Banking"/>
    <n v="4"/>
    <n v="128460"/>
    <n v="89922"/>
    <n v="38538"/>
    <x v="3"/>
    <x v="1"/>
  </r>
  <r>
    <s v="ORD00530"/>
    <s v="2023-03-24"/>
    <x v="1"/>
    <x v="1"/>
    <s v="Ahmedabad"/>
    <x v="0"/>
    <x v="4"/>
    <x v="2"/>
    <s v="Net Banking"/>
    <n v="8"/>
    <n v="177600"/>
    <n v="124319.99999999999"/>
    <n v="53280.000000000015"/>
    <x v="2"/>
    <x v="1"/>
  </r>
  <r>
    <s v="ORD00531"/>
    <s v="2024-06-21"/>
    <x v="2"/>
    <x v="3"/>
    <s v="Ludhiana"/>
    <x v="1"/>
    <x v="5"/>
    <x v="0"/>
    <s v="Net Banking"/>
    <n v="3"/>
    <n v="5391"/>
    <n v="3773.7"/>
    <n v="1617.3000000000002"/>
    <x v="3"/>
    <x v="0"/>
  </r>
  <r>
    <s v="ORD00532"/>
    <s v="2023-08-17"/>
    <x v="3"/>
    <x v="6"/>
    <s v="Hyderabad"/>
    <x v="1"/>
    <x v="7"/>
    <x v="2"/>
    <s v="Net Banking"/>
    <n v="1"/>
    <n v="49680"/>
    <n v="34776"/>
    <n v="14904"/>
    <x v="4"/>
    <x v="1"/>
  </r>
  <r>
    <s v="ORD00533"/>
    <s v="2023-12-10"/>
    <x v="1"/>
    <x v="9"/>
    <s v="Pune"/>
    <x v="0"/>
    <x v="10"/>
    <x v="0"/>
    <s v="Net Banking"/>
    <n v="7"/>
    <n v="213731"/>
    <n v="149611.69999999998"/>
    <n v="64119.300000000017"/>
    <x v="7"/>
    <x v="1"/>
  </r>
  <r>
    <s v="ORD00534"/>
    <s v="2023-08-17"/>
    <x v="3"/>
    <x v="10"/>
    <s v="Bangalore"/>
    <x v="2"/>
    <x v="12"/>
    <x v="2"/>
    <s v="Net Banking"/>
    <n v="7"/>
    <n v="82635"/>
    <n v="57844.499999999993"/>
    <n v="24790.500000000007"/>
    <x v="4"/>
    <x v="1"/>
  </r>
  <r>
    <s v="ORD00535"/>
    <s v="2024-11-05"/>
    <x v="2"/>
    <x v="11"/>
    <s v="Lucknow"/>
    <x v="1"/>
    <x v="7"/>
    <x v="1"/>
    <s v="Cash"/>
    <n v="3"/>
    <n v="55488"/>
    <n v="38841.599999999999"/>
    <n v="16646.400000000001"/>
    <x v="6"/>
    <x v="0"/>
  </r>
  <r>
    <s v="ORD00536"/>
    <s v="2024-02-23"/>
    <x v="1"/>
    <x v="1"/>
    <s v="Ahmedabad"/>
    <x v="1"/>
    <x v="1"/>
    <x v="2"/>
    <s v="UPI"/>
    <n v="10"/>
    <n v="91710"/>
    <n v="64196.999999999993"/>
    <n v="27513.000000000007"/>
    <x v="1"/>
    <x v="0"/>
  </r>
  <r>
    <s v="ORD00537"/>
    <s v="2024-08-21"/>
    <x v="0"/>
    <x v="12"/>
    <s v="Patna"/>
    <x v="1"/>
    <x v="1"/>
    <x v="1"/>
    <s v="Debit Card"/>
    <n v="1"/>
    <n v="1703"/>
    <n v="1192.0999999999999"/>
    <n v="510.90000000000009"/>
    <x v="4"/>
    <x v="0"/>
  </r>
  <r>
    <s v="ORD00538"/>
    <s v="2023-02-21"/>
    <x v="3"/>
    <x v="10"/>
    <s v="Bangalore"/>
    <x v="2"/>
    <x v="14"/>
    <x v="0"/>
    <s v="Credit Card"/>
    <n v="1"/>
    <n v="32093"/>
    <n v="22465.1"/>
    <n v="9627.9000000000015"/>
    <x v="1"/>
    <x v="1"/>
  </r>
  <r>
    <s v="ORD00539"/>
    <s v="2023-04-05"/>
    <x v="3"/>
    <x v="6"/>
    <s v="Hyderabad"/>
    <x v="2"/>
    <x v="15"/>
    <x v="0"/>
    <s v="Cash"/>
    <n v="4"/>
    <n v="57808"/>
    <n v="40465.599999999999"/>
    <n v="17342.400000000001"/>
    <x v="11"/>
    <x v="1"/>
  </r>
  <r>
    <s v="ORD00540"/>
    <s v="2024-11-16"/>
    <x v="2"/>
    <x v="11"/>
    <s v="Lucknow"/>
    <x v="2"/>
    <x v="12"/>
    <x v="1"/>
    <s v="Credit Card"/>
    <n v="5"/>
    <n v="248055"/>
    <n v="173638.5"/>
    <n v="74416.5"/>
    <x v="6"/>
    <x v="0"/>
  </r>
  <r>
    <s v="ORD00541"/>
    <s v="2024-09-15"/>
    <x v="1"/>
    <x v="9"/>
    <s v="Kolhapur"/>
    <x v="0"/>
    <x v="4"/>
    <x v="2"/>
    <s v="Cash"/>
    <n v="7"/>
    <n v="209986"/>
    <n v="146990.19999999998"/>
    <n v="62995.800000000017"/>
    <x v="10"/>
    <x v="0"/>
  </r>
  <r>
    <s v="ORD00542"/>
    <s v="2024-04-14"/>
    <x v="2"/>
    <x v="11"/>
    <s v="Lucknow"/>
    <x v="0"/>
    <x v="0"/>
    <x v="1"/>
    <s v="Credit Card"/>
    <n v="1"/>
    <n v="27823"/>
    <n v="19476.099999999999"/>
    <n v="8346.9000000000015"/>
    <x v="11"/>
    <x v="0"/>
  </r>
  <r>
    <s v="ORD00543"/>
    <s v="2023-08-30"/>
    <x v="3"/>
    <x v="6"/>
    <s v="Hyderabad"/>
    <x v="3"/>
    <x v="13"/>
    <x v="1"/>
    <s v="Credit Card"/>
    <n v="2"/>
    <n v="39142"/>
    <n v="27399.399999999998"/>
    <n v="11742.600000000002"/>
    <x v="4"/>
    <x v="1"/>
  </r>
  <r>
    <s v="ORD00544"/>
    <s v="2023-11-18"/>
    <x v="3"/>
    <x v="10"/>
    <s v="Bangalore"/>
    <x v="1"/>
    <x v="5"/>
    <x v="2"/>
    <s v="Cash"/>
    <n v="1"/>
    <n v="16955"/>
    <n v="11868.5"/>
    <n v="5086.5"/>
    <x v="6"/>
    <x v="1"/>
  </r>
  <r>
    <s v="ORD00545"/>
    <s v="2024-04-04"/>
    <x v="2"/>
    <x v="2"/>
    <s v="New Delhi"/>
    <x v="0"/>
    <x v="0"/>
    <x v="2"/>
    <s v="Debit Card"/>
    <n v="1"/>
    <n v="3117"/>
    <n v="2181.8999999999996"/>
    <n v="935.10000000000036"/>
    <x v="11"/>
    <x v="0"/>
  </r>
  <r>
    <s v="ORD00546"/>
    <s v="2024-11-10"/>
    <x v="0"/>
    <x v="12"/>
    <s v="Patna"/>
    <x v="2"/>
    <x v="15"/>
    <x v="2"/>
    <s v="Debit Card"/>
    <n v="6"/>
    <n v="146838"/>
    <n v="102786.59999999999"/>
    <n v="44051.400000000009"/>
    <x v="6"/>
    <x v="0"/>
  </r>
  <r>
    <s v="ORD00547"/>
    <s v="2024-08-02"/>
    <x v="2"/>
    <x v="3"/>
    <s v="Ludhiana"/>
    <x v="3"/>
    <x v="6"/>
    <x v="1"/>
    <s v="Net Banking"/>
    <n v="8"/>
    <n v="12472"/>
    <n v="8730.4"/>
    <n v="3741.6000000000004"/>
    <x v="4"/>
    <x v="0"/>
  </r>
  <r>
    <s v="ORD00548"/>
    <s v="2024-11-22"/>
    <x v="2"/>
    <x v="4"/>
    <s v="Gurgaon"/>
    <x v="2"/>
    <x v="14"/>
    <x v="1"/>
    <s v="Cash"/>
    <n v="7"/>
    <n v="160531"/>
    <n v="112371.7"/>
    <n v="48159.3"/>
    <x v="6"/>
    <x v="0"/>
  </r>
  <r>
    <s v="ORD00549"/>
    <s v="2024-05-27"/>
    <x v="2"/>
    <x v="3"/>
    <s v="Ludhiana"/>
    <x v="2"/>
    <x v="14"/>
    <x v="2"/>
    <s v="UPI"/>
    <n v="9"/>
    <n v="347922"/>
    <n v="243545.4"/>
    <n v="104376.6"/>
    <x v="9"/>
    <x v="0"/>
  </r>
  <r>
    <s v="ORD00550"/>
    <s v="2024-04-22"/>
    <x v="2"/>
    <x v="3"/>
    <s v="Ludhiana"/>
    <x v="2"/>
    <x v="14"/>
    <x v="0"/>
    <s v="Credit Card"/>
    <n v="6"/>
    <n v="46458"/>
    <n v="32520.6"/>
    <n v="13937.400000000001"/>
    <x v="11"/>
    <x v="0"/>
  </r>
  <r>
    <s v="ORD00551"/>
    <s v="2023-08-26"/>
    <x v="3"/>
    <x v="7"/>
    <s v="Chennai"/>
    <x v="3"/>
    <x v="9"/>
    <x v="2"/>
    <s v="Debit Card"/>
    <n v="7"/>
    <n v="23744"/>
    <n v="16620.8"/>
    <n v="7123.2000000000007"/>
    <x v="4"/>
    <x v="1"/>
  </r>
  <r>
    <s v="ORD00552"/>
    <s v="2024-10-06"/>
    <x v="2"/>
    <x v="11"/>
    <s v="Lucknow"/>
    <x v="2"/>
    <x v="15"/>
    <x v="0"/>
    <s v="Debit Card"/>
    <n v="2"/>
    <n v="73032"/>
    <n v="51122.399999999994"/>
    <n v="21909.600000000006"/>
    <x v="5"/>
    <x v="0"/>
  </r>
  <r>
    <s v="ORD00553"/>
    <s v="2023-03-16"/>
    <x v="1"/>
    <x v="9"/>
    <s v="Pune"/>
    <x v="3"/>
    <x v="11"/>
    <x v="1"/>
    <s v="Net Banking"/>
    <n v="1"/>
    <n v="9075"/>
    <n v="6352.5"/>
    <n v="2722.5"/>
    <x v="2"/>
    <x v="1"/>
  </r>
  <r>
    <s v="ORD00554"/>
    <s v="2023-11-17"/>
    <x v="2"/>
    <x v="2"/>
    <s v="New Delhi"/>
    <x v="3"/>
    <x v="9"/>
    <x v="0"/>
    <s v="Debit Card"/>
    <n v="1"/>
    <n v="41985"/>
    <n v="29389.499999999996"/>
    <n v="12595.500000000004"/>
    <x v="6"/>
    <x v="1"/>
  </r>
  <r>
    <s v="ORD00555"/>
    <s v="2024-05-04"/>
    <x v="1"/>
    <x v="9"/>
    <s v="Pune"/>
    <x v="2"/>
    <x v="3"/>
    <x v="1"/>
    <s v="Credit Card"/>
    <n v="9"/>
    <n v="4986"/>
    <n v="3490.2"/>
    <n v="1495.8000000000002"/>
    <x v="9"/>
    <x v="0"/>
  </r>
  <r>
    <s v="ORD00556"/>
    <s v="2023-12-23"/>
    <x v="2"/>
    <x v="11"/>
    <s v="Lucknow"/>
    <x v="1"/>
    <x v="8"/>
    <x v="1"/>
    <s v="Net Banking"/>
    <n v="2"/>
    <n v="48792"/>
    <n v="34154.400000000001"/>
    <n v="14637.599999999999"/>
    <x v="7"/>
    <x v="1"/>
  </r>
  <r>
    <s v="ORD00557"/>
    <s v="2024-02-03"/>
    <x v="1"/>
    <x v="8"/>
    <s v="Panaji"/>
    <x v="3"/>
    <x v="13"/>
    <x v="1"/>
    <s v="Net Banking"/>
    <n v="2"/>
    <n v="39780"/>
    <n v="27846"/>
    <n v="11934"/>
    <x v="1"/>
    <x v="0"/>
  </r>
  <r>
    <s v="ORD00558"/>
    <s v="2023-10-15"/>
    <x v="0"/>
    <x v="14"/>
    <s v="Guwahati"/>
    <x v="1"/>
    <x v="1"/>
    <x v="0"/>
    <s v="UPI"/>
    <n v="6"/>
    <n v="171414"/>
    <n v="119989.79999999999"/>
    <n v="51424.200000000012"/>
    <x v="5"/>
    <x v="1"/>
  </r>
  <r>
    <s v="ORD00559"/>
    <s v="2024-09-06"/>
    <x v="2"/>
    <x v="3"/>
    <s v="Ludhiana"/>
    <x v="2"/>
    <x v="15"/>
    <x v="0"/>
    <s v="UPI"/>
    <n v="7"/>
    <n v="187264"/>
    <n v="131084.79999999999"/>
    <n v="56179.200000000012"/>
    <x v="10"/>
    <x v="0"/>
  </r>
  <r>
    <s v="ORD00560"/>
    <s v="2023-02-23"/>
    <x v="0"/>
    <x v="0"/>
    <s v="Bhubaneswar"/>
    <x v="2"/>
    <x v="3"/>
    <x v="2"/>
    <s v="Cash"/>
    <n v="6"/>
    <n v="153930"/>
    <n v="107751"/>
    <n v="46179"/>
    <x v="1"/>
    <x v="1"/>
  </r>
  <r>
    <s v="ORD00561"/>
    <s v="2023-12-06"/>
    <x v="1"/>
    <x v="9"/>
    <s v="Pune"/>
    <x v="0"/>
    <x v="0"/>
    <x v="2"/>
    <s v="Net Banking"/>
    <n v="8"/>
    <n v="351096"/>
    <n v="245767.19999999998"/>
    <n v="105328.80000000002"/>
    <x v="7"/>
    <x v="1"/>
  </r>
  <r>
    <s v="ORD00562"/>
    <s v="2024-11-10"/>
    <x v="0"/>
    <x v="14"/>
    <s v="Guwahati"/>
    <x v="2"/>
    <x v="14"/>
    <x v="0"/>
    <s v="Net Banking"/>
    <n v="6"/>
    <n v="66060"/>
    <n v="46242"/>
    <n v="19818"/>
    <x v="6"/>
    <x v="0"/>
  </r>
  <r>
    <s v="ORD00563"/>
    <s v="2023-11-23"/>
    <x v="1"/>
    <x v="9"/>
    <s v="Pune"/>
    <x v="0"/>
    <x v="10"/>
    <x v="0"/>
    <s v="Credit Card"/>
    <n v="3"/>
    <n v="147564"/>
    <n v="103294.79999999999"/>
    <n v="44269.200000000012"/>
    <x v="6"/>
    <x v="1"/>
  </r>
  <r>
    <s v="ORD00564"/>
    <s v="2023-09-04"/>
    <x v="1"/>
    <x v="1"/>
    <s v="Ahmedabad"/>
    <x v="1"/>
    <x v="8"/>
    <x v="1"/>
    <s v="Cash"/>
    <n v="10"/>
    <n v="314210"/>
    <n v="219947"/>
    <n v="94263"/>
    <x v="10"/>
    <x v="1"/>
  </r>
  <r>
    <s v="ORD00565"/>
    <s v="2023-09-22"/>
    <x v="2"/>
    <x v="4"/>
    <s v="Gurgaon"/>
    <x v="2"/>
    <x v="12"/>
    <x v="0"/>
    <s v="Net Banking"/>
    <n v="5"/>
    <n v="135055"/>
    <n v="94538.5"/>
    <n v="40516.5"/>
    <x v="10"/>
    <x v="1"/>
  </r>
  <r>
    <s v="ORD00566"/>
    <s v="2024-01-23"/>
    <x v="2"/>
    <x v="3"/>
    <s v="Ludhiana"/>
    <x v="3"/>
    <x v="13"/>
    <x v="0"/>
    <s v="UPI"/>
    <n v="6"/>
    <n v="68064"/>
    <n v="47644.799999999996"/>
    <n v="20419.200000000004"/>
    <x v="8"/>
    <x v="0"/>
  </r>
  <r>
    <s v="ORD00567"/>
    <s v="2023-10-15"/>
    <x v="1"/>
    <x v="9"/>
    <s v="Pune"/>
    <x v="0"/>
    <x v="4"/>
    <x v="0"/>
    <s v="Credit Card"/>
    <n v="2"/>
    <n v="19804"/>
    <n v="13862.8"/>
    <n v="5941.2000000000007"/>
    <x v="5"/>
    <x v="1"/>
  </r>
  <r>
    <s v="ORD00568"/>
    <s v="2024-01-31"/>
    <x v="2"/>
    <x v="4"/>
    <s v="Gurgaon"/>
    <x v="2"/>
    <x v="12"/>
    <x v="2"/>
    <s v="UPI"/>
    <n v="3"/>
    <n v="148959"/>
    <n v="104271.29999999999"/>
    <n v="44687.700000000012"/>
    <x v="8"/>
    <x v="0"/>
  </r>
  <r>
    <s v="ORD00569"/>
    <s v="2024-04-04"/>
    <x v="2"/>
    <x v="4"/>
    <s v="Gurgaon"/>
    <x v="1"/>
    <x v="1"/>
    <x v="2"/>
    <s v="Net Banking"/>
    <n v="3"/>
    <n v="65376"/>
    <n v="45763.199999999997"/>
    <n v="19612.800000000003"/>
    <x v="11"/>
    <x v="0"/>
  </r>
  <r>
    <s v="ORD00570"/>
    <s v="2023-08-01"/>
    <x v="3"/>
    <x v="10"/>
    <s v="Bangalore"/>
    <x v="1"/>
    <x v="7"/>
    <x v="1"/>
    <s v="Debit Card"/>
    <n v="10"/>
    <n v="122980"/>
    <n v="86086"/>
    <n v="36894"/>
    <x v="4"/>
    <x v="1"/>
  </r>
  <r>
    <s v="ORD00571"/>
    <s v="2023-03-31"/>
    <x v="2"/>
    <x v="11"/>
    <s v="Lucknow"/>
    <x v="2"/>
    <x v="12"/>
    <x v="1"/>
    <s v="Cash"/>
    <n v="9"/>
    <n v="87174"/>
    <n v="61021.799999999996"/>
    <n v="26152.200000000004"/>
    <x v="2"/>
    <x v="1"/>
  </r>
  <r>
    <s v="ORD00572"/>
    <s v="2023-08-01"/>
    <x v="0"/>
    <x v="12"/>
    <s v="Patna"/>
    <x v="1"/>
    <x v="5"/>
    <x v="0"/>
    <s v="Net Banking"/>
    <n v="4"/>
    <n v="157356"/>
    <n v="110149.2"/>
    <n v="47206.8"/>
    <x v="4"/>
    <x v="1"/>
  </r>
  <r>
    <s v="ORD00573"/>
    <s v="2024-05-03"/>
    <x v="0"/>
    <x v="12"/>
    <s v="Patna"/>
    <x v="1"/>
    <x v="1"/>
    <x v="2"/>
    <s v="UPI"/>
    <n v="5"/>
    <n v="203560"/>
    <n v="142492"/>
    <n v="61068"/>
    <x v="9"/>
    <x v="0"/>
  </r>
  <r>
    <s v="ORD00574"/>
    <s v="2024-03-27"/>
    <x v="0"/>
    <x v="14"/>
    <s v="Guwahati"/>
    <x v="0"/>
    <x v="10"/>
    <x v="0"/>
    <s v="Credit Card"/>
    <n v="4"/>
    <n v="31712"/>
    <n v="22198.399999999998"/>
    <n v="9513.6000000000022"/>
    <x v="2"/>
    <x v="0"/>
  </r>
  <r>
    <s v="ORD00575"/>
    <s v="2023-04-16"/>
    <x v="0"/>
    <x v="12"/>
    <s v="Patna"/>
    <x v="2"/>
    <x v="15"/>
    <x v="1"/>
    <s v="Net Banking"/>
    <n v="1"/>
    <n v="32087"/>
    <n v="22460.899999999998"/>
    <n v="9626.1000000000022"/>
    <x v="11"/>
    <x v="1"/>
  </r>
  <r>
    <s v="ORD00576"/>
    <s v="2024-03-26"/>
    <x v="2"/>
    <x v="4"/>
    <s v="Gurgaon"/>
    <x v="1"/>
    <x v="5"/>
    <x v="2"/>
    <s v="UPI"/>
    <n v="4"/>
    <n v="140584"/>
    <n v="98408.799999999988"/>
    <n v="42175.200000000012"/>
    <x v="2"/>
    <x v="0"/>
  </r>
  <r>
    <s v="ORD00577"/>
    <s v="2023-11-16"/>
    <x v="0"/>
    <x v="12"/>
    <s v="Patna"/>
    <x v="1"/>
    <x v="7"/>
    <x v="2"/>
    <s v="UPI"/>
    <n v="2"/>
    <n v="24722"/>
    <n v="17305.399999999998"/>
    <n v="7416.6000000000022"/>
    <x v="6"/>
    <x v="1"/>
  </r>
  <r>
    <s v="ORD00578"/>
    <s v="2024-06-06"/>
    <x v="3"/>
    <x v="10"/>
    <s v="Bangalore"/>
    <x v="1"/>
    <x v="1"/>
    <x v="0"/>
    <s v="Cash"/>
    <n v="7"/>
    <n v="47369"/>
    <n v="33158.299999999996"/>
    <n v="14210.700000000004"/>
    <x v="3"/>
    <x v="0"/>
  </r>
  <r>
    <s v="ORD00579"/>
    <s v="2023-10-08"/>
    <x v="2"/>
    <x v="4"/>
    <s v="Gurgaon"/>
    <x v="1"/>
    <x v="7"/>
    <x v="2"/>
    <s v="UPI"/>
    <n v="6"/>
    <n v="38682"/>
    <n v="27077.399999999998"/>
    <n v="11604.600000000002"/>
    <x v="5"/>
    <x v="1"/>
  </r>
  <r>
    <s v="ORD00580"/>
    <s v="2024-05-11"/>
    <x v="0"/>
    <x v="0"/>
    <s v="Bhubaneswar"/>
    <x v="0"/>
    <x v="2"/>
    <x v="2"/>
    <s v="Debit Card"/>
    <n v="7"/>
    <n v="347655"/>
    <n v="243358.49999999997"/>
    <n v="104296.50000000003"/>
    <x v="9"/>
    <x v="0"/>
  </r>
  <r>
    <s v="ORD00581"/>
    <s v="2024-04-14"/>
    <x v="1"/>
    <x v="8"/>
    <s v="Panaji"/>
    <x v="2"/>
    <x v="3"/>
    <x v="2"/>
    <s v="UPI"/>
    <n v="6"/>
    <n v="258348"/>
    <n v="180843.59999999998"/>
    <n v="77504.400000000023"/>
    <x v="11"/>
    <x v="0"/>
  </r>
  <r>
    <s v="ORD00582"/>
    <s v="2024-04-21"/>
    <x v="3"/>
    <x v="5"/>
    <s v="Kochi"/>
    <x v="1"/>
    <x v="5"/>
    <x v="0"/>
    <s v="Net Banking"/>
    <n v="7"/>
    <n v="3815"/>
    <n v="2670.5"/>
    <n v="1144.5"/>
    <x v="11"/>
    <x v="0"/>
  </r>
  <r>
    <s v="ORD00583"/>
    <s v="2023-05-29"/>
    <x v="2"/>
    <x v="4"/>
    <s v="Gurgaon"/>
    <x v="2"/>
    <x v="14"/>
    <x v="0"/>
    <s v="UPI"/>
    <n v="8"/>
    <n v="326816"/>
    <n v="228771.19999999998"/>
    <n v="98044.800000000017"/>
    <x v="9"/>
    <x v="1"/>
  </r>
  <r>
    <s v="ORD00584"/>
    <s v="2023-11-17"/>
    <x v="0"/>
    <x v="13"/>
    <s v="Kolkata"/>
    <x v="0"/>
    <x v="0"/>
    <x v="0"/>
    <s v="Debit Card"/>
    <n v="9"/>
    <n v="430362"/>
    <n v="301253.39999999997"/>
    <n v="129108.60000000003"/>
    <x v="6"/>
    <x v="1"/>
  </r>
  <r>
    <s v="ORD00585"/>
    <s v="2024-11-11"/>
    <x v="2"/>
    <x v="2"/>
    <s v="New Delhi"/>
    <x v="2"/>
    <x v="12"/>
    <x v="2"/>
    <s v="Net Banking"/>
    <n v="8"/>
    <n v="344488"/>
    <n v="241141.59999999998"/>
    <n v="103346.40000000002"/>
    <x v="6"/>
    <x v="0"/>
  </r>
  <r>
    <s v="ORD00586"/>
    <s v="2024-03-13"/>
    <x v="1"/>
    <x v="8"/>
    <s v="Panaji"/>
    <x v="1"/>
    <x v="7"/>
    <x v="2"/>
    <s v="Credit Card"/>
    <n v="7"/>
    <n v="220395"/>
    <n v="154276.5"/>
    <n v="66118.5"/>
    <x v="2"/>
    <x v="0"/>
  </r>
  <r>
    <s v="ORD00587"/>
    <s v="2024-02-04"/>
    <x v="0"/>
    <x v="12"/>
    <s v="Patna"/>
    <x v="2"/>
    <x v="14"/>
    <x v="1"/>
    <s v="Cash"/>
    <n v="1"/>
    <n v="15826"/>
    <n v="11078.199999999999"/>
    <n v="4747.8000000000011"/>
    <x v="1"/>
    <x v="0"/>
  </r>
  <r>
    <s v="ORD00588"/>
    <s v="2024-03-03"/>
    <x v="0"/>
    <x v="13"/>
    <s v="Kolkata"/>
    <x v="1"/>
    <x v="7"/>
    <x v="1"/>
    <s v="UPI"/>
    <n v="2"/>
    <n v="18398"/>
    <n v="12878.599999999999"/>
    <n v="5519.4000000000015"/>
    <x v="2"/>
    <x v="0"/>
  </r>
  <r>
    <s v="ORD00589"/>
    <s v="2024-06-14"/>
    <x v="3"/>
    <x v="7"/>
    <s v="Chennai"/>
    <x v="1"/>
    <x v="1"/>
    <x v="2"/>
    <s v="Cash"/>
    <n v="1"/>
    <n v="26645"/>
    <n v="18651.5"/>
    <n v="7993.5"/>
    <x v="3"/>
    <x v="0"/>
  </r>
  <r>
    <s v="ORD00590"/>
    <s v="2023-05-08"/>
    <x v="1"/>
    <x v="9"/>
    <s v="Pune"/>
    <x v="3"/>
    <x v="9"/>
    <x v="0"/>
    <s v="UPI"/>
    <n v="7"/>
    <n v="140196"/>
    <n v="98137.2"/>
    <n v="42058.8"/>
    <x v="9"/>
    <x v="1"/>
  </r>
  <r>
    <s v="ORD00591"/>
    <s v="2023-07-01"/>
    <x v="0"/>
    <x v="14"/>
    <s v="Guwahati"/>
    <x v="2"/>
    <x v="12"/>
    <x v="1"/>
    <s v="UPI"/>
    <n v="8"/>
    <n v="357528"/>
    <n v="250269.59999999998"/>
    <n v="107258.40000000002"/>
    <x v="0"/>
    <x v="1"/>
  </r>
  <r>
    <s v="ORD00592"/>
    <s v="2023-12-22"/>
    <x v="0"/>
    <x v="12"/>
    <s v="Patna"/>
    <x v="1"/>
    <x v="1"/>
    <x v="1"/>
    <s v="Net Banking"/>
    <n v="6"/>
    <n v="168570"/>
    <n v="117998.99999999999"/>
    <n v="50571.000000000015"/>
    <x v="7"/>
    <x v="1"/>
  </r>
  <r>
    <s v="ORD00593"/>
    <s v="2023-11-04"/>
    <x v="0"/>
    <x v="13"/>
    <s v="Kolkata"/>
    <x v="1"/>
    <x v="1"/>
    <x v="0"/>
    <s v="UPI"/>
    <n v="9"/>
    <n v="445464"/>
    <n v="311824.8"/>
    <n v="133639.20000000001"/>
    <x v="6"/>
    <x v="1"/>
  </r>
  <r>
    <s v="ORD00594"/>
    <s v="2024-09-01"/>
    <x v="1"/>
    <x v="9"/>
    <s v="Kolhapur"/>
    <x v="2"/>
    <x v="12"/>
    <x v="0"/>
    <s v="Cash"/>
    <n v="2"/>
    <n v="73804"/>
    <n v="51662.799999999996"/>
    <n v="22141.200000000004"/>
    <x v="10"/>
    <x v="0"/>
  </r>
  <r>
    <s v="ORD00595"/>
    <s v="2023-10-23"/>
    <x v="3"/>
    <x v="10"/>
    <s v="Bangalore"/>
    <x v="1"/>
    <x v="8"/>
    <x v="2"/>
    <s v="Cash"/>
    <n v="4"/>
    <n v="46292"/>
    <n v="32404.399999999998"/>
    <n v="13887.600000000002"/>
    <x v="5"/>
    <x v="1"/>
  </r>
  <r>
    <s v="ORD00596"/>
    <s v="2023-12-31"/>
    <x v="1"/>
    <x v="9"/>
    <s v="Kolhapur"/>
    <x v="3"/>
    <x v="9"/>
    <x v="1"/>
    <s v="Cash"/>
    <n v="10"/>
    <n v="142110"/>
    <n v="99477"/>
    <n v="42633"/>
    <x v="7"/>
    <x v="1"/>
  </r>
  <r>
    <s v="ORD00597"/>
    <s v="2023-05-02"/>
    <x v="3"/>
    <x v="10"/>
    <s v="Bangalore"/>
    <x v="1"/>
    <x v="8"/>
    <x v="0"/>
    <s v="Cash"/>
    <n v="2"/>
    <n v="28018"/>
    <n v="19612.599999999999"/>
    <n v="8405.4000000000015"/>
    <x v="9"/>
    <x v="1"/>
  </r>
  <r>
    <s v="ORD00598"/>
    <s v="2024-06-08"/>
    <x v="1"/>
    <x v="9"/>
    <s v="Pune"/>
    <x v="2"/>
    <x v="12"/>
    <x v="0"/>
    <s v="Net Banking"/>
    <n v="3"/>
    <n v="131418"/>
    <n v="91992.599999999991"/>
    <n v="39425.400000000009"/>
    <x v="3"/>
    <x v="0"/>
  </r>
  <r>
    <s v="ORD00599"/>
    <s v="2023-08-07"/>
    <x v="1"/>
    <x v="9"/>
    <s v="Kolhapur"/>
    <x v="1"/>
    <x v="5"/>
    <x v="2"/>
    <s v="Debit Card"/>
    <n v="8"/>
    <n v="166240"/>
    <n v="116367.99999999999"/>
    <n v="49872.000000000015"/>
    <x v="4"/>
    <x v="1"/>
  </r>
  <r>
    <s v="ORD00600"/>
    <s v="2023-02-06"/>
    <x v="3"/>
    <x v="5"/>
    <s v="Kochi"/>
    <x v="3"/>
    <x v="9"/>
    <x v="0"/>
    <s v="Cash"/>
    <n v="3"/>
    <n v="142032"/>
    <n v="99422.399999999994"/>
    <n v="42609.600000000006"/>
    <x v="1"/>
    <x v="1"/>
  </r>
  <r>
    <s v="ORD00601"/>
    <s v="2024-10-22"/>
    <x v="3"/>
    <x v="10"/>
    <s v="Bangalore"/>
    <x v="3"/>
    <x v="11"/>
    <x v="1"/>
    <s v="Net Banking"/>
    <n v="2"/>
    <n v="63650"/>
    <n v="44555"/>
    <n v="19095"/>
    <x v="5"/>
    <x v="0"/>
  </r>
  <r>
    <s v="ORD00602"/>
    <s v="2024-08-03"/>
    <x v="3"/>
    <x v="6"/>
    <s v="Hyderabad"/>
    <x v="1"/>
    <x v="5"/>
    <x v="0"/>
    <s v="UPI"/>
    <n v="3"/>
    <n v="20070"/>
    <n v="14049"/>
    <n v="6021"/>
    <x v="4"/>
    <x v="0"/>
  </r>
  <r>
    <s v="ORD00603"/>
    <s v="2024-09-01"/>
    <x v="0"/>
    <x v="13"/>
    <s v="Kolkata"/>
    <x v="3"/>
    <x v="11"/>
    <x v="2"/>
    <s v="Debit Card"/>
    <n v="3"/>
    <n v="32241"/>
    <n v="22568.699999999997"/>
    <n v="9672.3000000000029"/>
    <x v="10"/>
    <x v="0"/>
  </r>
  <r>
    <s v="ORD00604"/>
    <s v="2024-04-10"/>
    <x v="0"/>
    <x v="0"/>
    <s v="Bhubaneswar"/>
    <x v="3"/>
    <x v="13"/>
    <x v="2"/>
    <s v="Cash"/>
    <n v="2"/>
    <n v="40714"/>
    <n v="28499.8"/>
    <n v="12214.2"/>
    <x v="11"/>
    <x v="0"/>
  </r>
  <r>
    <s v="ORD00605"/>
    <s v="2023-04-17"/>
    <x v="1"/>
    <x v="8"/>
    <s v="Panaji"/>
    <x v="3"/>
    <x v="6"/>
    <x v="2"/>
    <s v="Debit Card"/>
    <n v="3"/>
    <n v="102483"/>
    <n v="71738.099999999991"/>
    <n v="30744.900000000009"/>
    <x v="11"/>
    <x v="1"/>
  </r>
  <r>
    <s v="ORD00606"/>
    <s v="2023-09-26"/>
    <x v="2"/>
    <x v="4"/>
    <s v="Gurgaon"/>
    <x v="0"/>
    <x v="10"/>
    <x v="2"/>
    <s v="Debit Card"/>
    <n v="3"/>
    <n v="102648"/>
    <n v="71853.599999999991"/>
    <n v="30794.400000000009"/>
    <x v="10"/>
    <x v="1"/>
  </r>
  <r>
    <s v="ORD00607"/>
    <s v="2023-04-04"/>
    <x v="3"/>
    <x v="6"/>
    <s v="Hyderabad"/>
    <x v="2"/>
    <x v="3"/>
    <x v="2"/>
    <s v="Cash"/>
    <n v="8"/>
    <n v="309712"/>
    <n v="216798.4"/>
    <n v="92913.600000000006"/>
    <x v="11"/>
    <x v="1"/>
  </r>
  <r>
    <s v="ORD00608"/>
    <s v="2024-11-19"/>
    <x v="3"/>
    <x v="10"/>
    <s v="Bangalore"/>
    <x v="2"/>
    <x v="15"/>
    <x v="0"/>
    <s v="Credit Card"/>
    <n v="4"/>
    <n v="58760"/>
    <n v="41132"/>
    <n v="17628"/>
    <x v="6"/>
    <x v="0"/>
  </r>
  <r>
    <s v="ORD00609"/>
    <s v="2023-11-03"/>
    <x v="0"/>
    <x v="0"/>
    <s v="Bhubaneswar"/>
    <x v="2"/>
    <x v="14"/>
    <x v="2"/>
    <s v="Net Banking"/>
    <n v="7"/>
    <n v="313677"/>
    <n v="219573.9"/>
    <n v="94103.1"/>
    <x v="6"/>
    <x v="1"/>
  </r>
  <r>
    <s v="ORD00610"/>
    <s v="2024-06-17"/>
    <x v="2"/>
    <x v="2"/>
    <s v="New Delhi"/>
    <x v="2"/>
    <x v="14"/>
    <x v="1"/>
    <s v="UPI"/>
    <n v="6"/>
    <n v="149760"/>
    <n v="104832"/>
    <n v="44928"/>
    <x v="3"/>
    <x v="0"/>
  </r>
  <r>
    <s v="ORD00611"/>
    <s v="2024-07-26"/>
    <x v="0"/>
    <x v="12"/>
    <s v="Patna"/>
    <x v="3"/>
    <x v="6"/>
    <x v="2"/>
    <s v="Debit Card"/>
    <n v="3"/>
    <n v="32475"/>
    <n v="22732.5"/>
    <n v="9742.5"/>
    <x v="0"/>
    <x v="0"/>
  </r>
  <r>
    <s v="ORD00612"/>
    <s v="2023-11-04"/>
    <x v="2"/>
    <x v="4"/>
    <s v="Gurgaon"/>
    <x v="0"/>
    <x v="10"/>
    <x v="0"/>
    <s v="UPI"/>
    <n v="2"/>
    <n v="55118"/>
    <n v="38582.6"/>
    <n v="16535.400000000001"/>
    <x v="6"/>
    <x v="1"/>
  </r>
  <r>
    <s v="ORD00613"/>
    <s v="2024-06-30"/>
    <x v="0"/>
    <x v="0"/>
    <s v="Bhubaneswar"/>
    <x v="3"/>
    <x v="13"/>
    <x v="2"/>
    <s v="Credit Card"/>
    <n v="10"/>
    <n v="294910"/>
    <n v="206437"/>
    <n v="88473"/>
    <x v="3"/>
    <x v="0"/>
  </r>
  <r>
    <s v="ORD00614"/>
    <s v="2023-06-24"/>
    <x v="0"/>
    <x v="14"/>
    <s v="Guwahati"/>
    <x v="0"/>
    <x v="0"/>
    <x v="1"/>
    <s v="Debit Card"/>
    <n v="5"/>
    <n v="92170"/>
    <n v="64518.999999999993"/>
    <n v="27651.000000000007"/>
    <x v="3"/>
    <x v="1"/>
  </r>
  <r>
    <s v="ORD00615"/>
    <s v="2024-12-01"/>
    <x v="0"/>
    <x v="14"/>
    <s v="Guwahati"/>
    <x v="0"/>
    <x v="10"/>
    <x v="2"/>
    <s v="UPI"/>
    <n v="1"/>
    <n v="47415"/>
    <n v="33190.5"/>
    <n v="14224.5"/>
    <x v="7"/>
    <x v="0"/>
  </r>
  <r>
    <s v="ORD00616"/>
    <s v="2024-10-02"/>
    <x v="0"/>
    <x v="13"/>
    <s v="Kolkata"/>
    <x v="0"/>
    <x v="4"/>
    <x v="0"/>
    <s v="Net Banking"/>
    <n v="3"/>
    <n v="123939"/>
    <n v="86757.299999999988"/>
    <n v="37181.700000000012"/>
    <x v="5"/>
    <x v="0"/>
  </r>
  <r>
    <s v="ORD00617"/>
    <s v="2023-05-01"/>
    <x v="1"/>
    <x v="9"/>
    <s v="Kolhapur"/>
    <x v="3"/>
    <x v="9"/>
    <x v="2"/>
    <s v="UPI"/>
    <n v="5"/>
    <n v="229705"/>
    <n v="160793.5"/>
    <n v="68911.5"/>
    <x v="9"/>
    <x v="1"/>
  </r>
  <r>
    <s v="ORD00618"/>
    <s v="2024-04-10"/>
    <x v="3"/>
    <x v="7"/>
    <s v="Chennai"/>
    <x v="1"/>
    <x v="7"/>
    <x v="2"/>
    <s v="Cash"/>
    <n v="7"/>
    <n v="262171"/>
    <n v="183519.69999999998"/>
    <n v="78651.300000000017"/>
    <x v="11"/>
    <x v="0"/>
  </r>
  <r>
    <s v="ORD00619"/>
    <s v="2024-03-11"/>
    <x v="2"/>
    <x v="2"/>
    <s v="New Delhi"/>
    <x v="3"/>
    <x v="6"/>
    <x v="0"/>
    <s v="Credit Card"/>
    <n v="4"/>
    <n v="114396"/>
    <n v="80077.2"/>
    <n v="34318.800000000003"/>
    <x v="2"/>
    <x v="0"/>
  </r>
  <r>
    <s v="ORD00620"/>
    <s v="2024-07-24"/>
    <x v="0"/>
    <x v="13"/>
    <s v="Kolkata"/>
    <x v="2"/>
    <x v="12"/>
    <x v="1"/>
    <s v="Cash"/>
    <n v="1"/>
    <n v="32427"/>
    <n v="22698.899999999998"/>
    <n v="9728.1000000000022"/>
    <x v="0"/>
    <x v="0"/>
  </r>
  <r>
    <s v="ORD00621"/>
    <s v="2023-01-07"/>
    <x v="3"/>
    <x v="10"/>
    <s v="Bangalore"/>
    <x v="2"/>
    <x v="12"/>
    <x v="2"/>
    <s v="Cash"/>
    <n v="3"/>
    <n v="149775"/>
    <n v="104842.5"/>
    <n v="44932.5"/>
    <x v="8"/>
    <x v="1"/>
  </r>
  <r>
    <s v="ORD00622"/>
    <s v="2024-09-04"/>
    <x v="1"/>
    <x v="1"/>
    <s v="Ahmedabad"/>
    <x v="0"/>
    <x v="10"/>
    <x v="0"/>
    <s v="Debit Card"/>
    <n v="8"/>
    <n v="314784"/>
    <n v="220348.79999999999"/>
    <n v="94435.200000000012"/>
    <x v="10"/>
    <x v="0"/>
  </r>
  <r>
    <s v="ORD00623"/>
    <s v="2024-07-02"/>
    <x v="2"/>
    <x v="11"/>
    <s v="Lucknow"/>
    <x v="1"/>
    <x v="7"/>
    <x v="1"/>
    <s v="Net Banking"/>
    <n v="9"/>
    <n v="369000"/>
    <n v="258299.99999999997"/>
    <n v="110700.00000000003"/>
    <x v="0"/>
    <x v="0"/>
  </r>
  <r>
    <s v="ORD00624"/>
    <s v="2023-05-19"/>
    <x v="2"/>
    <x v="2"/>
    <s v="New Delhi"/>
    <x v="0"/>
    <x v="10"/>
    <x v="0"/>
    <s v="Net Banking"/>
    <n v="1"/>
    <n v="33949"/>
    <n v="23764.3"/>
    <n v="10184.700000000001"/>
    <x v="9"/>
    <x v="1"/>
  </r>
  <r>
    <s v="ORD00625"/>
    <s v="2023-03-06"/>
    <x v="3"/>
    <x v="5"/>
    <s v="Kochi"/>
    <x v="3"/>
    <x v="6"/>
    <x v="0"/>
    <s v="Cash"/>
    <n v="5"/>
    <n v="22565"/>
    <n v="15795.499999999998"/>
    <n v="6769.5000000000018"/>
    <x v="2"/>
    <x v="1"/>
  </r>
  <r>
    <s v="ORD00626"/>
    <s v="2023-05-25"/>
    <x v="2"/>
    <x v="3"/>
    <s v="Ludhiana"/>
    <x v="3"/>
    <x v="11"/>
    <x v="1"/>
    <s v="UPI"/>
    <n v="3"/>
    <n v="87300"/>
    <n v="61109.999999999993"/>
    <n v="26190.000000000007"/>
    <x v="9"/>
    <x v="1"/>
  </r>
  <r>
    <s v="ORD00627"/>
    <s v="2023-03-03"/>
    <x v="3"/>
    <x v="7"/>
    <s v="Chennai"/>
    <x v="2"/>
    <x v="14"/>
    <x v="1"/>
    <s v="Debit Card"/>
    <n v="6"/>
    <n v="85572"/>
    <n v="59900.399999999994"/>
    <n v="25671.600000000006"/>
    <x v="2"/>
    <x v="1"/>
  </r>
  <r>
    <s v="ORD00628"/>
    <s v="2024-03-29"/>
    <x v="2"/>
    <x v="11"/>
    <s v="Lucknow"/>
    <x v="3"/>
    <x v="11"/>
    <x v="0"/>
    <s v="Net Banking"/>
    <n v="1"/>
    <n v="6533"/>
    <n v="4573.0999999999995"/>
    <n v="1959.9000000000005"/>
    <x v="2"/>
    <x v="0"/>
  </r>
  <r>
    <s v="ORD00629"/>
    <s v="2023-02-19"/>
    <x v="0"/>
    <x v="12"/>
    <s v="Patna"/>
    <x v="2"/>
    <x v="12"/>
    <x v="0"/>
    <s v="Credit Card"/>
    <n v="1"/>
    <n v="2628"/>
    <n v="1839.6"/>
    <n v="788.40000000000009"/>
    <x v="1"/>
    <x v="1"/>
  </r>
  <r>
    <s v="ORD00630"/>
    <s v="2023-06-11"/>
    <x v="3"/>
    <x v="5"/>
    <s v="Kochi"/>
    <x v="0"/>
    <x v="4"/>
    <x v="2"/>
    <s v="Credit Card"/>
    <n v="10"/>
    <n v="385500"/>
    <n v="269850"/>
    <n v="115650"/>
    <x v="3"/>
    <x v="1"/>
  </r>
  <r>
    <s v="ORD00631"/>
    <s v="2023-08-06"/>
    <x v="2"/>
    <x v="3"/>
    <s v="Ludhiana"/>
    <x v="2"/>
    <x v="3"/>
    <x v="0"/>
    <s v="UPI"/>
    <n v="10"/>
    <n v="216300"/>
    <n v="151410"/>
    <n v="64890"/>
    <x v="4"/>
    <x v="1"/>
  </r>
  <r>
    <s v="ORD00632"/>
    <s v="2024-07-19"/>
    <x v="0"/>
    <x v="14"/>
    <s v="Guwahati"/>
    <x v="0"/>
    <x v="0"/>
    <x v="0"/>
    <s v="Cash"/>
    <n v="10"/>
    <n v="85850"/>
    <n v="60094.999999999993"/>
    <n v="25755.000000000007"/>
    <x v="0"/>
    <x v="0"/>
  </r>
  <r>
    <s v="ORD00633"/>
    <s v="2024-08-04"/>
    <x v="1"/>
    <x v="9"/>
    <s v="Kolhapur"/>
    <x v="1"/>
    <x v="7"/>
    <x v="0"/>
    <s v="Net Banking"/>
    <n v="4"/>
    <n v="93728"/>
    <n v="65609.599999999991"/>
    <n v="28118.400000000009"/>
    <x v="4"/>
    <x v="0"/>
  </r>
  <r>
    <s v="ORD00634"/>
    <s v="2023-11-08"/>
    <x v="0"/>
    <x v="13"/>
    <s v="Kolkata"/>
    <x v="3"/>
    <x v="13"/>
    <x v="2"/>
    <s v="Cash"/>
    <n v="7"/>
    <n v="295827"/>
    <n v="207078.9"/>
    <n v="88748.1"/>
    <x v="6"/>
    <x v="1"/>
  </r>
  <r>
    <s v="ORD00635"/>
    <s v="2024-03-03"/>
    <x v="2"/>
    <x v="3"/>
    <s v="Ludhiana"/>
    <x v="1"/>
    <x v="8"/>
    <x v="1"/>
    <s v="UPI"/>
    <n v="7"/>
    <n v="263424"/>
    <n v="184396.79999999999"/>
    <n v="79027.200000000012"/>
    <x v="2"/>
    <x v="0"/>
  </r>
  <r>
    <s v="ORD00636"/>
    <s v="2023-03-04"/>
    <x v="0"/>
    <x v="12"/>
    <s v="Patna"/>
    <x v="3"/>
    <x v="11"/>
    <x v="2"/>
    <s v="UPI"/>
    <n v="7"/>
    <n v="303093"/>
    <n v="212165.09999999998"/>
    <n v="90927.900000000023"/>
    <x v="2"/>
    <x v="1"/>
  </r>
  <r>
    <s v="ORD00637"/>
    <s v="2024-05-07"/>
    <x v="2"/>
    <x v="3"/>
    <s v="Ludhiana"/>
    <x v="0"/>
    <x v="0"/>
    <x v="0"/>
    <s v="Credit Card"/>
    <n v="8"/>
    <n v="67184"/>
    <n v="47028.799999999996"/>
    <n v="20155.200000000004"/>
    <x v="9"/>
    <x v="0"/>
  </r>
  <r>
    <s v="ORD00638"/>
    <s v="2024-08-01"/>
    <x v="3"/>
    <x v="7"/>
    <s v="Chennai"/>
    <x v="1"/>
    <x v="8"/>
    <x v="0"/>
    <s v="Debit Card"/>
    <n v="7"/>
    <n v="263018"/>
    <n v="184112.59999999998"/>
    <n v="78905.400000000023"/>
    <x v="4"/>
    <x v="0"/>
  </r>
  <r>
    <s v="ORD00639"/>
    <s v="2024-01-09"/>
    <x v="1"/>
    <x v="1"/>
    <s v="Ahmedabad"/>
    <x v="2"/>
    <x v="15"/>
    <x v="2"/>
    <s v="Credit Card"/>
    <n v="10"/>
    <n v="198120"/>
    <n v="138684"/>
    <n v="59436"/>
    <x v="8"/>
    <x v="0"/>
  </r>
  <r>
    <s v="ORD00640"/>
    <s v="2023-01-08"/>
    <x v="1"/>
    <x v="9"/>
    <s v="Pune"/>
    <x v="2"/>
    <x v="3"/>
    <x v="2"/>
    <s v="Cash"/>
    <n v="6"/>
    <n v="293052"/>
    <n v="205136.4"/>
    <n v="87915.6"/>
    <x v="8"/>
    <x v="1"/>
  </r>
  <r>
    <s v="ORD00641"/>
    <s v="2024-04-15"/>
    <x v="0"/>
    <x v="13"/>
    <s v="Kolkata"/>
    <x v="2"/>
    <x v="14"/>
    <x v="2"/>
    <s v="Net Banking"/>
    <n v="5"/>
    <n v="223795"/>
    <n v="156656.5"/>
    <n v="67138.5"/>
    <x v="11"/>
    <x v="0"/>
  </r>
  <r>
    <s v="ORD00642"/>
    <s v="2023-09-25"/>
    <x v="0"/>
    <x v="14"/>
    <s v="Guwahati"/>
    <x v="1"/>
    <x v="8"/>
    <x v="0"/>
    <s v="Net Banking"/>
    <n v="10"/>
    <n v="321180"/>
    <n v="224826"/>
    <n v="96354"/>
    <x v="10"/>
    <x v="1"/>
  </r>
  <r>
    <s v="ORD00643"/>
    <s v="2024-09-20"/>
    <x v="1"/>
    <x v="9"/>
    <s v="Kolhapur"/>
    <x v="2"/>
    <x v="12"/>
    <x v="2"/>
    <s v="Debit Card"/>
    <n v="10"/>
    <n v="287190"/>
    <n v="201033"/>
    <n v="86157"/>
    <x v="10"/>
    <x v="0"/>
  </r>
  <r>
    <s v="ORD00644"/>
    <s v="2023-03-16"/>
    <x v="2"/>
    <x v="11"/>
    <s v="Lucknow"/>
    <x v="2"/>
    <x v="15"/>
    <x v="2"/>
    <s v="Credit Card"/>
    <n v="9"/>
    <n v="326502"/>
    <n v="228551.4"/>
    <n v="97950.6"/>
    <x v="2"/>
    <x v="1"/>
  </r>
  <r>
    <s v="ORD00645"/>
    <s v="2024-02-13"/>
    <x v="1"/>
    <x v="9"/>
    <s v="Pune"/>
    <x v="2"/>
    <x v="3"/>
    <x v="1"/>
    <s v="Credit Card"/>
    <n v="3"/>
    <n v="12726"/>
    <n v="8908.1999999999989"/>
    <n v="3817.8000000000011"/>
    <x v="1"/>
    <x v="0"/>
  </r>
  <r>
    <s v="ORD00646"/>
    <s v="2024-02-13"/>
    <x v="3"/>
    <x v="6"/>
    <s v="Hyderabad"/>
    <x v="1"/>
    <x v="1"/>
    <x v="1"/>
    <s v="Credit Card"/>
    <n v="1"/>
    <n v="32053"/>
    <n v="22437.1"/>
    <n v="9615.9000000000015"/>
    <x v="1"/>
    <x v="0"/>
  </r>
  <r>
    <s v="ORD00647"/>
    <s v="2023-03-30"/>
    <x v="2"/>
    <x v="4"/>
    <s v="Gurgaon"/>
    <x v="1"/>
    <x v="8"/>
    <x v="0"/>
    <s v="Cash"/>
    <n v="10"/>
    <n v="168770"/>
    <n v="118138.99999999999"/>
    <n v="50631.000000000015"/>
    <x v="2"/>
    <x v="1"/>
  </r>
  <r>
    <s v="ORD00648"/>
    <s v="2024-03-09"/>
    <x v="0"/>
    <x v="12"/>
    <s v="Patna"/>
    <x v="0"/>
    <x v="0"/>
    <x v="0"/>
    <s v="Debit Card"/>
    <n v="4"/>
    <n v="32712"/>
    <n v="22898.399999999998"/>
    <n v="9813.6000000000022"/>
    <x v="2"/>
    <x v="0"/>
  </r>
  <r>
    <s v="ORD00649"/>
    <s v="2024-07-05"/>
    <x v="2"/>
    <x v="2"/>
    <s v="New Delhi"/>
    <x v="2"/>
    <x v="3"/>
    <x v="1"/>
    <s v="Credit Card"/>
    <n v="3"/>
    <n v="58977"/>
    <n v="41283.899999999994"/>
    <n v="17693.100000000006"/>
    <x v="0"/>
    <x v="0"/>
  </r>
  <r>
    <s v="ORD00650"/>
    <s v="2024-01-26"/>
    <x v="3"/>
    <x v="5"/>
    <s v="Kochi"/>
    <x v="0"/>
    <x v="2"/>
    <x v="0"/>
    <s v="Credit Card"/>
    <n v="8"/>
    <n v="97312"/>
    <n v="68118.399999999994"/>
    <n v="29193.600000000006"/>
    <x v="8"/>
    <x v="0"/>
  </r>
  <r>
    <s v="ORD00651"/>
    <s v="2023-01-04"/>
    <x v="3"/>
    <x v="7"/>
    <s v="Chennai"/>
    <x v="0"/>
    <x v="4"/>
    <x v="1"/>
    <s v="Credit Card"/>
    <n v="7"/>
    <n v="154315"/>
    <n v="108020.5"/>
    <n v="46294.5"/>
    <x v="8"/>
    <x v="1"/>
  </r>
  <r>
    <s v="ORD00652"/>
    <s v="2023-04-16"/>
    <x v="2"/>
    <x v="3"/>
    <s v="Ludhiana"/>
    <x v="2"/>
    <x v="14"/>
    <x v="0"/>
    <s v="Credit Card"/>
    <n v="6"/>
    <n v="19908"/>
    <n v="13935.599999999999"/>
    <n v="5972.4000000000015"/>
    <x v="11"/>
    <x v="1"/>
  </r>
  <r>
    <s v="ORD00653"/>
    <s v="2023-08-25"/>
    <x v="0"/>
    <x v="12"/>
    <s v="Patna"/>
    <x v="1"/>
    <x v="7"/>
    <x v="1"/>
    <s v="Credit Card"/>
    <n v="1"/>
    <n v="46390"/>
    <n v="32472.999999999996"/>
    <n v="13917.000000000004"/>
    <x v="4"/>
    <x v="1"/>
  </r>
  <r>
    <s v="ORD00654"/>
    <s v="2023-02-08"/>
    <x v="3"/>
    <x v="5"/>
    <s v="Kochi"/>
    <x v="0"/>
    <x v="0"/>
    <x v="0"/>
    <s v="Credit Card"/>
    <n v="1"/>
    <n v="7987"/>
    <n v="5590.9"/>
    <n v="2396.1000000000004"/>
    <x v="1"/>
    <x v="1"/>
  </r>
  <r>
    <s v="ORD00655"/>
    <s v="2023-06-02"/>
    <x v="2"/>
    <x v="4"/>
    <s v="Gurgaon"/>
    <x v="1"/>
    <x v="7"/>
    <x v="0"/>
    <s v="UPI"/>
    <n v="4"/>
    <n v="173008"/>
    <n v="121105.59999999999"/>
    <n v="51902.400000000009"/>
    <x v="3"/>
    <x v="1"/>
  </r>
  <r>
    <s v="ORD00656"/>
    <s v="2024-11-26"/>
    <x v="1"/>
    <x v="1"/>
    <s v="Ahmedabad"/>
    <x v="1"/>
    <x v="8"/>
    <x v="1"/>
    <s v="Cash"/>
    <n v="5"/>
    <n v="213540"/>
    <n v="149478"/>
    <n v="64062"/>
    <x v="6"/>
    <x v="0"/>
  </r>
  <r>
    <s v="ORD00657"/>
    <s v="2023-06-01"/>
    <x v="0"/>
    <x v="14"/>
    <s v="Guwahati"/>
    <x v="3"/>
    <x v="9"/>
    <x v="0"/>
    <s v="Debit Card"/>
    <n v="6"/>
    <n v="51192"/>
    <n v="35834.399999999994"/>
    <n v="15357.600000000006"/>
    <x v="3"/>
    <x v="1"/>
  </r>
  <r>
    <s v="ORD00658"/>
    <s v="2024-10-06"/>
    <x v="3"/>
    <x v="7"/>
    <s v="Chennai"/>
    <x v="1"/>
    <x v="8"/>
    <x v="0"/>
    <s v="Credit Card"/>
    <n v="7"/>
    <n v="231497"/>
    <n v="162047.9"/>
    <n v="69449.100000000006"/>
    <x v="5"/>
    <x v="0"/>
  </r>
  <r>
    <s v="ORD00659"/>
    <s v="2024-04-26"/>
    <x v="3"/>
    <x v="7"/>
    <s v="Chennai"/>
    <x v="1"/>
    <x v="1"/>
    <x v="2"/>
    <s v="UPI"/>
    <n v="6"/>
    <n v="14238"/>
    <n v="9966.5999999999985"/>
    <n v="4271.4000000000015"/>
    <x v="11"/>
    <x v="0"/>
  </r>
  <r>
    <s v="ORD00660"/>
    <s v="2024-07-11"/>
    <x v="2"/>
    <x v="11"/>
    <s v="Lucknow"/>
    <x v="3"/>
    <x v="6"/>
    <x v="1"/>
    <s v="Net Banking"/>
    <n v="8"/>
    <n v="94440"/>
    <n v="66108"/>
    <n v="28332"/>
    <x v="0"/>
    <x v="0"/>
  </r>
  <r>
    <s v="ORD00661"/>
    <s v="2023-12-17"/>
    <x v="3"/>
    <x v="6"/>
    <s v="Hyderabad"/>
    <x v="2"/>
    <x v="12"/>
    <x v="1"/>
    <s v="Net Banking"/>
    <n v="8"/>
    <n v="75904"/>
    <n v="53132.799999999996"/>
    <n v="22771.200000000004"/>
    <x v="7"/>
    <x v="1"/>
  </r>
  <r>
    <s v="ORD00662"/>
    <s v="2024-04-23"/>
    <x v="0"/>
    <x v="0"/>
    <s v="Bhubaneswar"/>
    <x v="0"/>
    <x v="10"/>
    <x v="0"/>
    <s v="Credit Card"/>
    <n v="1"/>
    <n v="28715"/>
    <n v="20100.5"/>
    <n v="8614.5"/>
    <x v="11"/>
    <x v="0"/>
  </r>
  <r>
    <s v="ORD00663"/>
    <s v="2023-11-09"/>
    <x v="1"/>
    <x v="9"/>
    <s v="Kolhapur"/>
    <x v="1"/>
    <x v="7"/>
    <x v="0"/>
    <s v="Cash"/>
    <n v="9"/>
    <n v="57501"/>
    <n v="40250.699999999997"/>
    <n v="17250.300000000003"/>
    <x v="6"/>
    <x v="1"/>
  </r>
  <r>
    <s v="ORD00664"/>
    <s v="2023-04-13"/>
    <x v="3"/>
    <x v="7"/>
    <s v="Chennai"/>
    <x v="3"/>
    <x v="6"/>
    <x v="0"/>
    <s v="UPI"/>
    <n v="8"/>
    <n v="55448"/>
    <n v="38813.599999999999"/>
    <n v="16634.400000000001"/>
    <x v="11"/>
    <x v="1"/>
  </r>
  <r>
    <s v="ORD00665"/>
    <s v="2023-10-21"/>
    <x v="2"/>
    <x v="3"/>
    <s v="Ludhiana"/>
    <x v="1"/>
    <x v="8"/>
    <x v="2"/>
    <s v="Cash"/>
    <n v="9"/>
    <n v="296073"/>
    <n v="207251.09999999998"/>
    <n v="88821.900000000023"/>
    <x v="5"/>
    <x v="1"/>
  </r>
  <r>
    <s v="ORD00666"/>
    <s v="2023-05-28"/>
    <x v="2"/>
    <x v="11"/>
    <s v="Lucknow"/>
    <x v="0"/>
    <x v="0"/>
    <x v="2"/>
    <s v="UPI"/>
    <n v="9"/>
    <n v="399438"/>
    <n v="279606.59999999998"/>
    <n v="119831.40000000002"/>
    <x v="9"/>
    <x v="1"/>
  </r>
  <r>
    <s v="ORD00667"/>
    <s v="2024-01-16"/>
    <x v="3"/>
    <x v="5"/>
    <s v="Kochi"/>
    <x v="1"/>
    <x v="7"/>
    <x v="0"/>
    <s v="Cash"/>
    <n v="10"/>
    <n v="117840"/>
    <n v="82488"/>
    <n v="35352"/>
    <x v="8"/>
    <x v="0"/>
  </r>
  <r>
    <s v="ORD00668"/>
    <s v="2023-11-02"/>
    <x v="2"/>
    <x v="11"/>
    <s v="Lucknow"/>
    <x v="1"/>
    <x v="1"/>
    <x v="2"/>
    <s v="Debit Card"/>
    <n v="6"/>
    <n v="100326"/>
    <n v="70228.2"/>
    <n v="30097.800000000003"/>
    <x v="6"/>
    <x v="1"/>
  </r>
  <r>
    <s v="ORD00669"/>
    <s v="2023-11-26"/>
    <x v="2"/>
    <x v="3"/>
    <s v="Ludhiana"/>
    <x v="2"/>
    <x v="3"/>
    <x v="1"/>
    <s v="Credit Card"/>
    <n v="2"/>
    <n v="22048"/>
    <n v="15433.599999999999"/>
    <n v="6614.4000000000015"/>
    <x v="6"/>
    <x v="1"/>
  </r>
  <r>
    <s v="ORD00670"/>
    <s v="2023-02-09"/>
    <x v="3"/>
    <x v="10"/>
    <s v="Bangalore"/>
    <x v="0"/>
    <x v="10"/>
    <x v="1"/>
    <s v="Cash"/>
    <n v="1"/>
    <n v="18749"/>
    <n v="13124.3"/>
    <n v="5624.7000000000007"/>
    <x v="1"/>
    <x v="1"/>
  </r>
  <r>
    <s v="ORD00671"/>
    <s v="2023-04-23"/>
    <x v="1"/>
    <x v="9"/>
    <s v="Pune"/>
    <x v="1"/>
    <x v="7"/>
    <x v="1"/>
    <s v="Credit Card"/>
    <n v="5"/>
    <n v="186395"/>
    <n v="130476.49999999999"/>
    <n v="55918.500000000015"/>
    <x v="11"/>
    <x v="1"/>
  </r>
  <r>
    <s v="ORD00672"/>
    <s v="2023-06-24"/>
    <x v="0"/>
    <x v="14"/>
    <s v="Guwahati"/>
    <x v="0"/>
    <x v="0"/>
    <x v="2"/>
    <s v="Credit Card"/>
    <n v="6"/>
    <n v="206148"/>
    <n v="144303.59999999998"/>
    <n v="61844.400000000023"/>
    <x v="3"/>
    <x v="1"/>
  </r>
  <r>
    <s v="ORD00673"/>
    <s v="2024-11-17"/>
    <x v="2"/>
    <x v="3"/>
    <s v="Ludhiana"/>
    <x v="2"/>
    <x v="3"/>
    <x v="0"/>
    <s v="Credit Card"/>
    <n v="9"/>
    <n v="12528"/>
    <n v="8769.5999999999985"/>
    <n v="3758.4000000000015"/>
    <x v="6"/>
    <x v="0"/>
  </r>
  <r>
    <s v="ORD00674"/>
    <s v="2024-06-12"/>
    <x v="2"/>
    <x v="3"/>
    <s v="Ludhiana"/>
    <x v="0"/>
    <x v="4"/>
    <x v="2"/>
    <s v="Credit Card"/>
    <n v="10"/>
    <n v="232100"/>
    <n v="162470"/>
    <n v="69630"/>
    <x v="3"/>
    <x v="0"/>
  </r>
  <r>
    <s v="ORD00675"/>
    <s v="2024-05-15"/>
    <x v="1"/>
    <x v="9"/>
    <s v="Pune"/>
    <x v="1"/>
    <x v="7"/>
    <x v="2"/>
    <s v="Net Banking"/>
    <n v="6"/>
    <n v="298278"/>
    <n v="208794.59999999998"/>
    <n v="89483.400000000023"/>
    <x v="9"/>
    <x v="0"/>
  </r>
  <r>
    <s v="ORD00676"/>
    <s v="2023-11-11"/>
    <x v="0"/>
    <x v="14"/>
    <s v="Guwahati"/>
    <x v="0"/>
    <x v="4"/>
    <x v="1"/>
    <s v="Net Banking"/>
    <n v="2"/>
    <n v="52570"/>
    <n v="36799"/>
    <n v="15771"/>
    <x v="6"/>
    <x v="1"/>
  </r>
  <r>
    <s v="ORD00677"/>
    <s v="2023-09-03"/>
    <x v="1"/>
    <x v="1"/>
    <s v="Ahmedabad"/>
    <x v="3"/>
    <x v="9"/>
    <x v="2"/>
    <s v="Credit Card"/>
    <n v="2"/>
    <n v="9846"/>
    <n v="6892.2"/>
    <n v="2953.8"/>
    <x v="10"/>
    <x v="1"/>
  </r>
  <r>
    <s v="ORD00678"/>
    <s v="2023-11-23"/>
    <x v="2"/>
    <x v="3"/>
    <s v="Ludhiana"/>
    <x v="3"/>
    <x v="13"/>
    <x v="1"/>
    <s v="Credit Card"/>
    <n v="4"/>
    <n v="12416"/>
    <n v="8691.1999999999989"/>
    <n v="3724.8000000000011"/>
    <x v="6"/>
    <x v="1"/>
  </r>
  <r>
    <s v="ORD00679"/>
    <s v="2024-07-21"/>
    <x v="2"/>
    <x v="2"/>
    <s v="New Delhi"/>
    <x v="0"/>
    <x v="2"/>
    <x v="0"/>
    <s v="Net Banking"/>
    <n v="9"/>
    <n v="202437"/>
    <n v="141705.9"/>
    <n v="60731.100000000006"/>
    <x v="0"/>
    <x v="0"/>
  </r>
  <r>
    <s v="ORD00680"/>
    <s v="2024-09-05"/>
    <x v="1"/>
    <x v="8"/>
    <s v="Panaji"/>
    <x v="2"/>
    <x v="15"/>
    <x v="0"/>
    <s v="UPI"/>
    <n v="9"/>
    <n v="137466"/>
    <n v="96226.2"/>
    <n v="41239.800000000003"/>
    <x v="10"/>
    <x v="0"/>
  </r>
  <r>
    <s v="ORD00681"/>
    <s v="2024-08-24"/>
    <x v="1"/>
    <x v="9"/>
    <s v="Kolhapur"/>
    <x v="2"/>
    <x v="3"/>
    <x v="0"/>
    <s v="Net Banking"/>
    <n v="4"/>
    <n v="36780"/>
    <n v="25746"/>
    <n v="11034"/>
    <x v="4"/>
    <x v="0"/>
  </r>
  <r>
    <s v="ORD00682"/>
    <s v="2024-02-14"/>
    <x v="3"/>
    <x v="10"/>
    <s v="Bangalore"/>
    <x v="3"/>
    <x v="11"/>
    <x v="1"/>
    <s v="Credit Card"/>
    <n v="10"/>
    <n v="153380"/>
    <n v="107366"/>
    <n v="46014"/>
    <x v="1"/>
    <x v="0"/>
  </r>
  <r>
    <s v="ORD00683"/>
    <s v="2024-04-05"/>
    <x v="0"/>
    <x v="12"/>
    <s v="Patna"/>
    <x v="2"/>
    <x v="14"/>
    <x v="1"/>
    <s v="Debit Card"/>
    <n v="2"/>
    <n v="41260"/>
    <n v="28881.999999999996"/>
    <n v="12378.000000000004"/>
    <x v="11"/>
    <x v="0"/>
  </r>
  <r>
    <s v="ORD00684"/>
    <s v="2024-07-11"/>
    <x v="1"/>
    <x v="9"/>
    <s v="Kolhapur"/>
    <x v="0"/>
    <x v="2"/>
    <x v="2"/>
    <s v="Credit Card"/>
    <n v="7"/>
    <n v="159306"/>
    <n v="111514.2"/>
    <n v="47791.8"/>
    <x v="0"/>
    <x v="0"/>
  </r>
  <r>
    <s v="ORD00685"/>
    <s v="2023-06-28"/>
    <x v="2"/>
    <x v="2"/>
    <s v="New Delhi"/>
    <x v="1"/>
    <x v="1"/>
    <x v="0"/>
    <s v="Credit Card"/>
    <n v="3"/>
    <n v="41838"/>
    <n v="29286.6"/>
    <n v="12551.400000000001"/>
    <x v="3"/>
    <x v="1"/>
  </r>
  <r>
    <s v="ORD00686"/>
    <s v="2024-03-18"/>
    <x v="1"/>
    <x v="9"/>
    <s v="Kolhapur"/>
    <x v="1"/>
    <x v="7"/>
    <x v="1"/>
    <s v="Credit Card"/>
    <n v="6"/>
    <n v="161022"/>
    <n v="112715.4"/>
    <n v="48306.600000000006"/>
    <x v="2"/>
    <x v="0"/>
  </r>
  <r>
    <s v="ORD00687"/>
    <s v="2024-04-28"/>
    <x v="1"/>
    <x v="1"/>
    <s v="Ahmedabad"/>
    <x v="2"/>
    <x v="15"/>
    <x v="0"/>
    <s v="UPI"/>
    <n v="9"/>
    <n v="346581"/>
    <n v="242606.69999999998"/>
    <n v="103974.30000000002"/>
    <x v="11"/>
    <x v="0"/>
  </r>
  <r>
    <s v="ORD00688"/>
    <s v="2024-01-07"/>
    <x v="0"/>
    <x v="0"/>
    <s v="Bhubaneswar"/>
    <x v="0"/>
    <x v="10"/>
    <x v="0"/>
    <s v="Debit Card"/>
    <n v="9"/>
    <n v="309834"/>
    <n v="216883.8"/>
    <n v="92950.200000000012"/>
    <x v="8"/>
    <x v="0"/>
  </r>
  <r>
    <s v="ORD00689"/>
    <s v="2023-01-30"/>
    <x v="3"/>
    <x v="5"/>
    <s v="Kochi"/>
    <x v="3"/>
    <x v="9"/>
    <x v="0"/>
    <s v="Cash"/>
    <n v="8"/>
    <n v="397744"/>
    <n v="278420.8"/>
    <n v="119323.20000000001"/>
    <x v="8"/>
    <x v="1"/>
  </r>
  <r>
    <s v="ORD00690"/>
    <s v="2023-08-27"/>
    <x v="0"/>
    <x v="12"/>
    <s v="Patna"/>
    <x v="1"/>
    <x v="8"/>
    <x v="0"/>
    <s v="Credit Card"/>
    <n v="7"/>
    <n v="244286"/>
    <n v="171000.19999999998"/>
    <n v="73285.800000000017"/>
    <x v="4"/>
    <x v="1"/>
  </r>
  <r>
    <s v="ORD00691"/>
    <s v="2024-07-30"/>
    <x v="1"/>
    <x v="9"/>
    <s v="Kolhapur"/>
    <x v="2"/>
    <x v="12"/>
    <x v="0"/>
    <s v="UPI"/>
    <n v="7"/>
    <n v="220087"/>
    <n v="154060.9"/>
    <n v="66026.100000000006"/>
    <x v="0"/>
    <x v="0"/>
  </r>
  <r>
    <s v="ORD00692"/>
    <s v="2023-10-16"/>
    <x v="3"/>
    <x v="5"/>
    <s v="Kochi"/>
    <x v="2"/>
    <x v="3"/>
    <x v="0"/>
    <s v="Cash"/>
    <n v="4"/>
    <n v="143996"/>
    <n v="100797.2"/>
    <n v="43198.8"/>
    <x v="5"/>
    <x v="1"/>
  </r>
  <r>
    <s v="ORD00693"/>
    <s v="2024-06-09"/>
    <x v="3"/>
    <x v="6"/>
    <s v="Hyderabad"/>
    <x v="2"/>
    <x v="14"/>
    <x v="0"/>
    <s v="Credit Card"/>
    <n v="8"/>
    <n v="116440"/>
    <n v="81508"/>
    <n v="34932"/>
    <x v="3"/>
    <x v="0"/>
  </r>
  <r>
    <s v="ORD00694"/>
    <s v="2023-05-25"/>
    <x v="1"/>
    <x v="1"/>
    <s v="Ahmedabad"/>
    <x v="2"/>
    <x v="14"/>
    <x v="1"/>
    <s v="Credit Card"/>
    <n v="8"/>
    <n v="307520"/>
    <n v="215264"/>
    <n v="92256"/>
    <x v="9"/>
    <x v="1"/>
  </r>
  <r>
    <s v="ORD00695"/>
    <s v="2023-04-23"/>
    <x v="0"/>
    <x v="13"/>
    <s v="Kolkata"/>
    <x v="2"/>
    <x v="14"/>
    <x v="2"/>
    <s v="UPI"/>
    <n v="7"/>
    <n v="339150"/>
    <n v="237404.99999999997"/>
    <n v="101745.00000000003"/>
    <x v="11"/>
    <x v="1"/>
  </r>
  <r>
    <s v="ORD00696"/>
    <s v="2024-01-19"/>
    <x v="2"/>
    <x v="3"/>
    <s v="Ludhiana"/>
    <x v="2"/>
    <x v="12"/>
    <x v="2"/>
    <s v="Credit Card"/>
    <n v="4"/>
    <n v="179960"/>
    <n v="125971.99999999999"/>
    <n v="53988.000000000015"/>
    <x v="8"/>
    <x v="0"/>
  </r>
  <r>
    <s v="ORD00697"/>
    <s v="2024-02-29"/>
    <x v="1"/>
    <x v="9"/>
    <s v="Pune"/>
    <x v="1"/>
    <x v="1"/>
    <x v="1"/>
    <s v="Net Banking"/>
    <n v="3"/>
    <n v="74589"/>
    <n v="52212.299999999996"/>
    <n v="22376.700000000004"/>
    <x v="1"/>
    <x v="0"/>
  </r>
  <r>
    <s v="ORD00698"/>
    <s v="2024-08-26"/>
    <x v="3"/>
    <x v="5"/>
    <s v="Kochi"/>
    <x v="1"/>
    <x v="8"/>
    <x v="2"/>
    <s v="Credit Card"/>
    <n v="7"/>
    <n v="213171"/>
    <n v="149219.69999999998"/>
    <n v="63951.300000000017"/>
    <x v="4"/>
    <x v="0"/>
  </r>
  <r>
    <s v="ORD00699"/>
    <s v="2024-04-28"/>
    <x v="0"/>
    <x v="0"/>
    <s v="Bhubaneswar"/>
    <x v="3"/>
    <x v="9"/>
    <x v="2"/>
    <s v="UPI"/>
    <n v="3"/>
    <n v="55662"/>
    <n v="38963.399999999994"/>
    <n v="16698.600000000006"/>
    <x v="11"/>
    <x v="0"/>
  </r>
  <r>
    <s v="ORD00700"/>
    <s v="2023-05-05"/>
    <x v="1"/>
    <x v="9"/>
    <s v="Pune"/>
    <x v="0"/>
    <x v="4"/>
    <x v="0"/>
    <s v="Cash"/>
    <n v="6"/>
    <n v="207984"/>
    <n v="145588.79999999999"/>
    <n v="62395.200000000012"/>
    <x v="9"/>
    <x v="1"/>
  </r>
  <r>
    <s v="ORD00701"/>
    <s v="2024-07-23"/>
    <x v="0"/>
    <x v="14"/>
    <s v="Guwahati"/>
    <x v="2"/>
    <x v="3"/>
    <x v="2"/>
    <s v="Net Banking"/>
    <n v="5"/>
    <n v="113505"/>
    <n v="79453.5"/>
    <n v="34051.5"/>
    <x v="0"/>
    <x v="0"/>
  </r>
  <r>
    <s v="ORD00702"/>
    <s v="2024-08-28"/>
    <x v="3"/>
    <x v="6"/>
    <s v="Hyderabad"/>
    <x v="1"/>
    <x v="5"/>
    <x v="1"/>
    <s v="Debit Card"/>
    <n v="7"/>
    <n v="255815"/>
    <n v="179070.5"/>
    <n v="76744.5"/>
    <x v="4"/>
    <x v="0"/>
  </r>
  <r>
    <s v="ORD00703"/>
    <s v="2023-03-07"/>
    <x v="3"/>
    <x v="10"/>
    <s v="Bangalore"/>
    <x v="1"/>
    <x v="8"/>
    <x v="2"/>
    <s v="Debit Card"/>
    <n v="7"/>
    <n v="135464"/>
    <n v="94824.799999999988"/>
    <n v="40639.200000000012"/>
    <x v="2"/>
    <x v="1"/>
  </r>
  <r>
    <s v="ORD00704"/>
    <s v="2024-10-16"/>
    <x v="1"/>
    <x v="9"/>
    <s v="Pune"/>
    <x v="0"/>
    <x v="4"/>
    <x v="1"/>
    <s v="UPI"/>
    <n v="3"/>
    <n v="103149"/>
    <n v="72204.299999999988"/>
    <n v="30944.700000000012"/>
    <x v="5"/>
    <x v="0"/>
  </r>
  <r>
    <s v="ORD00705"/>
    <s v="2024-05-28"/>
    <x v="0"/>
    <x v="0"/>
    <s v="Bhubaneswar"/>
    <x v="1"/>
    <x v="7"/>
    <x v="2"/>
    <s v="Credit Card"/>
    <n v="4"/>
    <n v="138952"/>
    <n v="97266.4"/>
    <n v="41685.600000000006"/>
    <x v="9"/>
    <x v="0"/>
  </r>
  <r>
    <s v="ORD00706"/>
    <s v="2024-05-26"/>
    <x v="0"/>
    <x v="12"/>
    <s v="Patna"/>
    <x v="2"/>
    <x v="12"/>
    <x v="0"/>
    <s v="Cash"/>
    <n v="7"/>
    <n v="235592"/>
    <n v="164914.4"/>
    <n v="70677.600000000006"/>
    <x v="9"/>
    <x v="0"/>
  </r>
  <r>
    <s v="ORD00707"/>
    <s v="2023-05-16"/>
    <x v="2"/>
    <x v="3"/>
    <s v="Ludhiana"/>
    <x v="0"/>
    <x v="0"/>
    <x v="1"/>
    <s v="Debit Card"/>
    <n v="8"/>
    <n v="123944"/>
    <n v="86760.799999999988"/>
    <n v="37183.200000000012"/>
    <x v="9"/>
    <x v="1"/>
  </r>
  <r>
    <s v="ORD00708"/>
    <s v="2023-03-27"/>
    <x v="0"/>
    <x v="13"/>
    <s v="Kolkata"/>
    <x v="2"/>
    <x v="15"/>
    <x v="0"/>
    <s v="Net Banking"/>
    <n v="4"/>
    <n v="193380"/>
    <n v="135366"/>
    <n v="58014"/>
    <x v="2"/>
    <x v="1"/>
  </r>
  <r>
    <s v="ORD00709"/>
    <s v="2023-07-04"/>
    <x v="2"/>
    <x v="3"/>
    <s v="Ludhiana"/>
    <x v="1"/>
    <x v="1"/>
    <x v="0"/>
    <s v="Debit Card"/>
    <n v="6"/>
    <n v="51930"/>
    <n v="36351"/>
    <n v="15579"/>
    <x v="0"/>
    <x v="1"/>
  </r>
  <r>
    <s v="ORD00710"/>
    <s v="2023-09-22"/>
    <x v="0"/>
    <x v="13"/>
    <s v="Kolkata"/>
    <x v="2"/>
    <x v="3"/>
    <x v="1"/>
    <s v="Credit Card"/>
    <n v="3"/>
    <n v="14748"/>
    <n v="10323.599999999999"/>
    <n v="4424.4000000000015"/>
    <x v="10"/>
    <x v="1"/>
  </r>
  <r>
    <s v="ORD00711"/>
    <s v="2024-01-20"/>
    <x v="1"/>
    <x v="1"/>
    <s v="Ahmedabad"/>
    <x v="1"/>
    <x v="5"/>
    <x v="2"/>
    <s v="Debit Card"/>
    <n v="5"/>
    <n v="242975"/>
    <n v="170082.5"/>
    <n v="72892.5"/>
    <x v="8"/>
    <x v="0"/>
  </r>
  <r>
    <s v="ORD00712"/>
    <s v="2023-10-19"/>
    <x v="2"/>
    <x v="4"/>
    <s v="Gurgaon"/>
    <x v="0"/>
    <x v="2"/>
    <x v="2"/>
    <s v="Cash"/>
    <n v="2"/>
    <n v="51442"/>
    <n v="36009.399999999994"/>
    <n v="15432.600000000006"/>
    <x v="5"/>
    <x v="1"/>
  </r>
  <r>
    <s v="ORD00713"/>
    <s v="2023-04-12"/>
    <x v="2"/>
    <x v="3"/>
    <s v="Ludhiana"/>
    <x v="3"/>
    <x v="6"/>
    <x v="0"/>
    <s v="UPI"/>
    <n v="8"/>
    <n v="255288"/>
    <n v="178701.59999999998"/>
    <n v="76586.400000000023"/>
    <x v="11"/>
    <x v="1"/>
  </r>
  <r>
    <s v="ORD00714"/>
    <s v="2024-06-03"/>
    <x v="3"/>
    <x v="10"/>
    <s v="Bangalore"/>
    <x v="1"/>
    <x v="5"/>
    <x v="2"/>
    <s v="Net Banking"/>
    <n v="6"/>
    <n v="40872"/>
    <n v="28610.399999999998"/>
    <n v="12261.600000000002"/>
    <x v="3"/>
    <x v="0"/>
  </r>
  <r>
    <s v="ORD00715"/>
    <s v="2023-09-15"/>
    <x v="1"/>
    <x v="9"/>
    <s v="Pune"/>
    <x v="2"/>
    <x v="15"/>
    <x v="1"/>
    <s v="Credit Card"/>
    <n v="2"/>
    <n v="29656"/>
    <n v="20759.199999999997"/>
    <n v="8896.8000000000029"/>
    <x v="10"/>
    <x v="1"/>
  </r>
  <r>
    <s v="ORD00716"/>
    <s v="2024-11-01"/>
    <x v="3"/>
    <x v="7"/>
    <s v="Chennai"/>
    <x v="1"/>
    <x v="8"/>
    <x v="0"/>
    <s v="Credit Card"/>
    <n v="4"/>
    <n v="54664"/>
    <n v="38264.799999999996"/>
    <n v="16399.200000000004"/>
    <x v="6"/>
    <x v="0"/>
  </r>
  <r>
    <s v="ORD00717"/>
    <s v="2023-02-20"/>
    <x v="2"/>
    <x v="3"/>
    <s v="Ludhiana"/>
    <x v="2"/>
    <x v="15"/>
    <x v="0"/>
    <s v="Net Banking"/>
    <n v="5"/>
    <n v="122305"/>
    <n v="85613.5"/>
    <n v="36691.5"/>
    <x v="1"/>
    <x v="1"/>
  </r>
  <r>
    <s v="ORD00718"/>
    <s v="2023-12-05"/>
    <x v="0"/>
    <x v="0"/>
    <s v="Bhubaneswar"/>
    <x v="2"/>
    <x v="12"/>
    <x v="1"/>
    <s v="Net Banking"/>
    <n v="6"/>
    <n v="182910"/>
    <n v="128036.99999999999"/>
    <n v="54873.000000000015"/>
    <x v="7"/>
    <x v="1"/>
  </r>
  <r>
    <s v="ORD00719"/>
    <s v="2023-11-13"/>
    <x v="3"/>
    <x v="7"/>
    <s v="Chennai"/>
    <x v="1"/>
    <x v="7"/>
    <x v="0"/>
    <s v="Credit Card"/>
    <n v="4"/>
    <n v="196368"/>
    <n v="137457.60000000001"/>
    <n v="58910.399999999994"/>
    <x v="6"/>
    <x v="1"/>
  </r>
  <r>
    <s v="ORD00720"/>
    <s v="2023-12-31"/>
    <x v="0"/>
    <x v="14"/>
    <s v="Guwahati"/>
    <x v="1"/>
    <x v="5"/>
    <x v="0"/>
    <s v="Net Banking"/>
    <n v="4"/>
    <n v="93504"/>
    <n v="65452.799999999996"/>
    <n v="28051.200000000004"/>
    <x v="7"/>
    <x v="1"/>
  </r>
  <r>
    <s v="ORD00721"/>
    <s v="2023-03-07"/>
    <x v="0"/>
    <x v="0"/>
    <s v="Bhubaneswar"/>
    <x v="2"/>
    <x v="14"/>
    <x v="1"/>
    <s v="UPI"/>
    <n v="1"/>
    <n v="7863"/>
    <n v="5504.0999999999995"/>
    <n v="2358.9000000000005"/>
    <x v="2"/>
    <x v="1"/>
  </r>
  <r>
    <s v="ORD00722"/>
    <s v="2023-05-13"/>
    <x v="2"/>
    <x v="11"/>
    <s v="Lucknow"/>
    <x v="3"/>
    <x v="6"/>
    <x v="2"/>
    <s v="Credit Card"/>
    <n v="9"/>
    <n v="403488"/>
    <n v="282441.59999999998"/>
    <n v="121046.40000000002"/>
    <x v="9"/>
    <x v="1"/>
  </r>
  <r>
    <s v="ORD00723"/>
    <s v="2023-12-25"/>
    <x v="0"/>
    <x v="14"/>
    <s v="Guwahati"/>
    <x v="1"/>
    <x v="7"/>
    <x v="1"/>
    <s v="UPI"/>
    <n v="2"/>
    <n v="82882"/>
    <n v="58017.399999999994"/>
    <n v="24864.600000000006"/>
    <x v="7"/>
    <x v="1"/>
  </r>
  <r>
    <s v="ORD00724"/>
    <s v="2024-06-14"/>
    <x v="3"/>
    <x v="10"/>
    <s v="Bangalore"/>
    <x v="3"/>
    <x v="13"/>
    <x v="0"/>
    <s v="Credit Card"/>
    <n v="4"/>
    <n v="150372"/>
    <n v="105260.4"/>
    <n v="45111.600000000006"/>
    <x v="3"/>
    <x v="0"/>
  </r>
  <r>
    <s v="ORD00725"/>
    <s v="2024-04-09"/>
    <x v="2"/>
    <x v="4"/>
    <s v="Gurgaon"/>
    <x v="2"/>
    <x v="15"/>
    <x v="0"/>
    <s v="UPI"/>
    <n v="10"/>
    <n v="417560"/>
    <n v="292292"/>
    <n v="125268"/>
    <x v="11"/>
    <x v="0"/>
  </r>
  <r>
    <s v="ORD00726"/>
    <s v="2023-02-17"/>
    <x v="0"/>
    <x v="0"/>
    <s v="Bhubaneswar"/>
    <x v="2"/>
    <x v="14"/>
    <x v="1"/>
    <s v="Debit Card"/>
    <n v="3"/>
    <n v="57462"/>
    <n v="40223.399999999994"/>
    <n v="17238.600000000006"/>
    <x v="1"/>
    <x v="1"/>
  </r>
  <r>
    <s v="ORD00727"/>
    <s v="2023-11-11"/>
    <x v="3"/>
    <x v="10"/>
    <s v="Bangalore"/>
    <x v="1"/>
    <x v="1"/>
    <x v="0"/>
    <s v="Debit Card"/>
    <n v="6"/>
    <n v="44568"/>
    <n v="31197.599999999999"/>
    <n v="13370.400000000001"/>
    <x v="6"/>
    <x v="1"/>
  </r>
  <r>
    <s v="ORD00728"/>
    <s v="2024-07-12"/>
    <x v="2"/>
    <x v="3"/>
    <s v="Ludhiana"/>
    <x v="2"/>
    <x v="14"/>
    <x v="1"/>
    <s v="UPI"/>
    <n v="9"/>
    <n v="241524"/>
    <n v="169066.8"/>
    <n v="72457.200000000012"/>
    <x v="0"/>
    <x v="0"/>
  </r>
  <r>
    <s v="ORD00729"/>
    <s v="2023-02-25"/>
    <x v="3"/>
    <x v="6"/>
    <s v="Hyderabad"/>
    <x v="2"/>
    <x v="12"/>
    <x v="0"/>
    <s v="Net Banking"/>
    <n v="8"/>
    <n v="363968"/>
    <n v="254777.59999999998"/>
    <n v="109190.40000000002"/>
    <x v="1"/>
    <x v="1"/>
  </r>
  <r>
    <s v="ORD00730"/>
    <s v="2023-05-08"/>
    <x v="1"/>
    <x v="9"/>
    <s v="Kolhapur"/>
    <x v="3"/>
    <x v="13"/>
    <x v="0"/>
    <s v="Cash"/>
    <n v="9"/>
    <n v="221355"/>
    <n v="154948.5"/>
    <n v="66406.5"/>
    <x v="9"/>
    <x v="1"/>
  </r>
  <r>
    <s v="ORD00731"/>
    <s v="2024-10-12"/>
    <x v="2"/>
    <x v="2"/>
    <s v="New Delhi"/>
    <x v="0"/>
    <x v="4"/>
    <x v="2"/>
    <s v="UPI"/>
    <n v="7"/>
    <n v="289422"/>
    <n v="202595.4"/>
    <n v="86826.6"/>
    <x v="5"/>
    <x v="0"/>
  </r>
  <r>
    <s v="ORD00732"/>
    <s v="2023-06-12"/>
    <x v="2"/>
    <x v="3"/>
    <s v="Ludhiana"/>
    <x v="2"/>
    <x v="15"/>
    <x v="1"/>
    <s v="UPI"/>
    <n v="6"/>
    <n v="122322"/>
    <n v="85625.4"/>
    <n v="36696.600000000006"/>
    <x v="3"/>
    <x v="1"/>
  </r>
  <r>
    <s v="ORD00733"/>
    <s v="2024-05-28"/>
    <x v="3"/>
    <x v="6"/>
    <s v="Hyderabad"/>
    <x v="3"/>
    <x v="6"/>
    <x v="2"/>
    <s v="Credit Card"/>
    <n v="10"/>
    <n v="262470"/>
    <n v="183729"/>
    <n v="78741"/>
    <x v="9"/>
    <x v="0"/>
  </r>
  <r>
    <s v="ORD00734"/>
    <s v="2024-07-01"/>
    <x v="3"/>
    <x v="5"/>
    <s v="Kochi"/>
    <x v="3"/>
    <x v="11"/>
    <x v="2"/>
    <s v="Debit Card"/>
    <n v="9"/>
    <n v="274671"/>
    <n v="192269.69999999998"/>
    <n v="82401.300000000017"/>
    <x v="0"/>
    <x v="0"/>
  </r>
  <r>
    <s v="ORD00735"/>
    <s v="2024-08-06"/>
    <x v="2"/>
    <x v="2"/>
    <s v="New Delhi"/>
    <x v="2"/>
    <x v="3"/>
    <x v="1"/>
    <s v="Debit Card"/>
    <n v="6"/>
    <n v="55236"/>
    <n v="38665.199999999997"/>
    <n v="16570.800000000003"/>
    <x v="4"/>
    <x v="0"/>
  </r>
  <r>
    <s v="ORD00736"/>
    <s v="2024-09-01"/>
    <x v="3"/>
    <x v="6"/>
    <s v="Hyderabad"/>
    <x v="0"/>
    <x v="2"/>
    <x v="2"/>
    <s v="Debit Card"/>
    <n v="3"/>
    <n v="40557"/>
    <n v="28389.899999999998"/>
    <n v="12167.100000000002"/>
    <x v="10"/>
    <x v="0"/>
  </r>
  <r>
    <s v="ORD00737"/>
    <s v="2023-01-04"/>
    <x v="0"/>
    <x v="12"/>
    <s v="Patna"/>
    <x v="3"/>
    <x v="11"/>
    <x v="0"/>
    <s v="Net Banking"/>
    <n v="4"/>
    <n v="146060"/>
    <n v="102242"/>
    <n v="43818"/>
    <x v="8"/>
    <x v="1"/>
  </r>
  <r>
    <s v="ORD00738"/>
    <s v="2024-02-15"/>
    <x v="1"/>
    <x v="1"/>
    <s v="Ahmedabad"/>
    <x v="1"/>
    <x v="1"/>
    <x v="2"/>
    <s v="Debit Card"/>
    <n v="5"/>
    <n v="37530"/>
    <n v="26271"/>
    <n v="11259"/>
    <x v="1"/>
    <x v="0"/>
  </r>
  <r>
    <s v="ORD00739"/>
    <s v="2024-06-12"/>
    <x v="3"/>
    <x v="5"/>
    <s v="Kochi"/>
    <x v="0"/>
    <x v="0"/>
    <x v="0"/>
    <s v="Net Banking"/>
    <n v="3"/>
    <n v="19104"/>
    <n v="13372.8"/>
    <n v="5731.2000000000007"/>
    <x v="3"/>
    <x v="0"/>
  </r>
  <r>
    <s v="ORD00740"/>
    <s v="2023-03-02"/>
    <x v="3"/>
    <x v="6"/>
    <s v="Hyderabad"/>
    <x v="2"/>
    <x v="14"/>
    <x v="2"/>
    <s v="Debit Card"/>
    <n v="4"/>
    <n v="10444"/>
    <n v="7310.7999999999993"/>
    <n v="3133.2000000000007"/>
    <x v="2"/>
    <x v="1"/>
  </r>
  <r>
    <s v="ORD00741"/>
    <s v="2024-05-26"/>
    <x v="1"/>
    <x v="9"/>
    <s v="Kolhapur"/>
    <x v="3"/>
    <x v="6"/>
    <x v="0"/>
    <s v="UPI"/>
    <n v="10"/>
    <n v="362240"/>
    <n v="253567.99999999997"/>
    <n v="108672.00000000003"/>
    <x v="9"/>
    <x v="0"/>
  </r>
  <r>
    <s v="ORD00742"/>
    <s v="2023-08-29"/>
    <x v="3"/>
    <x v="6"/>
    <s v="Hyderabad"/>
    <x v="1"/>
    <x v="1"/>
    <x v="1"/>
    <s v="Net Banking"/>
    <n v="4"/>
    <n v="147264"/>
    <n v="103084.79999999999"/>
    <n v="44179.200000000012"/>
    <x v="4"/>
    <x v="1"/>
  </r>
  <r>
    <s v="ORD00743"/>
    <s v="2023-04-21"/>
    <x v="1"/>
    <x v="8"/>
    <s v="Panaji"/>
    <x v="0"/>
    <x v="2"/>
    <x v="2"/>
    <s v="Cash"/>
    <n v="9"/>
    <n v="174888"/>
    <n v="122421.59999999999"/>
    <n v="52466.400000000009"/>
    <x v="11"/>
    <x v="1"/>
  </r>
  <r>
    <s v="ORD00744"/>
    <s v="2023-11-28"/>
    <x v="2"/>
    <x v="4"/>
    <s v="Gurgaon"/>
    <x v="3"/>
    <x v="6"/>
    <x v="1"/>
    <s v="Debit Card"/>
    <n v="9"/>
    <n v="384255"/>
    <n v="268978.5"/>
    <n v="115276.5"/>
    <x v="6"/>
    <x v="1"/>
  </r>
  <r>
    <s v="ORD00745"/>
    <s v="2024-08-16"/>
    <x v="1"/>
    <x v="1"/>
    <s v="Ahmedabad"/>
    <x v="3"/>
    <x v="6"/>
    <x v="0"/>
    <s v="UPI"/>
    <n v="7"/>
    <n v="141967"/>
    <n v="99376.9"/>
    <n v="42590.100000000006"/>
    <x v="4"/>
    <x v="0"/>
  </r>
  <r>
    <s v="ORD00746"/>
    <s v="2023-09-30"/>
    <x v="3"/>
    <x v="7"/>
    <s v="Chennai"/>
    <x v="1"/>
    <x v="7"/>
    <x v="1"/>
    <s v="UPI"/>
    <n v="8"/>
    <n v="299416"/>
    <n v="209591.19999999998"/>
    <n v="89824.800000000017"/>
    <x v="10"/>
    <x v="1"/>
  </r>
  <r>
    <s v="ORD00747"/>
    <s v="2023-04-25"/>
    <x v="1"/>
    <x v="9"/>
    <s v="Kolhapur"/>
    <x v="0"/>
    <x v="4"/>
    <x v="0"/>
    <s v="Debit Card"/>
    <n v="8"/>
    <n v="128592"/>
    <n v="90014.399999999994"/>
    <n v="38577.600000000006"/>
    <x v="11"/>
    <x v="1"/>
  </r>
  <r>
    <s v="ORD00748"/>
    <s v="2024-01-14"/>
    <x v="2"/>
    <x v="11"/>
    <s v="Lucknow"/>
    <x v="3"/>
    <x v="6"/>
    <x v="2"/>
    <s v="UPI"/>
    <n v="1"/>
    <n v="4272"/>
    <n v="2990.3999999999996"/>
    <n v="1281.6000000000004"/>
    <x v="8"/>
    <x v="0"/>
  </r>
  <r>
    <s v="ORD00749"/>
    <s v="2024-02-18"/>
    <x v="0"/>
    <x v="13"/>
    <s v="Kolkata"/>
    <x v="3"/>
    <x v="9"/>
    <x v="2"/>
    <s v="Cash"/>
    <n v="4"/>
    <n v="121528"/>
    <n v="85069.599999999991"/>
    <n v="36458.400000000009"/>
    <x v="1"/>
    <x v="0"/>
  </r>
  <r>
    <s v="ORD00750"/>
    <s v="2024-07-20"/>
    <x v="2"/>
    <x v="11"/>
    <s v="Lucknow"/>
    <x v="3"/>
    <x v="9"/>
    <x v="1"/>
    <s v="Net Banking"/>
    <n v="5"/>
    <n v="193340"/>
    <n v="135338"/>
    <n v="58002"/>
    <x v="0"/>
    <x v="0"/>
  </r>
  <r>
    <s v="ORD00751"/>
    <s v="2024-04-28"/>
    <x v="3"/>
    <x v="7"/>
    <s v="Chennai"/>
    <x v="3"/>
    <x v="11"/>
    <x v="1"/>
    <s v="Cash"/>
    <n v="5"/>
    <n v="243655"/>
    <n v="170558.5"/>
    <n v="73096.5"/>
    <x v="11"/>
    <x v="0"/>
  </r>
  <r>
    <s v="ORD00752"/>
    <s v="2023-04-02"/>
    <x v="3"/>
    <x v="6"/>
    <s v="Hyderabad"/>
    <x v="1"/>
    <x v="1"/>
    <x v="0"/>
    <s v="Cash"/>
    <n v="2"/>
    <n v="96262"/>
    <n v="67383.399999999994"/>
    <n v="28878.600000000006"/>
    <x v="11"/>
    <x v="1"/>
  </r>
  <r>
    <s v="ORD00753"/>
    <s v="2024-11-08"/>
    <x v="2"/>
    <x v="11"/>
    <s v="Lucknow"/>
    <x v="0"/>
    <x v="10"/>
    <x v="0"/>
    <s v="Debit Card"/>
    <n v="7"/>
    <n v="325143"/>
    <n v="227600.09999999998"/>
    <n v="97542.900000000023"/>
    <x v="6"/>
    <x v="0"/>
  </r>
  <r>
    <s v="ORD00754"/>
    <s v="2024-08-25"/>
    <x v="0"/>
    <x v="13"/>
    <s v="Kolkata"/>
    <x v="0"/>
    <x v="2"/>
    <x v="2"/>
    <s v="Credit Card"/>
    <n v="2"/>
    <n v="42626"/>
    <n v="29838.199999999997"/>
    <n v="12787.800000000003"/>
    <x v="4"/>
    <x v="0"/>
  </r>
  <r>
    <s v="ORD00755"/>
    <s v="2024-10-19"/>
    <x v="2"/>
    <x v="3"/>
    <s v="Ludhiana"/>
    <x v="0"/>
    <x v="0"/>
    <x v="1"/>
    <s v="Debit Card"/>
    <n v="8"/>
    <n v="352416"/>
    <n v="246691.19999999998"/>
    <n v="105724.80000000002"/>
    <x v="5"/>
    <x v="0"/>
  </r>
  <r>
    <s v="ORD00756"/>
    <s v="2024-03-15"/>
    <x v="0"/>
    <x v="12"/>
    <s v="Patna"/>
    <x v="2"/>
    <x v="15"/>
    <x v="2"/>
    <s v="Cash"/>
    <n v="9"/>
    <n v="369018"/>
    <n v="258312.59999999998"/>
    <n v="110705.40000000002"/>
    <x v="2"/>
    <x v="0"/>
  </r>
  <r>
    <s v="ORD00757"/>
    <s v="2024-05-31"/>
    <x v="2"/>
    <x v="11"/>
    <s v="Lucknow"/>
    <x v="0"/>
    <x v="4"/>
    <x v="0"/>
    <s v="Credit Card"/>
    <n v="10"/>
    <n v="301020"/>
    <n v="210714"/>
    <n v="90306"/>
    <x v="9"/>
    <x v="0"/>
  </r>
  <r>
    <s v="ORD00758"/>
    <s v="2023-01-14"/>
    <x v="3"/>
    <x v="7"/>
    <s v="Chennai"/>
    <x v="2"/>
    <x v="15"/>
    <x v="1"/>
    <s v="Cash"/>
    <n v="9"/>
    <n v="134748"/>
    <n v="94323.599999999991"/>
    <n v="40424.400000000009"/>
    <x v="8"/>
    <x v="1"/>
  </r>
  <r>
    <s v="ORD00759"/>
    <s v="2023-07-19"/>
    <x v="0"/>
    <x v="13"/>
    <s v="Kolkata"/>
    <x v="3"/>
    <x v="13"/>
    <x v="1"/>
    <s v="Debit Card"/>
    <n v="3"/>
    <n v="108225"/>
    <n v="75757.5"/>
    <n v="32467.5"/>
    <x v="0"/>
    <x v="1"/>
  </r>
  <r>
    <s v="ORD00760"/>
    <s v="2024-10-17"/>
    <x v="1"/>
    <x v="9"/>
    <s v="Pune"/>
    <x v="0"/>
    <x v="4"/>
    <x v="0"/>
    <s v="UPI"/>
    <n v="1"/>
    <n v="48861"/>
    <n v="34202.699999999997"/>
    <n v="14658.300000000003"/>
    <x v="5"/>
    <x v="0"/>
  </r>
  <r>
    <s v="ORD00761"/>
    <s v="2024-08-27"/>
    <x v="3"/>
    <x v="10"/>
    <s v="Bangalore"/>
    <x v="3"/>
    <x v="11"/>
    <x v="0"/>
    <s v="UPI"/>
    <n v="4"/>
    <n v="118204"/>
    <n v="82742.799999999988"/>
    <n v="35461.200000000012"/>
    <x v="4"/>
    <x v="0"/>
  </r>
  <r>
    <s v="ORD00762"/>
    <s v="2024-11-07"/>
    <x v="1"/>
    <x v="1"/>
    <s v="Ahmedabad"/>
    <x v="1"/>
    <x v="5"/>
    <x v="2"/>
    <s v="Cash"/>
    <n v="6"/>
    <n v="264432"/>
    <n v="185102.4"/>
    <n v="79329.600000000006"/>
    <x v="6"/>
    <x v="0"/>
  </r>
  <r>
    <s v="ORD00763"/>
    <s v="2023-02-08"/>
    <x v="2"/>
    <x v="4"/>
    <s v="Gurgaon"/>
    <x v="1"/>
    <x v="7"/>
    <x v="2"/>
    <s v="Cash"/>
    <n v="1"/>
    <n v="31466"/>
    <n v="22026.199999999997"/>
    <n v="9439.8000000000029"/>
    <x v="1"/>
    <x v="1"/>
  </r>
  <r>
    <s v="ORD00764"/>
    <s v="2024-05-20"/>
    <x v="3"/>
    <x v="5"/>
    <s v="Kochi"/>
    <x v="2"/>
    <x v="12"/>
    <x v="1"/>
    <s v="UPI"/>
    <n v="1"/>
    <n v="48587"/>
    <n v="34010.9"/>
    <n v="14576.099999999999"/>
    <x v="9"/>
    <x v="0"/>
  </r>
  <r>
    <s v="ORD00765"/>
    <s v="2024-09-26"/>
    <x v="0"/>
    <x v="12"/>
    <s v="Patna"/>
    <x v="1"/>
    <x v="5"/>
    <x v="2"/>
    <s v="Debit Card"/>
    <n v="9"/>
    <n v="61938"/>
    <n v="43356.6"/>
    <n v="18581.400000000001"/>
    <x v="10"/>
    <x v="0"/>
  </r>
  <r>
    <s v="ORD00766"/>
    <s v="2023-11-01"/>
    <x v="2"/>
    <x v="4"/>
    <s v="Gurgaon"/>
    <x v="0"/>
    <x v="10"/>
    <x v="1"/>
    <s v="Debit Card"/>
    <n v="10"/>
    <n v="229980"/>
    <n v="160986"/>
    <n v="68994"/>
    <x v="6"/>
    <x v="1"/>
  </r>
  <r>
    <s v="ORD00767"/>
    <s v="2023-09-30"/>
    <x v="0"/>
    <x v="13"/>
    <s v="Kolkata"/>
    <x v="0"/>
    <x v="10"/>
    <x v="1"/>
    <s v="Cash"/>
    <n v="10"/>
    <n v="53800"/>
    <n v="37660"/>
    <n v="16140"/>
    <x v="10"/>
    <x v="1"/>
  </r>
  <r>
    <s v="ORD00768"/>
    <s v="2023-07-11"/>
    <x v="0"/>
    <x v="0"/>
    <s v="Bhubaneswar"/>
    <x v="1"/>
    <x v="7"/>
    <x v="0"/>
    <s v="Credit Card"/>
    <n v="8"/>
    <n v="154552"/>
    <n v="108186.4"/>
    <n v="46365.600000000006"/>
    <x v="0"/>
    <x v="1"/>
  </r>
  <r>
    <s v="ORD00769"/>
    <s v="2023-10-24"/>
    <x v="1"/>
    <x v="8"/>
    <s v="Panaji"/>
    <x v="3"/>
    <x v="13"/>
    <x v="2"/>
    <s v="UPI"/>
    <n v="10"/>
    <n v="112730"/>
    <n v="78911"/>
    <n v="33819"/>
    <x v="5"/>
    <x v="1"/>
  </r>
  <r>
    <s v="ORD00770"/>
    <s v="2023-01-18"/>
    <x v="1"/>
    <x v="9"/>
    <s v="Kolhapur"/>
    <x v="2"/>
    <x v="12"/>
    <x v="0"/>
    <s v="Net Banking"/>
    <n v="6"/>
    <n v="49158"/>
    <n v="34410.6"/>
    <n v="14747.400000000001"/>
    <x v="8"/>
    <x v="1"/>
  </r>
  <r>
    <s v="ORD00771"/>
    <s v="2024-01-31"/>
    <x v="3"/>
    <x v="7"/>
    <s v="Chennai"/>
    <x v="1"/>
    <x v="5"/>
    <x v="0"/>
    <s v="Net Banking"/>
    <n v="3"/>
    <n v="27018"/>
    <n v="18912.599999999999"/>
    <n v="8105.4000000000015"/>
    <x v="8"/>
    <x v="0"/>
  </r>
  <r>
    <s v="ORD00772"/>
    <s v="2023-08-20"/>
    <x v="3"/>
    <x v="6"/>
    <s v="Hyderabad"/>
    <x v="2"/>
    <x v="15"/>
    <x v="0"/>
    <s v="Credit Card"/>
    <n v="7"/>
    <n v="343819"/>
    <n v="240673.3"/>
    <n v="103145.70000000001"/>
    <x v="4"/>
    <x v="1"/>
  </r>
  <r>
    <s v="ORD00773"/>
    <s v="2024-04-19"/>
    <x v="1"/>
    <x v="1"/>
    <s v="Ahmedabad"/>
    <x v="3"/>
    <x v="6"/>
    <x v="1"/>
    <s v="Cash"/>
    <n v="5"/>
    <n v="151730"/>
    <n v="106211"/>
    <n v="45519"/>
    <x v="11"/>
    <x v="0"/>
  </r>
  <r>
    <s v="ORD00774"/>
    <s v="2024-08-05"/>
    <x v="2"/>
    <x v="3"/>
    <s v="Ludhiana"/>
    <x v="2"/>
    <x v="14"/>
    <x v="1"/>
    <s v="UPI"/>
    <n v="4"/>
    <n v="199968"/>
    <n v="139977.59999999998"/>
    <n v="59990.400000000023"/>
    <x v="4"/>
    <x v="0"/>
  </r>
  <r>
    <s v="ORD00775"/>
    <s v="2024-09-06"/>
    <x v="3"/>
    <x v="6"/>
    <s v="Hyderabad"/>
    <x v="2"/>
    <x v="14"/>
    <x v="1"/>
    <s v="Debit Card"/>
    <n v="8"/>
    <n v="181896"/>
    <n v="127327.2"/>
    <n v="54568.800000000003"/>
    <x v="10"/>
    <x v="0"/>
  </r>
  <r>
    <s v="ORD00776"/>
    <s v="2024-07-18"/>
    <x v="2"/>
    <x v="2"/>
    <s v="New Delhi"/>
    <x v="1"/>
    <x v="8"/>
    <x v="0"/>
    <s v="Net Banking"/>
    <n v="1"/>
    <n v="27303"/>
    <n v="19112.099999999999"/>
    <n v="8190.9000000000015"/>
    <x v="0"/>
    <x v="0"/>
  </r>
  <r>
    <s v="ORD00777"/>
    <s v="2024-07-15"/>
    <x v="2"/>
    <x v="4"/>
    <s v="Gurgaon"/>
    <x v="1"/>
    <x v="7"/>
    <x v="0"/>
    <s v="Debit Card"/>
    <n v="4"/>
    <n v="13016"/>
    <n v="9111.1999999999989"/>
    <n v="3904.8000000000011"/>
    <x v="0"/>
    <x v="0"/>
  </r>
  <r>
    <s v="ORD00778"/>
    <s v="2023-03-21"/>
    <x v="1"/>
    <x v="9"/>
    <s v="Pune"/>
    <x v="1"/>
    <x v="7"/>
    <x v="2"/>
    <s v="Credit Card"/>
    <n v="9"/>
    <n v="185877"/>
    <n v="130113.9"/>
    <n v="55763.100000000006"/>
    <x v="2"/>
    <x v="1"/>
  </r>
  <r>
    <s v="ORD00779"/>
    <s v="2023-04-26"/>
    <x v="2"/>
    <x v="3"/>
    <s v="Ludhiana"/>
    <x v="1"/>
    <x v="5"/>
    <x v="0"/>
    <s v="Debit Card"/>
    <n v="3"/>
    <n v="140178"/>
    <n v="98124.599999999991"/>
    <n v="42053.400000000009"/>
    <x v="11"/>
    <x v="1"/>
  </r>
  <r>
    <s v="ORD00780"/>
    <s v="2023-09-16"/>
    <x v="0"/>
    <x v="14"/>
    <s v="Guwahati"/>
    <x v="0"/>
    <x v="2"/>
    <x v="1"/>
    <s v="Cash"/>
    <n v="7"/>
    <n v="198506"/>
    <n v="138954.19999999998"/>
    <n v="59551.800000000017"/>
    <x v="10"/>
    <x v="1"/>
  </r>
  <r>
    <s v="ORD00781"/>
    <s v="2024-11-18"/>
    <x v="3"/>
    <x v="7"/>
    <s v="Chennai"/>
    <x v="1"/>
    <x v="5"/>
    <x v="2"/>
    <s v="Cash"/>
    <n v="2"/>
    <n v="21856"/>
    <n v="15299.199999999999"/>
    <n v="6556.8000000000011"/>
    <x v="6"/>
    <x v="0"/>
  </r>
  <r>
    <s v="ORD00782"/>
    <s v="2023-08-08"/>
    <x v="1"/>
    <x v="9"/>
    <s v="Kolhapur"/>
    <x v="3"/>
    <x v="9"/>
    <x v="1"/>
    <s v="UPI"/>
    <n v="9"/>
    <n v="109089"/>
    <n v="76362.299999999988"/>
    <n v="32726.700000000012"/>
    <x v="4"/>
    <x v="1"/>
  </r>
  <r>
    <s v="ORD00783"/>
    <s v="2024-06-17"/>
    <x v="0"/>
    <x v="13"/>
    <s v="Kolkata"/>
    <x v="1"/>
    <x v="7"/>
    <x v="2"/>
    <s v="Net Banking"/>
    <n v="10"/>
    <n v="307670"/>
    <n v="215369"/>
    <n v="92301"/>
    <x v="3"/>
    <x v="0"/>
  </r>
  <r>
    <s v="ORD00784"/>
    <s v="2023-12-29"/>
    <x v="0"/>
    <x v="0"/>
    <s v="Bhubaneswar"/>
    <x v="2"/>
    <x v="12"/>
    <x v="2"/>
    <s v="Net Banking"/>
    <n v="1"/>
    <n v="17247"/>
    <n v="12072.9"/>
    <n v="5174.1000000000004"/>
    <x v="7"/>
    <x v="1"/>
  </r>
  <r>
    <s v="ORD00785"/>
    <s v="2024-02-20"/>
    <x v="2"/>
    <x v="3"/>
    <s v="Ludhiana"/>
    <x v="2"/>
    <x v="3"/>
    <x v="0"/>
    <s v="Cash"/>
    <n v="9"/>
    <n v="106677"/>
    <n v="74673.899999999994"/>
    <n v="32003.100000000006"/>
    <x v="1"/>
    <x v="0"/>
  </r>
  <r>
    <s v="ORD00786"/>
    <s v="2024-10-18"/>
    <x v="1"/>
    <x v="9"/>
    <s v="Pune"/>
    <x v="0"/>
    <x v="0"/>
    <x v="2"/>
    <s v="UPI"/>
    <n v="3"/>
    <n v="71637"/>
    <n v="50145.899999999994"/>
    <n v="21491.100000000006"/>
    <x v="5"/>
    <x v="0"/>
  </r>
  <r>
    <s v="ORD00787"/>
    <s v="2023-11-28"/>
    <x v="2"/>
    <x v="2"/>
    <s v="New Delhi"/>
    <x v="2"/>
    <x v="3"/>
    <x v="1"/>
    <s v="Net Banking"/>
    <n v="9"/>
    <n v="284598"/>
    <n v="199218.59999999998"/>
    <n v="85379.400000000023"/>
    <x v="6"/>
    <x v="1"/>
  </r>
  <r>
    <s v="ORD00788"/>
    <s v="2024-10-12"/>
    <x v="3"/>
    <x v="5"/>
    <s v="Kochi"/>
    <x v="0"/>
    <x v="4"/>
    <x v="2"/>
    <s v="Cash"/>
    <n v="5"/>
    <n v="244395"/>
    <n v="171076.5"/>
    <n v="73318.5"/>
    <x v="5"/>
    <x v="0"/>
  </r>
  <r>
    <s v="ORD00789"/>
    <s v="2023-06-27"/>
    <x v="0"/>
    <x v="12"/>
    <s v="Patna"/>
    <x v="0"/>
    <x v="4"/>
    <x v="0"/>
    <s v="Cash"/>
    <n v="7"/>
    <n v="342370"/>
    <n v="239658.99999999997"/>
    <n v="102711.00000000003"/>
    <x v="3"/>
    <x v="1"/>
  </r>
  <r>
    <s v="ORD00790"/>
    <s v="2023-02-02"/>
    <x v="1"/>
    <x v="9"/>
    <s v="Kolhapur"/>
    <x v="2"/>
    <x v="15"/>
    <x v="0"/>
    <s v="Debit Card"/>
    <n v="3"/>
    <n v="71841"/>
    <n v="50288.7"/>
    <n v="21552.300000000003"/>
    <x v="1"/>
    <x v="1"/>
  </r>
  <r>
    <s v="ORD00791"/>
    <s v="2023-06-16"/>
    <x v="1"/>
    <x v="9"/>
    <s v="Kolhapur"/>
    <x v="2"/>
    <x v="14"/>
    <x v="1"/>
    <s v="Credit Card"/>
    <n v="8"/>
    <n v="188792"/>
    <n v="132154.4"/>
    <n v="56637.600000000006"/>
    <x v="3"/>
    <x v="1"/>
  </r>
  <r>
    <s v="ORD00792"/>
    <s v="2024-01-07"/>
    <x v="1"/>
    <x v="8"/>
    <s v="Panaji"/>
    <x v="2"/>
    <x v="15"/>
    <x v="2"/>
    <s v="Debit Card"/>
    <n v="8"/>
    <n v="310552"/>
    <n v="217386.4"/>
    <n v="93165.6"/>
    <x v="8"/>
    <x v="0"/>
  </r>
  <r>
    <s v="ORD00793"/>
    <s v="2023-09-30"/>
    <x v="1"/>
    <x v="8"/>
    <s v="Panaji"/>
    <x v="1"/>
    <x v="5"/>
    <x v="1"/>
    <s v="UPI"/>
    <n v="8"/>
    <n v="271256"/>
    <n v="189879.19999999998"/>
    <n v="81376.800000000017"/>
    <x v="10"/>
    <x v="1"/>
  </r>
  <r>
    <s v="ORD00794"/>
    <s v="2023-08-03"/>
    <x v="0"/>
    <x v="12"/>
    <s v="Patna"/>
    <x v="0"/>
    <x v="2"/>
    <x v="2"/>
    <s v="Credit Card"/>
    <n v="7"/>
    <n v="55678"/>
    <n v="38974.6"/>
    <n v="16703.400000000001"/>
    <x v="4"/>
    <x v="1"/>
  </r>
  <r>
    <s v="ORD00795"/>
    <s v="2023-11-26"/>
    <x v="0"/>
    <x v="13"/>
    <s v="Kolkata"/>
    <x v="1"/>
    <x v="5"/>
    <x v="2"/>
    <s v="Credit Card"/>
    <n v="9"/>
    <n v="110052"/>
    <n v="77036.399999999994"/>
    <n v="33015.600000000006"/>
    <x v="6"/>
    <x v="1"/>
  </r>
  <r>
    <s v="ORD00796"/>
    <s v="2024-09-19"/>
    <x v="2"/>
    <x v="2"/>
    <s v="New Delhi"/>
    <x v="2"/>
    <x v="12"/>
    <x v="0"/>
    <s v="Net Banking"/>
    <n v="2"/>
    <n v="97670"/>
    <n v="68369"/>
    <n v="29301"/>
    <x v="10"/>
    <x v="0"/>
  </r>
  <r>
    <s v="ORD00797"/>
    <s v="2024-03-10"/>
    <x v="2"/>
    <x v="2"/>
    <s v="New Delhi"/>
    <x v="1"/>
    <x v="7"/>
    <x v="1"/>
    <s v="Debit Card"/>
    <n v="6"/>
    <n v="259518"/>
    <n v="181662.59999999998"/>
    <n v="77855.400000000023"/>
    <x v="2"/>
    <x v="0"/>
  </r>
  <r>
    <s v="ORD00798"/>
    <s v="2023-11-03"/>
    <x v="3"/>
    <x v="7"/>
    <s v="Chennai"/>
    <x v="0"/>
    <x v="4"/>
    <x v="2"/>
    <s v="Debit Card"/>
    <n v="2"/>
    <n v="5918"/>
    <n v="4142.5999999999995"/>
    <n v="1775.4000000000005"/>
    <x v="6"/>
    <x v="1"/>
  </r>
  <r>
    <s v="ORD00799"/>
    <s v="2023-05-29"/>
    <x v="2"/>
    <x v="2"/>
    <s v="New Delhi"/>
    <x v="0"/>
    <x v="0"/>
    <x v="1"/>
    <s v="Debit Card"/>
    <n v="10"/>
    <n v="458780"/>
    <n v="321146"/>
    <n v="137634"/>
    <x v="9"/>
    <x v="1"/>
  </r>
  <r>
    <s v="ORD00800"/>
    <s v="2024-04-24"/>
    <x v="0"/>
    <x v="12"/>
    <s v="Patna"/>
    <x v="2"/>
    <x v="12"/>
    <x v="0"/>
    <s v="UPI"/>
    <n v="1"/>
    <n v="19522"/>
    <n v="13665.4"/>
    <n v="5856.6"/>
    <x v="11"/>
    <x v="0"/>
  </r>
  <r>
    <s v="ORD00801"/>
    <s v="2023-09-22"/>
    <x v="3"/>
    <x v="10"/>
    <s v="Bangalore"/>
    <x v="3"/>
    <x v="13"/>
    <x v="2"/>
    <s v="Debit Card"/>
    <n v="7"/>
    <n v="337477"/>
    <n v="236233.9"/>
    <n v="101243.1"/>
    <x v="10"/>
    <x v="1"/>
  </r>
  <r>
    <s v="ORD00802"/>
    <s v="2023-09-21"/>
    <x v="0"/>
    <x v="14"/>
    <s v="Guwahati"/>
    <x v="3"/>
    <x v="6"/>
    <x v="2"/>
    <s v="Cash"/>
    <n v="2"/>
    <n v="65780"/>
    <n v="46046"/>
    <n v="19734"/>
    <x v="10"/>
    <x v="1"/>
  </r>
  <r>
    <s v="ORD00803"/>
    <s v="2024-01-30"/>
    <x v="1"/>
    <x v="9"/>
    <s v="Pune"/>
    <x v="2"/>
    <x v="12"/>
    <x v="1"/>
    <s v="Debit Card"/>
    <n v="4"/>
    <n v="192560"/>
    <n v="134792"/>
    <n v="57768"/>
    <x v="8"/>
    <x v="0"/>
  </r>
  <r>
    <s v="ORD00804"/>
    <s v="2024-01-09"/>
    <x v="3"/>
    <x v="5"/>
    <s v="Kochi"/>
    <x v="2"/>
    <x v="12"/>
    <x v="1"/>
    <s v="Credit Card"/>
    <n v="6"/>
    <n v="15222"/>
    <n v="10655.4"/>
    <n v="4566.6000000000004"/>
    <x v="8"/>
    <x v="0"/>
  </r>
  <r>
    <s v="ORD00805"/>
    <s v="2023-01-05"/>
    <x v="2"/>
    <x v="3"/>
    <s v="Ludhiana"/>
    <x v="0"/>
    <x v="2"/>
    <x v="2"/>
    <s v="Debit Card"/>
    <n v="3"/>
    <n v="75531"/>
    <n v="52871.7"/>
    <n v="22659.300000000003"/>
    <x v="8"/>
    <x v="1"/>
  </r>
  <r>
    <s v="ORD00806"/>
    <s v="2023-08-10"/>
    <x v="3"/>
    <x v="5"/>
    <s v="Kochi"/>
    <x v="1"/>
    <x v="8"/>
    <x v="1"/>
    <s v="UPI"/>
    <n v="10"/>
    <n v="304440"/>
    <n v="213108"/>
    <n v="91332"/>
    <x v="4"/>
    <x v="1"/>
  </r>
  <r>
    <s v="ORD00807"/>
    <s v="2023-08-18"/>
    <x v="3"/>
    <x v="10"/>
    <s v="Bangalore"/>
    <x v="3"/>
    <x v="13"/>
    <x v="1"/>
    <s v="Net Banking"/>
    <n v="7"/>
    <n v="326522"/>
    <n v="228565.4"/>
    <n v="97956.6"/>
    <x v="4"/>
    <x v="1"/>
  </r>
  <r>
    <s v="ORD00808"/>
    <s v="2023-12-19"/>
    <x v="3"/>
    <x v="10"/>
    <s v="Bangalore"/>
    <x v="0"/>
    <x v="0"/>
    <x v="0"/>
    <s v="Net Banking"/>
    <n v="2"/>
    <n v="79430"/>
    <n v="55601"/>
    <n v="23829"/>
    <x v="7"/>
    <x v="1"/>
  </r>
  <r>
    <s v="ORD00809"/>
    <s v="2024-05-12"/>
    <x v="2"/>
    <x v="3"/>
    <s v="Ludhiana"/>
    <x v="3"/>
    <x v="13"/>
    <x v="2"/>
    <s v="Cash"/>
    <n v="9"/>
    <n v="229266"/>
    <n v="160486.19999999998"/>
    <n v="68779.800000000017"/>
    <x v="9"/>
    <x v="0"/>
  </r>
  <r>
    <s v="ORD00810"/>
    <s v="2024-02-22"/>
    <x v="3"/>
    <x v="5"/>
    <s v="Kochi"/>
    <x v="1"/>
    <x v="8"/>
    <x v="2"/>
    <s v="UPI"/>
    <n v="6"/>
    <n v="149490"/>
    <n v="104643"/>
    <n v="44847"/>
    <x v="1"/>
    <x v="0"/>
  </r>
  <r>
    <s v="ORD00811"/>
    <s v="2024-06-27"/>
    <x v="3"/>
    <x v="6"/>
    <s v="Hyderabad"/>
    <x v="3"/>
    <x v="13"/>
    <x v="0"/>
    <s v="UPI"/>
    <n v="2"/>
    <n v="43486"/>
    <n v="30440.199999999997"/>
    <n v="13045.800000000003"/>
    <x v="3"/>
    <x v="0"/>
  </r>
  <r>
    <s v="ORD00812"/>
    <s v="2024-10-04"/>
    <x v="1"/>
    <x v="1"/>
    <s v="Ahmedabad"/>
    <x v="0"/>
    <x v="4"/>
    <x v="1"/>
    <s v="UPI"/>
    <n v="5"/>
    <n v="224235"/>
    <n v="156964.5"/>
    <n v="67270.5"/>
    <x v="5"/>
    <x v="0"/>
  </r>
  <r>
    <s v="ORD00813"/>
    <s v="2024-03-05"/>
    <x v="2"/>
    <x v="3"/>
    <s v="Ludhiana"/>
    <x v="1"/>
    <x v="8"/>
    <x v="2"/>
    <s v="Credit Card"/>
    <n v="8"/>
    <n v="154104"/>
    <n v="107872.79999999999"/>
    <n v="46231.200000000012"/>
    <x v="2"/>
    <x v="0"/>
  </r>
  <r>
    <s v="ORD00814"/>
    <s v="2023-05-23"/>
    <x v="3"/>
    <x v="6"/>
    <s v="Hyderabad"/>
    <x v="0"/>
    <x v="4"/>
    <x v="0"/>
    <s v="Cash"/>
    <n v="10"/>
    <n v="376750"/>
    <n v="263725"/>
    <n v="113025"/>
    <x v="9"/>
    <x v="1"/>
  </r>
  <r>
    <s v="ORD00815"/>
    <s v="2023-02-16"/>
    <x v="1"/>
    <x v="9"/>
    <s v="Pune"/>
    <x v="2"/>
    <x v="3"/>
    <x v="0"/>
    <s v="Cash"/>
    <n v="8"/>
    <n v="387816"/>
    <n v="271471.2"/>
    <n v="116344.79999999999"/>
    <x v="1"/>
    <x v="1"/>
  </r>
  <r>
    <s v="ORD00816"/>
    <s v="2024-06-05"/>
    <x v="2"/>
    <x v="3"/>
    <s v="Ludhiana"/>
    <x v="2"/>
    <x v="14"/>
    <x v="1"/>
    <s v="Net Banking"/>
    <n v="5"/>
    <n v="151420"/>
    <n v="105994"/>
    <n v="45426"/>
    <x v="3"/>
    <x v="0"/>
  </r>
  <r>
    <s v="ORD00817"/>
    <s v="2023-06-13"/>
    <x v="2"/>
    <x v="3"/>
    <s v="Ludhiana"/>
    <x v="0"/>
    <x v="4"/>
    <x v="2"/>
    <s v="Cash"/>
    <n v="1"/>
    <n v="21239"/>
    <n v="14867.3"/>
    <n v="6371.7000000000007"/>
    <x v="3"/>
    <x v="1"/>
  </r>
  <r>
    <s v="ORD00818"/>
    <s v="2023-09-07"/>
    <x v="3"/>
    <x v="10"/>
    <s v="Bangalore"/>
    <x v="1"/>
    <x v="5"/>
    <x v="1"/>
    <s v="Cash"/>
    <n v="10"/>
    <n v="103820"/>
    <n v="72674"/>
    <n v="31146"/>
    <x v="10"/>
    <x v="1"/>
  </r>
  <r>
    <s v="ORD00819"/>
    <s v="2024-07-28"/>
    <x v="2"/>
    <x v="11"/>
    <s v="Lucknow"/>
    <x v="1"/>
    <x v="7"/>
    <x v="1"/>
    <s v="Net Banking"/>
    <n v="7"/>
    <n v="141540"/>
    <n v="99078"/>
    <n v="42462"/>
    <x v="0"/>
    <x v="0"/>
  </r>
  <r>
    <s v="ORD00820"/>
    <s v="2024-03-01"/>
    <x v="3"/>
    <x v="10"/>
    <s v="Bangalore"/>
    <x v="3"/>
    <x v="13"/>
    <x v="0"/>
    <s v="Debit Card"/>
    <n v="1"/>
    <n v="44426"/>
    <n v="31098.199999999997"/>
    <n v="13327.800000000003"/>
    <x v="2"/>
    <x v="0"/>
  </r>
  <r>
    <s v="ORD00821"/>
    <s v="2024-07-15"/>
    <x v="3"/>
    <x v="7"/>
    <s v="Chennai"/>
    <x v="3"/>
    <x v="6"/>
    <x v="2"/>
    <s v="Cash"/>
    <n v="10"/>
    <n v="60090"/>
    <n v="42063"/>
    <n v="18027"/>
    <x v="0"/>
    <x v="0"/>
  </r>
  <r>
    <s v="ORD00822"/>
    <s v="2024-03-19"/>
    <x v="3"/>
    <x v="5"/>
    <s v="Kochi"/>
    <x v="1"/>
    <x v="7"/>
    <x v="1"/>
    <s v="Cash"/>
    <n v="4"/>
    <n v="114284"/>
    <n v="79998.799999999988"/>
    <n v="34285.200000000012"/>
    <x v="2"/>
    <x v="0"/>
  </r>
  <r>
    <s v="ORD00823"/>
    <s v="2023-12-10"/>
    <x v="3"/>
    <x v="5"/>
    <s v="Kochi"/>
    <x v="0"/>
    <x v="0"/>
    <x v="2"/>
    <s v="Debit Card"/>
    <n v="5"/>
    <n v="226025"/>
    <n v="158217.5"/>
    <n v="67807.5"/>
    <x v="7"/>
    <x v="1"/>
  </r>
  <r>
    <s v="ORD00824"/>
    <s v="2024-05-21"/>
    <x v="0"/>
    <x v="0"/>
    <s v="Bhubaneswar"/>
    <x v="2"/>
    <x v="3"/>
    <x v="2"/>
    <s v="Cash"/>
    <n v="9"/>
    <n v="332901"/>
    <n v="233030.69999999998"/>
    <n v="99870.300000000017"/>
    <x v="9"/>
    <x v="0"/>
  </r>
  <r>
    <s v="ORD00825"/>
    <s v="2023-09-18"/>
    <x v="2"/>
    <x v="11"/>
    <s v="Lucknow"/>
    <x v="0"/>
    <x v="2"/>
    <x v="2"/>
    <s v="Cash"/>
    <n v="3"/>
    <n v="133467"/>
    <n v="93426.9"/>
    <n v="40040.100000000006"/>
    <x v="10"/>
    <x v="1"/>
  </r>
  <r>
    <s v="ORD00826"/>
    <s v="2024-06-22"/>
    <x v="3"/>
    <x v="10"/>
    <s v="Bangalore"/>
    <x v="0"/>
    <x v="10"/>
    <x v="2"/>
    <s v="Cash"/>
    <n v="2"/>
    <n v="49364"/>
    <n v="34554.799999999996"/>
    <n v="14809.200000000004"/>
    <x v="3"/>
    <x v="0"/>
  </r>
  <r>
    <s v="ORD00827"/>
    <s v="2023-04-30"/>
    <x v="1"/>
    <x v="9"/>
    <s v="Pune"/>
    <x v="0"/>
    <x v="2"/>
    <x v="2"/>
    <s v="Cash"/>
    <n v="4"/>
    <n v="145740"/>
    <n v="102018"/>
    <n v="43722"/>
    <x v="11"/>
    <x v="1"/>
  </r>
  <r>
    <s v="ORD00828"/>
    <s v="2024-04-26"/>
    <x v="1"/>
    <x v="8"/>
    <s v="Panaji"/>
    <x v="0"/>
    <x v="0"/>
    <x v="0"/>
    <s v="Net Banking"/>
    <n v="10"/>
    <n v="151400"/>
    <n v="105980"/>
    <n v="45420"/>
    <x v="11"/>
    <x v="0"/>
  </r>
  <r>
    <s v="ORD00829"/>
    <s v="2024-01-10"/>
    <x v="3"/>
    <x v="5"/>
    <s v="Kochi"/>
    <x v="2"/>
    <x v="14"/>
    <x v="2"/>
    <s v="Debit Card"/>
    <n v="6"/>
    <n v="178206"/>
    <n v="124744.2"/>
    <n v="53461.8"/>
    <x v="8"/>
    <x v="0"/>
  </r>
  <r>
    <s v="ORD00830"/>
    <s v="2023-01-26"/>
    <x v="1"/>
    <x v="1"/>
    <s v="Ahmedabad"/>
    <x v="0"/>
    <x v="0"/>
    <x v="0"/>
    <s v="UPI"/>
    <n v="10"/>
    <n v="37930"/>
    <n v="26551"/>
    <n v="11379"/>
    <x v="8"/>
    <x v="1"/>
  </r>
  <r>
    <s v="ORD00831"/>
    <s v="2024-11-30"/>
    <x v="3"/>
    <x v="7"/>
    <s v="Chennai"/>
    <x v="2"/>
    <x v="3"/>
    <x v="1"/>
    <s v="Cash"/>
    <n v="10"/>
    <n v="323620"/>
    <n v="226534"/>
    <n v="97086"/>
    <x v="6"/>
    <x v="0"/>
  </r>
  <r>
    <s v="ORD00832"/>
    <s v="2024-02-08"/>
    <x v="1"/>
    <x v="9"/>
    <s v="Pune"/>
    <x v="3"/>
    <x v="6"/>
    <x v="0"/>
    <s v="Net Banking"/>
    <n v="5"/>
    <n v="174620"/>
    <n v="122233.99999999999"/>
    <n v="52386.000000000015"/>
    <x v="1"/>
    <x v="0"/>
  </r>
  <r>
    <s v="ORD00833"/>
    <s v="2023-11-15"/>
    <x v="2"/>
    <x v="11"/>
    <s v="Lucknow"/>
    <x v="2"/>
    <x v="12"/>
    <x v="1"/>
    <s v="Net Banking"/>
    <n v="1"/>
    <n v="43659"/>
    <n v="30561.3"/>
    <n v="13097.7"/>
    <x v="6"/>
    <x v="1"/>
  </r>
  <r>
    <s v="ORD00834"/>
    <s v="2023-05-02"/>
    <x v="0"/>
    <x v="14"/>
    <s v="Guwahati"/>
    <x v="2"/>
    <x v="14"/>
    <x v="1"/>
    <s v="Cash"/>
    <n v="4"/>
    <n v="90032"/>
    <n v="63022.399999999994"/>
    <n v="27009.600000000006"/>
    <x v="9"/>
    <x v="1"/>
  </r>
  <r>
    <s v="ORD00835"/>
    <s v="2023-12-05"/>
    <x v="3"/>
    <x v="10"/>
    <s v="Bangalore"/>
    <x v="2"/>
    <x v="15"/>
    <x v="2"/>
    <s v="Debit Card"/>
    <n v="3"/>
    <n v="32100"/>
    <n v="22470"/>
    <n v="9630"/>
    <x v="7"/>
    <x v="1"/>
  </r>
  <r>
    <s v="ORD00836"/>
    <s v="2023-01-15"/>
    <x v="1"/>
    <x v="1"/>
    <s v="Ahmedabad"/>
    <x v="2"/>
    <x v="14"/>
    <x v="1"/>
    <s v="Credit Card"/>
    <n v="6"/>
    <n v="215250"/>
    <n v="150675"/>
    <n v="64575"/>
    <x v="8"/>
    <x v="1"/>
  </r>
  <r>
    <s v="ORD00837"/>
    <s v="2024-05-09"/>
    <x v="0"/>
    <x v="13"/>
    <s v="Kolkata"/>
    <x v="2"/>
    <x v="15"/>
    <x v="2"/>
    <s v="Net Banking"/>
    <n v="8"/>
    <n v="18480"/>
    <n v="12936"/>
    <n v="5544"/>
    <x v="9"/>
    <x v="0"/>
  </r>
  <r>
    <s v="ORD00838"/>
    <s v="2024-09-10"/>
    <x v="2"/>
    <x v="4"/>
    <s v="Gurgaon"/>
    <x v="3"/>
    <x v="13"/>
    <x v="0"/>
    <s v="Net Banking"/>
    <n v="10"/>
    <n v="167450"/>
    <n v="117214.99999999999"/>
    <n v="50235.000000000015"/>
    <x v="10"/>
    <x v="0"/>
  </r>
  <r>
    <s v="ORD00839"/>
    <s v="2024-06-14"/>
    <x v="0"/>
    <x v="12"/>
    <s v="Patna"/>
    <x v="0"/>
    <x v="4"/>
    <x v="2"/>
    <s v="UPI"/>
    <n v="8"/>
    <n v="185192"/>
    <n v="129634.4"/>
    <n v="55557.600000000006"/>
    <x v="3"/>
    <x v="0"/>
  </r>
  <r>
    <s v="ORD00840"/>
    <s v="2023-07-24"/>
    <x v="3"/>
    <x v="5"/>
    <s v="Kochi"/>
    <x v="0"/>
    <x v="4"/>
    <x v="0"/>
    <s v="Net Banking"/>
    <n v="7"/>
    <n v="286279"/>
    <n v="200395.3"/>
    <n v="85883.700000000012"/>
    <x v="0"/>
    <x v="1"/>
  </r>
  <r>
    <s v="ORD00841"/>
    <s v="2023-12-04"/>
    <x v="3"/>
    <x v="7"/>
    <s v="Chennai"/>
    <x v="1"/>
    <x v="1"/>
    <x v="0"/>
    <s v="Credit Card"/>
    <n v="2"/>
    <n v="19682"/>
    <n v="13777.4"/>
    <n v="5904.6"/>
    <x v="7"/>
    <x v="1"/>
  </r>
  <r>
    <s v="ORD00842"/>
    <s v="2023-10-07"/>
    <x v="1"/>
    <x v="9"/>
    <s v="Pune"/>
    <x v="2"/>
    <x v="15"/>
    <x v="2"/>
    <s v="Credit Card"/>
    <n v="4"/>
    <n v="178944"/>
    <n v="125260.79999999999"/>
    <n v="53683.200000000012"/>
    <x v="5"/>
    <x v="1"/>
  </r>
  <r>
    <s v="ORD00843"/>
    <s v="2024-06-02"/>
    <x v="3"/>
    <x v="5"/>
    <s v="Kochi"/>
    <x v="0"/>
    <x v="4"/>
    <x v="2"/>
    <s v="Net Banking"/>
    <n v="6"/>
    <n v="108804"/>
    <n v="76162.799999999988"/>
    <n v="32641.200000000012"/>
    <x v="3"/>
    <x v="0"/>
  </r>
  <r>
    <s v="ORD00844"/>
    <s v="2024-05-28"/>
    <x v="1"/>
    <x v="9"/>
    <s v="Kolhapur"/>
    <x v="0"/>
    <x v="0"/>
    <x v="0"/>
    <s v="Cash"/>
    <n v="10"/>
    <n v="78030"/>
    <n v="54621"/>
    <n v="23409"/>
    <x v="9"/>
    <x v="0"/>
  </r>
  <r>
    <s v="ORD00845"/>
    <s v="2024-11-17"/>
    <x v="0"/>
    <x v="12"/>
    <s v="Patna"/>
    <x v="0"/>
    <x v="10"/>
    <x v="2"/>
    <s v="Credit Card"/>
    <n v="4"/>
    <n v="170732"/>
    <n v="119512.4"/>
    <n v="51219.600000000006"/>
    <x v="6"/>
    <x v="0"/>
  </r>
  <r>
    <s v="ORD00846"/>
    <s v="2024-01-25"/>
    <x v="2"/>
    <x v="3"/>
    <s v="Ludhiana"/>
    <x v="0"/>
    <x v="4"/>
    <x v="1"/>
    <s v="Net Banking"/>
    <n v="4"/>
    <n v="145628"/>
    <n v="101939.59999999999"/>
    <n v="43688.400000000009"/>
    <x v="8"/>
    <x v="0"/>
  </r>
  <r>
    <s v="ORD00847"/>
    <s v="2023-09-04"/>
    <x v="0"/>
    <x v="0"/>
    <s v="Bhubaneswar"/>
    <x v="2"/>
    <x v="3"/>
    <x v="0"/>
    <s v="UPI"/>
    <n v="6"/>
    <n v="59544"/>
    <n v="41680.799999999996"/>
    <n v="17863.200000000004"/>
    <x v="10"/>
    <x v="1"/>
  </r>
  <r>
    <s v="ORD00848"/>
    <s v="2023-03-22"/>
    <x v="2"/>
    <x v="3"/>
    <s v="Ludhiana"/>
    <x v="3"/>
    <x v="9"/>
    <x v="1"/>
    <s v="UPI"/>
    <n v="2"/>
    <n v="49548"/>
    <n v="34683.599999999999"/>
    <n v="14864.400000000001"/>
    <x v="2"/>
    <x v="1"/>
  </r>
  <r>
    <s v="ORD00849"/>
    <s v="2024-07-08"/>
    <x v="3"/>
    <x v="7"/>
    <s v="Chennai"/>
    <x v="1"/>
    <x v="5"/>
    <x v="1"/>
    <s v="Debit Card"/>
    <n v="4"/>
    <n v="52516"/>
    <n v="36761.199999999997"/>
    <n v="15754.800000000003"/>
    <x v="0"/>
    <x v="0"/>
  </r>
  <r>
    <s v="ORD00850"/>
    <s v="2023-07-26"/>
    <x v="2"/>
    <x v="2"/>
    <s v="New Delhi"/>
    <x v="2"/>
    <x v="14"/>
    <x v="2"/>
    <s v="UPI"/>
    <n v="2"/>
    <n v="83672"/>
    <n v="58570.399999999994"/>
    <n v="25101.600000000006"/>
    <x v="0"/>
    <x v="1"/>
  </r>
  <r>
    <s v="ORD00851"/>
    <s v="2024-11-24"/>
    <x v="0"/>
    <x v="14"/>
    <s v="Guwahati"/>
    <x v="3"/>
    <x v="11"/>
    <x v="2"/>
    <s v="Net Banking"/>
    <n v="2"/>
    <n v="52222"/>
    <n v="36555.399999999994"/>
    <n v="15666.600000000006"/>
    <x v="6"/>
    <x v="0"/>
  </r>
  <r>
    <s v="ORD00852"/>
    <s v="2024-07-19"/>
    <x v="0"/>
    <x v="13"/>
    <s v="Kolkata"/>
    <x v="3"/>
    <x v="6"/>
    <x v="2"/>
    <s v="Net Banking"/>
    <n v="2"/>
    <n v="55404"/>
    <n v="38782.799999999996"/>
    <n v="16621.200000000004"/>
    <x v="0"/>
    <x v="0"/>
  </r>
  <r>
    <s v="ORD00853"/>
    <s v="2023-05-29"/>
    <x v="3"/>
    <x v="5"/>
    <s v="Kochi"/>
    <x v="0"/>
    <x v="0"/>
    <x v="2"/>
    <s v="Credit Card"/>
    <n v="4"/>
    <n v="146580"/>
    <n v="102606"/>
    <n v="43974"/>
    <x v="9"/>
    <x v="1"/>
  </r>
  <r>
    <s v="ORD00854"/>
    <s v="2023-03-18"/>
    <x v="1"/>
    <x v="9"/>
    <s v="Pune"/>
    <x v="0"/>
    <x v="10"/>
    <x v="1"/>
    <s v="Debit Card"/>
    <n v="4"/>
    <n v="3328"/>
    <n v="2329.6"/>
    <n v="998.40000000000009"/>
    <x v="2"/>
    <x v="1"/>
  </r>
  <r>
    <s v="ORD00855"/>
    <s v="2023-06-18"/>
    <x v="2"/>
    <x v="11"/>
    <s v="Lucknow"/>
    <x v="3"/>
    <x v="9"/>
    <x v="2"/>
    <s v="UPI"/>
    <n v="3"/>
    <n v="39651"/>
    <n v="27755.699999999997"/>
    <n v="11895.300000000003"/>
    <x v="3"/>
    <x v="1"/>
  </r>
  <r>
    <s v="ORD00856"/>
    <s v="2023-05-06"/>
    <x v="1"/>
    <x v="9"/>
    <s v="Kolhapur"/>
    <x v="3"/>
    <x v="13"/>
    <x v="2"/>
    <s v="Debit Card"/>
    <n v="6"/>
    <n v="181362"/>
    <n v="126953.4"/>
    <n v="54408.600000000006"/>
    <x v="9"/>
    <x v="1"/>
  </r>
  <r>
    <s v="ORD00857"/>
    <s v="2023-01-18"/>
    <x v="2"/>
    <x v="3"/>
    <s v="Ludhiana"/>
    <x v="2"/>
    <x v="3"/>
    <x v="2"/>
    <s v="Debit Card"/>
    <n v="9"/>
    <n v="254241"/>
    <n v="177968.69999999998"/>
    <n v="76272.300000000017"/>
    <x v="8"/>
    <x v="1"/>
  </r>
  <r>
    <s v="ORD00858"/>
    <s v="2023-12-19"/>
    <x v="3"/>
    <x v="10"/>
    <s v="Bangalore"/>
    <x v="0"/>
    <x v="4"/>
    <x v="1"/>
    <s v="UPI"/>
    <n v="8"/>
    <n v="228504"/>
    <n v="159952.79999999999"/>
    <n v="68551.200000000012"/>
    <x v="7"/>
    <x v="1"/>
  </r>
  <r>
    <s v="ORD00859"/>
    <s v="2024-07-04"/>
    <x v="1"/>
    <x v="9"/>
    <s v="Kolhapur"/>
    <x v="0"/>
    <x v="0"/>
    <x v="1"/>
    <s v="Debit Card"/>
    <n v="6"/>
    <n v="183222"/>
    <n v="128255.4"/>
    <n v="54966.600000000006"/>
    <x v="0"/>
    <x v="0"/>
  </r>
  <r>
    <s v="ORD00860"/>
    <s v="2024-08-13"/>
    <x v="0"/>
    <x v="14"/>
    <s v="Guwahati"/>
    <x v="2"/>
    <x v="3"/>
    <x v="1"/>
    <s v="Credit Card"/>
    <n v="6"/>
    <n v="227514"/>
    <n v="159259.79999999999"/>
    <n v="68254.200000000012"/>
    <x v="4"/>
    <x v="0"/>
  </r>
  <r>
    <s v="ORD00861"/>
    <s v="2023-12-26"/>
    <x v="1"/>
    <x v="9"/>
    <s v="Kolhapur"/>
    <x v="2"/>
    <x v="3"/>
    <x v="2"/>
    <s v="Credit Card"/>
    <n v="3"/>
    <n v="48921"/>
    <n v="34244.699999999997"/>
    <n v="14676.300000000003"/>
    <x v="7"/>
    <x v="1"/>
  </r>
  <r>
    <s v="ORD00862"/>
    <s v="2023-02-18"/>
    <x v="2"/>
    <x v="11"/>
    <s v="Lucknow"/>
    <x v="2"/>
    <x v="15"/>
    <x v="0"/>
    <s v="Debit Card"/>
    <n v="10"/>
    <n v="315110"/>
    <n v="220577"/>
    <n v="94533"/>
    <x v="1"/>
    <x v="1"/>
  </r>
  <r>
    <s v="ORD00863"/>
    <s v="2024-10-03"/>
    <x v="3"/>
    <x v="5"/>
    <s v="Kochi"/>
    <x v="1"/>
    <x v="1"/>
    <x v="0"/>
    <s v="Net Banking"/>
    <n v="4"/>
    <n v="97452"/>
    <n v="68216.399999999994"/>
    <n v="29235.600000000006"/>
    <x v="5"/>
    <x v="0"/>
  </r>
  <r>
    <s v="ORD00864"/>
    <s v="2023-08-27"/>
    <x v="3"/>
    <x v="5"/>
    <s v="Kochi"/>
    <x v="1"/>
    <x v="7"/>
    <x v="0"/>
    <s v="UPI"/>
    <n v="8"/>
    <n v="70112"/>
    <n v="49078.399999999994"/>
    <n v="21033.600000000006"/>
    <x v="4"/>
    <x v="1"/>
  </r>
  <r>
    <s v="ORD00865"/>
    <s v="2023-01-05"/>
    <x v="3"/>
    <x v="5"/>
    <s v="Kochi"/>
    <x v="1"/>
    <x v="5"/>
    <x v="2"/>
    <s v="Cash"/>
    <n v="6"/>
    <n v="40470"/>
    <n v="28329"/>
    <n v="12141"/>
    <x v="8"/>
    <x v="1"/>
  </r>
  <r>
    <s v="ORD00866"/>
    <s v="2023-11-04"/>
    <x v="3"/>
    <x v="5"/>
    <s v="Kochi"/>
    <x v="2"/>
    <x v="15"/>
    <x v="2"/>
    <s v="UPI"/>
    <n v="4"/>
    <n v="62696"/>
    <n v="43887.199999999997"/>
    <n v="18808.800000000003"/>
    <x v="6"/>
    <x v="1"/>
  </r>
  <r>
    <s v="ORD00867"/>
    <s v="2023-02-11"/>
    <x v="2"/>
    <x v="11"/>
    <s v="Lucknow"/>
    <x v="1"/>
    <x v="8"/>
    <x v="2"/>
    <s v="Cash"/>
    <n v="10"/>
    <n v="111730"/>
    <n v="78211"/>
    <n v="33519"/>
    <x v="1"/>
    <x v="1"/>
  </r>
  <r>
    <s v="ORD00868"/>
    <s v="2024-10-08"/>
    <x v="0"/>
    <x v="12"/>
    <s v="Patna"/>
    <x v="0"/>
    <x v="10"/>
    <x v="2"/>
    <s v="Net Banking"/>
    <n v="10"/>
    <n v="9260"/>
    <n v="6482"/>
    <n v="2778"/>
    <x v="5"/>
    <x v="0"/>
  </r>
  <r>
    <s v="ORD00869"/>
    <s v="2023-11-03"/>
    <x v="1"/>
    <x v="8"/>
    <s v="Panaji"/>
    <x v="3"/>
    <x v="6"/>
    <x v="0"/>
    <s v="Credit Card"/>
    <n v="3"/>
    <n v="53919"/>
    <n v="37743.299999999996"/>
    <n v="16175.700000000004"/>
    <x v="6"/>
    <x v="1"/>
  </r>
  <r>
    <s v="ORD00870"/>
    <s v="2024-02-19"/>
    <x v="0"/>
    <x v="0"/>
    <s v="Bhubaneswar"/>
    <x v="3"/>
    <x v="13"/>
    <x v="1"/>
    <s v="UPI"/>
    <n v="9"/>
    <n v="112743"/>
    <n v="78920.099999999991"/>
    <n v="33822.900000000009"/>
    <x v="1"/>
    <x v="0"/>
  </r>
  <r>
    <s v="ORD00871"/>
    <s v="2024-07-26"/>
    <x v="1"/>
    <x v="1"/>
    <s v="Ahmedabad"/>
    <x v="0"/>
    <x v="4"/>
    <x v="0"/>
    <s v="Credit Card"/>
    <n v="3"/>
    <n v="148182"/>
    <n v="103727.4"/>
    <n v="44454.600000000006"/>
    <x v="0"/>
    <x v="0"/>
  </r>
  <r>
    <s v="ORD00872"/>
    <s v="2023-07-21"/>
    <x v="0"/>
    <x v="14"/>
    <s v="Guwahati"/>
    <x v="3"/>
    <x v="13"/>
    <x v="0"/>
    <s v="UPI"/>
    <n v="1"/>
    <n v="22072"/>
    <n v="15450.4"/>
    <n v="6621.6"/>
    <x v="0"/>
    <x v="1"/>
  </r>
  <r>
    <s v="ORD00873"/>
    <s v="2024-09-11"/>
    <x v="3"/>
    <x v="6"/>
    <s v="Hyderabad"/>
    <x v="0"/>
    <x v="2"/>
    <x v="0"/>
    <s v="Debit Card"/>
    <n v="2"/>
    <n v="96784"/>
    <n v="67748.800000000003"/>
    <n v="29035.199999999997"/>
    <x v="10"/>
    <x v="0"/>
  </r>
  <r>
    <s v="ORD00874"/>
    <s v="2024-04-16"/>
    <x v="3"/>
    <x v="6"/>
    <s v="Hyderabad"/>
    <x v="1"/>
    <x v="5"/>
    <x v="1"/>
    <s v="Cash"/>
    <n v="2"/>
    <n v="11320"/>
    <n v="7923.9999999999991"/>
    <n v="3396.0000000000009"/>
    <x v="11"/>
    <x v="0"/>
  </r>
  <r>
    <s v="ORD00875"/>
    <s v="2023-12-13"/>
    <x v="1"/>
    <x v="9"/>
    <s v="Pune"/>
    <x v="1"/>
    <x v="1"/>
    <x v="0"/>
    <s v="Cash"/>
    <n v="6"/>
    <n v="37452"/>
    <n v="26216.399999999998"/>
    <n v="11235.600000000002"/>
    <x v="7"/>
    <x v="1"/>
  </r>
  <r>
    <s v="ORD00876"/>
    <s v="2023-08-11"/>
    <x v="0"/>
    <x v="13"/>
    <s v="Kolkata"/>
    <x v="2"/>
    <x v="3"/>
    <x v="2"/>
    <s v="Debit Card"/>
    <n v="3"/>
    <n v="17709"/>
    <n v="12396.3"/>
    <n v="5312.7000000000007"/>
    <x v="4"/>
    <x v="1"/>
  </r>
  <r>
    <s v="ORD00877"/>
    <s v="2024-01-07"/>
    <x v="2"/>
    <x v="4"/>
    <s v="Gurgaon"/>
    <x v="1"/>
    <x v="7"/>
    <x v="0"/>
    <s v="Credit Card"/>
    <n v="5"/>
    <n v="132830"/>
    <n v="92981"/>
    <n v="39849"/>
    <x v="8"/>
    <x v="0"/>
  </r>
  <r>
    <s v="ORD00878"/>
    <s v="2024-09-07"/>
    <x v="1"/>
    <x v="8"/>
    <s v="Panaji"/>
    <x v="3"/>
    <x v="11"/>
    <x v="2"/>
    <s v="UPI"/>
    <n v="10"/>
    <n v="323070"/>
    <n v="226149"/>
    <n v="96921"/>
    <x v="10"/>
    <x v="0"/>
  </r>
  <r>
    <s v="ORD00879"/>
    <s v="2024-07-14"/>
    <x v="1"/>
    <x v="8"/>
    <s v="Panaji"/>
    <x v="2"/>
    <x v="3"/>
    <x v="0"/>
    <s v="Cash"/>
    <n v="4"/>
    <n v="122548"/>
    <n v="85783.599999999991"/>
    <n v="36764.400000000009"/>
    <x v="0"/>
    <x v="0"/>
  </r>
  <r>
    <s v="ORD00880"/>
    <s v="2024-01-14"/>
    <x v="0"/>
    <x v="14"/>
    <s v="Guwahati"/>
    <x v="3"/>
    <x v="13"/>
    <x v="1"/>
    <s v="Credit Card"/>
    <n v="8"/>
    <n v="305536"/>
    <n v="213875.19999999998"/>
    <n v="91660.800000000017"/>
    <x v="8"/>
    <x v="0"/>
  </r>
  <r>
    <s v="ORD00881"/>
    <s v="2023-05-15"/>
    <x v="2"/>
    <x v="4"/>
    <s v="Gurgaon"/>
    <x v="3"/>
    <x v="13"/>
    <x v="1"/>
    <s v="Cash"/>
    <n v="10"/>
    <n v="238380"/>
    <n v="166866"/>
    <n v="71514"/>
    <x v="9"/>
    <x v="1"/>
  </r>
  <r>
    <s v="ORD00882"/>
    <s v="2023-07-14"/>
    <x v="3"/>
    <x v="6"/>
    <s v="Hyderabad"/>
    <x v="0"/>
    <x v="4"/>
    <x v="0"/>
    <s v="Credit Card"/>
    <n v="4"/>
    <n v="113512"/>
    <n v="79458.399999999994"/>
    <n v="34053.600000000006"/>
    <x v="0"/>
    <x v="1"/>
  </r>
  <r>
    <s v="ORD00883"/>
    <s v="2023-02-09"/>
    <x v="0"/>
    <x v="0"/>
    <s v="Bhubaneswar"/>
    <x v="2"/>
    <x v="15"/>
    <x v="0"/>
    <s v="Credit Card"/>
    <n v="8"/>
    <n v="18776"/>
    <n v="13143.199999999999"/>
    <n v="5632.8000000000011"/>
    <x v="1"/>
    <x v="1"/>
  </r>
  <r>
    <s v="ORD00884"/>
    <s v="2024-07-01"/>
    <x v="1"/>
    <x v="1"/>
    <s v="Ahmedabad"/>
    <x v="1"/>
    <x v="7"/>
    <x v="2"/>
    <s v="Credit Card"/>
    <n v="9"/>
    <n v="299439"/>
    <n v="209607.3"/>
    <n v="89831.700000000012"/>
    <x v="0"/>
    <x v="0"/>
  </r>
  <r>
    <s v="ORD00885"/>
    <s v="2024-07-26"/>
    <x v="3"/>
    <x v="7"/>
    <s v="Chennai"/>
    <x v="0"/>
    <x v="4"/>
    <x v="1"/>
    <s v="Cash"/>
    <n v="4"/>
    <n v="193484"/>
    <n v="135438.79999999999"/>
    <n v="58045.200000000012"/>
    <x v="0"/>
    <x v="0"/>
  </r>
  <r>
    <s v="ORD00886"/>
    <s v="2023-08-17"/>
    <x v="2"/>
    <x v="3"/>
    <s v="Ludhiana"/>
    <x v="3"/>
    <x v="6"/>
    <x v="2"/>
    <s v="Net Banking"/>
    <n v="6"/>
    <n v="152838"/>
    <n v="106986.59999999999"/>
    <n v="45851.400000000009"/>
    <x v="4"/>
    <x v="1"/>
  </r>
  <r>
    <s v="ORD00887"/>
    <s v="2023-04-26"/>
    <x v="3"/>
    <x v="10"/>
    <s v="Bangalore"/>
    <x v="0"/>
    <x v="2"/>
    <x v="0"/>
    <s v="UPI"/>
    <n v="9"/>
    <n v="358902"/>
    <n v="251231.4"/>
    <n v="107670.6"/>
    <x v="11"/>
    <x v="1"/>
  </r>
  <r>
    <s v="ORD00888"/>
    <s v="2024-01-23"/>
    <x v="1"/>
    <x v="9"/>
    <s v="Pune"/>
    <x v="2"/>
    <x v="14"/>
    <x v="0"/>
    <s v="Cash"/>
    <n v="5"/>
    <n v="74605"/>
    <n v="52223.5"/>
    <n v="22381.5"/>
    <x v="8"/>
    <x v="0"/>
  </r>
  <r>
    <s v="ORD00889"/>
    <s v="2023-02-24"/>
    <x v="0"/>
    <x v="13"/>
    <s v="Kolkata"/>
    <x v="2"/>
    <x v="12"/>
    <x v="0"/>
    <s v="UPI"/>
    <n v="1"/>
    <n v="35934"/>
    <n v="25153.8"/>
    <n v="10780.2"/>
    <x v="1"/>
    <x v="1"/>
  </r>
  <r>
    <s v="ORD00890"/>
    <s v="2023-12-07"/>
    <x v="3"/>
    <x v="5"/>
    <s v="Kochi"/>
    <x v="1"/>
    <x v="8"/>
    <x v="1"/>
    <s v="Net Banking"/>
    <n v="4"/>
    <n v="60764"/>
    <n v="42534.799999999996"/>
    <n v="18229.200000000004"/>
    <x v="7"/>
    <x v="1"/>
  </r>
  <r>
    <s v="ORD00891"/>
    <s v="2024-06-07"/>
    <x v="1"/>
    <x v="1"/>
    <s v="Ahmedabad"/>
    <x v="1"/>
    <x v="1"/>
    <x v="2"/>
    <s v="Debit Card"/>
    <n v="6"/>
    <n v="178344"/>
    <n v="124840.79999999999"/>
    <n v="53503.200000000012"/>
    <x v="3"/>
    <x v="0"/>
  </r>
  <r>
    <s v="ORD00892"/>
    <s v="2024-08-27"/>
    <x v="0"/>
    <x v="12"/>
    <s v="Patna"/>
    <x v="2"/>
    <x v="12"/>
    <x v="0"/>
    <s v="Net Banking"/>
    <n v="3"/>
    <n v="108285"/>
    <n v="75799.5"/>
    <n v="32485.5"/>
    <x v="4"/>
    <x v="0"/>
  </r>
  <r>
    <s v="ORD00893"/>
    <s v="2023-09-26"/>
    <x v="3"/>
    <x v="6"/>
    <s v="Hyderabad"/>
    <x v="2"/>
    <x v="12"/>
    <x v="0"/>
    <s v="Credit Card"/>
    <n v="5"/>
    <n v="105825"/>
    <n v="74077.5"/>
    <n v="31747.5"/>
    <x v="10"/>
    <x v="1"/>
  </r>
  <r>
    <s v="ORD00894"/>
    <s v="2023-06-24"/>
    <x v="3"/>
    <x v="5"/>
    <s v="Kochi"/>
    <x v="1"/>
    <x v="5"/>
    <x v="0"/>
    <s v="Debit Card"/>
    <n v="10"/>
    <n v="417730"/>
    <n v="292411"/>
    <n v="125319"/>
    <x v="3"/>
    <x v="1"/>
  </r>
  <r>
    <s v="ORD00895"/>
    <s v="2023-01-17"/>
    <x v="2"/>
    <x v="3"/>
    <s v="Ludhiana"/>
    <x v="2"/>
    <x v="15"/>
    <x v="1"/>
    <s v="Net Banking"/>
    <n v="1"/>
    <n v="3910"/>
    <n v="2737"/>
    <n v="1173"/>
    <x v="8"/>
    <x v="1"/>
  </r>
  <r>
    <s v="ORD00896"/>
    <s v="2024-01-21"/>
    <x v="2"/>
    <x v="11"/>
    <s v="Lucknow"/>
    <x v="3"/>
    <x v="13"/>
    <x v="0"/>
    <s v="Net Banking"/>
    <n v="7"/>
    <n v="88718"/>
    <n v="62102.6"/>
    <n v="26615.4"/>
    <x v="8"/>
    <x v="0"/>
  </r>
  <r>
    <s v="ORD00897"/>
    <s v="2024-08-14"/>
    <x v="2"/>
    <x v="3"/>
    <s v="Ludhiana"/>
    <x v="2"/>
    <x v="12"/>
    <x v="1"/>
    <s v="UPI"/>
    <n v="4"/>
    <n v="27044"/>
    <n v="18930.8"/>
    <n v="8113.2000000000007"/>
    <x v="4"/>
    <x v="0"/>
  </r>
  <r>
    <s v="ORD00898"/>
    <s v="2024-10-08"/>
    <x v="1"/>
    <x v="9"/>
    <s v="Kolhapur"/>
    <x v="1"/>
    <x v="8"/>
    <x v="2"/>
    <s v="Cash"/>
    <n v="5"/>
    <n v="239115"/>
    <n v="167380.5"/>
    <n v="71734.5"/>
    <x v="5"/>
    <x v="0"/>
  </r>
  <r>
    <s v="ORD00899"/>
    <s v="2023-12-13"/>
    <x v="3"/>
    <x v="7"/>
    <s v="Chennai"/>
    <x v="3"/>
    <x v="6"/>
    <x v="1"/>
    <s v="Cash"/>
    <n v="3"/>
    <n v="42699"/>
    <n v="29889.3"/>
    <n v="12809.7"/>
    <x v="7"/>
    <x v="1"/>
  </r>
  <r>
    <s v="ORD00900"/>
    <s v="2023-08-07"/>
    <x v="3"/>
    <x v="6"/>
    <s v="Hyderabad"/>
    <x v="1"/>
    <x v="5"/>
    <x v="2"/>
    <s v="Net Banking"/>
    <n v="4"/>
    <n v="92012"/>
    <n v="64408.399999999994"/>
    <n v="27603.600000000006"/>
    <x v="4"/>
    <x v="1"/>
  </r>
  <r>
    <s v="ORD00901"/>
    <s v="2024-11-24"/>
    <x v="1"/>
    <x v="1"/>
    <s v="Ahmedabad"/>
    <x v="0"/>
    <x v="4"/>
    <x v="1"/>
    <s v="Net Banking"/>
    <n v="10"/>
    <n v="206280"/>
    <n v="144396"/>
    <n v="61884"/>
    <x v="6"/>
    <x v="0"/>
  </r>
  <r>
    <s v="ORD00902"/>
    <s v="2023-11-25"/>
    <x v="3"/>
    <x v="6"/>
    <s v="Hyderabad"/>
    <x v="2"/>
    <x v="3"/>
    <x v="0"/>
    <s v="Credit Card"/>
    <n v="1"/>
    <n v="11201"/>
    <n v="7840.7"/>
    <n v="3360.3"/>
    <x v="6"/>
    <x v="1"/>
  </r>
  <r>
    <s v="ORD00903"/>
    <s v="2024-07-27"/>
    <x v="1"/>
    <x v="8"/>
    <s v="Panaji"/>
    <x v="2"/>
    <x v="15"/>
    <x v="0"/>
    <s v="Net Banking"/>
    <n v="5"/>
    <n v="66445"/>
    <n v="46511.5"/>
    <n v="19933.5"/>
    <x v="0"/>
    <x v="0"/>
  </r>
  <r>
    <s v="ORD00904"/>
    <s v="2024-06-10"/>
    <x v="2"/>
    <x v="4"/>
    <s v="Gurgaon"/>
    <x v="2"/>
    <x v="14"/>
    <x v="0"/>
    <s v="Debit Card"/>
    <n v="8"/>
    <n v="177688"/>
    <n v="124381.59999999999"/>
    <n v="53306.400000000009"/>
    <x v="3"/>
    <x v="0"/>
  </r>
  <r>
    <s v="ORD00905"/>
    <s v="2023-11-03"/>
    <x v="0"/>
    <x v="0"/>
    <s v="Bhubaneswar"/>
    <x v="1"/>
    <x v="1"/>
    <x v="0"/>
    <s v="Credit Card"/>
    <n v="10"/>
    <n v="454400"/>
    <n v="318080"/>
    <n v="136320"/>
    <x v="6"/>
    <x v="1"/>
  </r>
  <r>
    <s v="ORD00906"/>
    <s v="2024-02-14"/>
    <x v="0"/>
    <x v="14"/>
    <s v="Guwahati"/>
    <x v="2"/>
    <x v="14"/>
    <x v="1"/>
    <s v="Cash"/>
    <n v="3"/>
    <n v="50796"/>
    <n v="35557.199999999997"/>
    <n v="15238.800000000003"/>
    <x v="1"/>
    <x v="0"/>
  </r>
  <r>
    <s v="ORD00907"/>
    <s v="2023-05-12"/>
    <x v="3"/>
    <x v="7"/>
    <s v="Chennai"/>
    <x v="0"/>
    <x v="10"/>
    <x v="1"/>
    <s v="Net Banking"/>
    <n v="8"/>
    <n v="102760"/>
    <n v="71932"/>
    <n v="30828"/>
    <x v="9"/>
    <x v="1"/>
  </r>
  <r>
    <s v="ORD00908"/>
    <s v="2024-11-24"/>
    <x v="3"/>
    <x v="6"/>
    <s v="Hyderabad"/>
    <x v="2"/>
    <x v="3"/>
    <x v="1"/>
    <s v="Debit Card"/>
    <n v="6"/>
    <n v="129216"/>
    <n v="90451.199999999997"/>
    <n v="38764.800000000003"/>
    <x v="6"/>
    <x v="0"/>
  </r>
  <r>
    <s v="ORD00909"/>
    <s v="2024-02-01"/>
    <x v="2"/>
    <x v="2"/>
    <s v="New Delhi"/>
    <x v="1"/>
    <x v="5"/>
    <x v="1"/>
    <s v="Credit Card"/>
    <n v="3"/>
    <n v="75204"/>
    <n v="52642.799999999996"/>
    <n v="22561.200000000004"/>
    <x v="1"/>
    <x v="0"/>
  </r>
  <r>
    <s v="ORD00910"/>
    <s v="2023-10-28"/>
    <x v="0"/>
    <x v="14"/>
    <s v="Guwahati"/>
    <x v="1"/>
    <x v="7"/>
    <x v="1"/>
    <s v="Debit Card"/>
    <n v="5"/>
    <n v="62770"/>
    <n v="43939"/>
    <n v="18831"/>
    <x v="5"/>
    <x v="1"/>
  </r>
  <r>
    <s v="ORD00911"/>
    <s v="2023-08-21"/>
    <x v="1"/>
    <x v="8"/>
    <s v="Panaji"/>
    <x v="2"/>
    <x v="3"/>
    <x v="0"/>
    <s v="Debit Card"/>
    <n v="3"/>
    <n v="145902"/>
    <n v="102131.4"/>
    <n v="43770.600000000006"/>
    <x v="4"/>
    <x v="1"/>
  </r>
  <r>
    <s v="ORD00912"/>
    <s v="2024-11-06"/>
    <x v="1"/>
    <x v="8"/>
    <s v="Panaji"/>
    <x v="3"/>
    <x v="11"/>
    <x v="1"/>
    <s v="Cash"/>
    <n v="9"/>
    <n v="267597"/>
    <n v="187317.9"/>
    <n v="80279.100000000006"/>
    <x v="6"/>
    <x v="0"/>
  </r>
  <r>
    <s v="ORD00913"/>
    <s v="2023-07-13"/>
    <x v="3"/>
    <x v="6"/>
    <s v="Hyderabad"/>
    <x v="1"/>
    <x v="7"/>
    <x v="0"/>
    <s v="Credit Card"/>
    <n v="10"/>
    <n v="309780"/>
    <n v="216846"/>
    <n v="92934"/>
    <x v="0"/>
    <x v="1"/>
  </r>
  <r>
    <s v="ORD00914"/>
    <s v="2023-04-05"/>
    <x v="1"/>
    <x v="1"/>
    <s v="Ahmedabad"/>
    <x v="0"/>
    <x v="0"/>
    <x v="1"/>
    <s v="Cash"/>
    <n v="10"/>
    <n v="367840"/>
    <n v="257487.99999999997"/>
    <n v="110352.00000000003"/>
    <x v="11"/>
    <x v="1"/>
  </r>
  <r>
    <s v="ORD00915"/>
    <s v="2024-10-16"/>
    <x v="0"/>
    <x v="12"/>
    <s v="Patna"/>
    <x v="0"/>
    <x v="2"/>
    <x v="1"/>
    <s v="UPI"/>
    <n v="2"/>
    <n v="40672"/>
    <n v="28470.399999999998"/>
    <n v="12201.600000000002"/>
    <x v="5"/>
    <x v="0"/>
  </r>
  <r>
    <s v="ORD00916"/>
    <s v="2023-07-23"/>
    <x v="1"/>
    <x v="1"/>
    <s v="Ahmedabad"/>
    <x v="1"/>
    <x v="1"/>
    <x v="0"/>
    <s v="UPI"/>
    <n v="7"/>
    <n v="33110"/>
    <n v="23177"/>
    <n v="9933"/>
    <x v="0"/>
    <x v="1"/>
  </r>
  <r>
    <s v="ORD00917"/>
    <s v="2023-10-05"/>
    <x v="1"/>
    <x v="9"/>
    <s v="Kolhapur"/>
    <x v="3"/>
    <x v="13"/>
    <x v="2"/>
    <s v="Debit Card"/>
    <n v="3"/>
    <n v="30510"/>
    <n v="21357"/>
    <n v="9153"/>
    <x v="5"/>
    <x v="1"/>
  </r>
  <r>
    <s v="ORD00918"/>
    <s v="2023-04-19"/>
    <x v="3"/>
    <x v="7"/>
    <s v="Chennai"/>
    <x v="3"/>
    <x v="11"/>
    <x v="2"/>
    <s v="Debit Card"/>
    <n v="4"/>
    <n v="194240"/>
    <n v="135968"/>
    <n v="58272"/>
    <x v="11"/>
    <x v="1"/>
  </r>
  <r>
    <s v="ORD00919"/>
    <s v="2024-09-21"/>
    <x v="0"/>
    <x v="12"/>
    <s v="Patna"/>
    <x v="1"/>
    <x v="7"/>
    <x v="0"/>
    <s v="Debit Card"/>
    <n v="2"/>
    <n v="2242"/>
    <n v="1569.3999999999999"/>
    <n v="672.60000000000014"/>
    <x v="10"/>
    <x v="0"/>
  </r>
  <r>
    <s v="ORD00920"/>
    <s v="2023-12-04"/>
    <x v="1"/>
    <x v="8"/>
    <s v="Panaji"/>
    <x v="0"/>
    <x v="10"/>
    <x v="1"/>
    <s v="Debit Card"/>
    <n v="8"/>
    <n v="355112"/>
    <n v="248578.4"/>
    <n v="106533.6"/>
    <x v="7"/>
    <x v="1"/>
  </r>
  <r>
    <s v="ORD00921"/>
    <s v="2023-03-18"/>
    <x v="1"/>
    <x v="1"/>
    <s v="Ahmedabad"/>
    <x v="2"/>
    <x v="3"/>
    <x v="1"/>
    <s v="Cash"/>
    <n v="8"/>
    <n v="191224"/>
    <n v="133856.79999999999"/>
    <n v="57367.200000000012"/>
    <x v="2"/>
    <x v="1"/>
  </r>
  <r>
    <s v="ORD00922"/>
    <s v="2023-12-25"/>
    <x v="3"/>
    <x v="5"/>
    <s v="Kochi"/>
    <x v="3"/>
    <x v="9"/>
    <x v="0"/>
    <s v="Cash"/>
    <n v="10"/>
    <n v="466250"/>
    <n v="326375"/>
    <n v="139875"/>
    <x v="7"/>
    <x v="1"/>
  </r>
  <r>
    <s v="ORD00923"/>
    <s v="2023-06-01"/>
    <x v="2"/>
    <x v="3"/>
    <s v="Ludhiana"/>
    <x v="0"/>
    <x v="10"/>
    <x v="0"/>
    <s v="Credit Card"/>
    <n v="5"/>
    <n v="142325"/>
    <n v="99627.5"/>
    <n v="42697.5"/>
    <x v="3"/>
    <x v="1"/>
  </r>
  <r>
    <s v="ORD00924"/>
    <s v="2023-05-06"/>
    <x v="2"/>
    <x v="2"/>
    <s v="New Delhi"/>
    <x v="3"/>
    <x v="9"/>
    <x v="1"/>
    <s v="Cash"/>
    <n v="5"/>
    <n v="37080"/>
    <n v="25956"/>
    <n v="11124"/>
    <x v="9"/>
    <x v="1"/>
  </r>
  <r>
    <s v="ORD00925"/>
    <s v="2024-01-29"/>
    <x v="0"/>
    <x v="14"/>
    <s v="Guwahati"/>
    <x v="0"/>
    <x v="10"/>
    <x v="0"/>
    <s v="Debit Card"/>
    <n v="8"/>
    <n v="276144"/>
    <n v="193300.8"/>
    <n v="82843.200000000012"/>
    <x v="8"/>
    <x v="0"/>
  </r>
  <r>
    <s v="ORD00926"/>
    <s v="2024-08-01"/>
    <x v="1"/>
    <x v="1"/>
    <s v="Ahmedabad"/>
    <x v="2"/>
    <x v="12"/>
    <x v="1"/>
    <s v="UPI"/>
    <n v="4"/>
    <n v="150576"/>
    <n v="105403.2"/>
    <n v="45172.800000000003"/>
    <x v="4"/>
    <x v="0"/>
  </r>
  <r>
    <s v="ORD00927"/>
    <s v="2024-04-04"/>
    <x v="0"/>
    <x v="13"/>
    <s v="Kolkata"/>
    <x v="2"/>
    <x v="3"/>
    <x v="0"/>
    <s v="Debit Card"/>
    <n v="2"/>
    <n v="78360"/>
    <n v="54852"/>
    <n v="23508"/>
    <x v="11"/>
    <x v="0"/>
  </r>
  <r>
    <s v="ORD00928"/>
    <s v="2024-05-11"/>
    <x v="3"/>
    <x v="5"/>
    <s v="Kochi"/>
    <x v="1"/>
    <x v="5"/>
    <x v="0"/>
    <s v="Debit Card"/>
    <n v="7"/>
    <n v="265804"/>
    <n v="186062.8"/>
    <n v="79741.200000000012"/>
    <x v="9"/>
    <x v="0"/>
  </r>
  <r>
    <s v="ORD00929"/>
    <s v="2023-12-23"/>
    <x v="2"/>
    <x v="2"/>
    <s v="New Delhi"/>
    <x v="2"/>
    <x v="14"/>
    <x v="2"/>
    <s v="Cash"/>
    <n v="1"/>
    <n v="32924"/>
    <n v="23046.799999999999"/>
    <n v="9877.2000000000007"/>
    <x v="7"/>
    <x v="1"/>
  </r>
  <r>
    <s v="ORD00930"/>
    <s v="2024-05-12"/>
    <x v="2"/>
    <x v="3"/>
    <s v="Ludhiana"/>
    <x v="1"/>
    <x v="8"/>
    <x v="0"/>
    <s v="Credit Card"/>
    <n v="7"/>
    <n v="241318"/>
    <n v="168922.59999999998"/>
    <n v="72395.400000000023"/>
    <x v="9"/>
    <x v="0"/>
  </r>
  <r>
    <s v="ORD00931"/>
    <s v="2023-06-25"/>
    <x v="0"/>
    <x v="14"/>
    <s v="Guwahati"/>
    <x v="0"/>
    <x v="2"/>
    <x v="2"/>
    <s v="Cash"/>
    <n v="9"/>
    <n v="198099"/>
    <n v="138669.29999999999"/>
    <n v="59429.700000000012"/>
    <x v="3"/>
    <x v="1"/>
  </r>
  <r>
    <s v="ORD00932"/>
    <s v="2023-11-23"/>
    <x v="2"/>
    <x v="11"/>
    <s v="Lucknow"/>
    <x v="1"/>
    <x v="5"/>
    <x v="0"/>
    <s v="Cash"/>
    <n v="3"/>
    <n v="10971"/>
    <n v="7679.7"/>
    <n v="3291.3"/>
    <x v="6"/>
    <x v="1"/>
  </r>
  <r>
    <s v="ORD00933"/>
    <s v="2023-03-30"/>
    <x v="0"/>
    <x v="0"/>
    <s v="Bhubaneswar"/>
    <x v="0"/>
    <x v="10"/>
    <x v="0"/>
    <s v="UPI"/>
    <n v="2"/>
    <n v="20590"/>
    <n v="14412.999999999998"/>
    <n v="6177.0000000000018"/>
    <x v="2"/>
    <x v="1"/>
  </r>
  <r>
    <s v="ORD00934"/>
    <s v="2023-09-25"/>
    <x v="2"/>
    <x v="2"/>
    <s v="New Delhi"/>
    <x v="1"/>
    <x v="1"/>
    <x v="1"/>
    <s v="Net Banking"/>
    <n v="5"/>
    <n v="142435"/>
    <n v="99704.5"/>
    <n v="42730.5"/>
    <x v="10"/>
    <x v="1"/>
  </r>
  <r>
    <s v="ORD00935"/>
    <s v="2023-08-12"/>
    <x v="0"/>
    <x v="14"/>
    <s v="Guwahati"/>
    <x v="0"/>
    <x v="10"/>
    <x v="1"/>
    <s v="Debit Card"/>
    <n v="4"/>
    <n v="143692"/>
    <n v="100584.4"/>
    <n v="43107.600000000006"/>
    <x v="4"/>
    <x v="1"/>
  </r>
  <r>
    <s v="ORD00936"/>
    <s v="2024-01-18"/>
    <x v="2"/>
    <x v="2"/>
    <s v="New Delhi"/>
    <x v="3"/>
    <x v="9"/>
    <x v="1"/>
    <s v="Credit Card"/>
    <n v="8"/>
    <n v="10552"/>
    <n v="7386.4"/>
    <n v="3165.6000000000004"/>
    <x v="8"/>
    <x v="0"/>
  </r>
  <r>
    <s v="ORD00937"/>
    <s v="2023-04-07"/>
    <x v="2"/>
    <x v="2"/>
    <s v="New Delhi"/>
    <x v="1"/>
    <x v="8"/>
    <x v="1"/>
    <s v="Credit Card"/>
    <n v="5"/>
    <n v="37070"/>
    <n v="25949"/>
    <n v="11121"/>
    <x v="11"/>
    <x v="1"/>
  </r>
  <r>
    <s v="ORD00938"/>
    <s v="2024-11-02"/>
    <x v="3"/>
    <x v="6"/>
    <s v="Hyderabad"/>
    <x v="0"/>
    <x v="2"/>
    <x v="1"/>
    <s v="Debit Card"/>
    <n v="8"/>
    <n v="104744"/>
    <n v="73320.799999999988"/>
    <n v="31423.200000000012"/>
    <x v="6"/>
    <x v="0"/>
  </r>
  <r>
    <s v="ORD00939"/>
    <s v="2024-06-24"/>
    <x v="1"/>
    <x v="9"/>
    <s v="Kolhapur"/>
    <x v="0"/>
    <x v="2"/>
    <x v="1"/>
    <s v="Cash"/>
    <n v="7"/>
    <n v="265139"/>
    <n v="185597.3"/>
    <n v="79541.700000000012"/>
    <x v="3"/>
    <x v="0"/>
  </r>
  <r>
    <s v="ORD00940"/>
    <s v="2023-09-04"/>
    <x v="2"/>
    <x v="4"/>
    <s v="Gurgaon"/>
    <x v="3"/>
    <x v="13"/>
    <x v="1"/>
    <s v="UPI"/>
    <n v="10"/>
    <n v="467390"/>
    <n v="327173"/>
    <n v="140217"/>
    <x v="10"/>
    <x v="1"/>
  </r>
  <r>
    <s v="ORD00941"/>
    <s v="2023-08-10"/>
    <x v="0"/>
    <x v="13"/>
    <s v="Kolkata"/>
    <x v="3"/>
    <x v="13"/>
    <x v="1"/>
    <s v="Net Banking"/>
    <n v="1"/>
    <n v="31501"/>
    <n v="22050.699999999997"/>
    <n v="9450.3000000000029"/>
    <x v="4"/>
    <x v="1"/>
  </r>
  <r>
    <s v="ORD00942"/>
    <s v="2023-04-30"/>
    <x v="1"/>
    <x v="9"/>
    <s v="Kolhapur"/>
    <x v="3"/>
    <x v="11"/>
    <x v="1"/>
    <s v="Debit Card"/>
    <n v="1"/>
    <n v="6322"/>
    <n v="4425.3999999999996"/>
    <n v="1896.6000000000004"/>
    <x v="11"/>
    <x v="1"/>
  </r>
  <r>
    <s v="ORD00943"/>
    <s v="2024-11-15"/>
    <x v="2"/>
    <x v="11"/>
    <s v="Lucknow"/>
    <x v="0"/>
    <x v="4"/>
    <x v="0"/>
    <s v="Cash"/>
    <n v="7"/>
    <n v="320446"/>
    <n v="224312.19999999998"/>
    <n v="96133.800000000017"/>
    <x v="6"/>
    <x v="0"/>
  </r>
  <r>
    <s v="ORD00944"/>
    <s v="2023-07-08"/>
    <x v="0"/>
    <x v="14"/>
    <s v="Guwahati"/>
    <x v="2"/>
    <x v="3"/>
    <x v="0"/>
    <s v="Cash"/>
    <n v="3"/>
    <n v="72780"/>
    <n v="50946"/>
    <n v="21834"/>
    <x v="0"/>
    <x v="1"/>
  </r>
  <r>
    <s v="ORD00945"/>
    <s v="2023-12-02"/>
    <x v="2"/>
    <x v="4"/>
    <s v="Gurgaon"/>
    <x v="2"/>
    <x v="14"/>
    <x v="1"/>
    <s v="Credit Card"/>
    <n v="3"/>
    <n v="99648"/>
    <n v="69753.599999999991"/>
    <n v="29894.400000000009"/>
    <x v="7"/>
    <x v="1"/>
  </r>
  <r>
    <s v="ORD00946"/>
    <s v="2024-05-27"/>
    <x v="0"/>
    <x v="0"/>
    <s v="Bhubaneswar"/>
    <x v="1"/>
    <x v="8"/>
    <x v="2"/>
    <s v="Net Banking"/>
    <n v="8"/>
    <n v="19632"/>
    <n v="13742.4"/>
    <n v="5889.6"/>
    <x v="9"/>
    <x v="0"/>
  </r>
  <r>
    <s v="ORD00947"/>
    <s v="2023-03-31"/>
    <x v="1"/>
    <x v="1"/>
    <s v="Ahmedabad"/>
    <x v="0"/>
    <x v="4"/>
    <x v="0"/>
    <s v="Cash"/>
    <n v="1"/>
    <n v="28990"/>
    <n v="20293"/>
    <n v="8697"/>
    <x v="2"/>
    <x v="1"/>
  </r>
  <r>
    <s v="ORD00948"/>
    <s v="2024-08-05"/>
    <x v="1"/>
    <x v="9"/>
    <s v="Kolhapur"/>
    <x v="1"/>
    <x v="7"/>
    <x v="1"/>
    <s v="Cash"/>
    <n v="4"/>
    <n v="82112"/>
    <n v="57478.399999999994"/>
    <n v="24633.600000000006"/>
    <x v="4"/>
    <x v="0"/>
  </r>
  <r>
    <s v="ORD00949"/>
    <s v="2023-06-10"/>
    <x v="2"/>
    <x v="4"/>
    <s v="Gurgaon"/>
    <x v="0"/>
    <x v="10"/>
    <x v="2"/>
    <s v="Cash"/>
    <n v="2"/>
    <n v="48546"/>
    <n v="33982.199999999997"/>
    <n v="14563.800000000003"/>
    <x v="3"/>
    <x v="1"/>
  </r>
  <r>
    <s v="ORD00950"/>
    <s v="2023-10-27"/>
    <x v="3"/>
    <x v="5"/>
    <s v="Kochi"/>
    <x v="1"/>
    <x v="7"/>
    <x v="2"/>
    <s v="Net Banking"/>
    <n v="3"/>
    <n v="129114"/>
    <n v="90379.799999999988"/>
    <n v="38734.200000000012"/>
    <x v="5"/>
    <x v="1"/>
  </r>
  <r>
    <s v="ORD00951"/>
    <s v="2023-07-17"/>
    <x v="3"/>
    <x v="10"/>
    <s v="Bangalore"/>
    <x v="3"/>
    <x v="11"/>
    <x v="1"/>
    <s v="UPI"/>
    <n v="3"/>
    <n v="52281"/>
    <n v="36596.699999999997"/>
    <n v="15684.300000000003"/>
    <x v="0"/>
    <x v="1"/>
  </r>
  <r>
    <s v="ORD00952"/>
    <s v="2024-02-09"/>
    <x v="2"/>
    <x v="2"/>
    <s v="New Delhi"/>
    <x v="1"/>
    <x v="5"/>
    <x v="1"/>
    <s v="UPI"/>
    <n v="7"/>
    <n v="189812"/>
    <n v="132868.4"/>
    <n v="56943.600000000006"/>
    <x v="1"/>
    <x v="0"/>
  </r>
  <r>
    <s v="ORD00953"/>
    <s v="2023-12-04"/>
    <x v="0"/>
    <x v="12"/>
    <s v="Patna"/>
    <x v="1"/>
    <x v="1"/>
    <x v="1"/>
    <s v="Credit Card"/>
    <n v="1"/>
    <n v="2108"/>
    <n v="1475.6"/>
    <n v="632.40000000000009"/>
    <x v="7"/>
    <x v="1"/>
  </r>
  <r>
    <s v="ORD00954"/>
    <s v="2024-06-04"/>
    <x v="0"/>
    <x v="13"/>
    <s v="Kolkata"/>
    <x v="0"/>
    <x v="10"/>
    <x v="0"/>
    <s v="Net Banking"/>
    <n v="1"/>
    <n v="22072"/>
    <n v="15450.4"/>
    <n v="6621.6"/>
    <x v="3"/>
    <x v="0"/>
  </r>
  <r>
    <s v="ORD00955"/>
    <s v="2024-09-27"/>
    <x v="0"/>
    <x v="12"/>
    <s v="Patna"/>
    <x v="0"/>
    <x v="0"/>
    <x v="0"/>
    <s v="UPI"/>
    <n v="10"/>
    <n v="445580"/>
    <n v="311906"/>
    <n v="133674"/>
    <x v="10"/>
    <x v="0"/>
  </r>
  <r>
    <s v="ORD00956"/>
    <s v="2024-11-27"/>
    <x v="1"/>
    <x v="9"/>
    <s v="Kolhapur"/>
    <x v="1"/>
    <x v="8"/>
    <x v="1"/>
    <s v="Cash"/>
    <n v="5"/>
    <n v="37205"/>
    <n v="26043.5"/>
    <n v="11161.5"/>
    <x v="6"/>
    <x v="0"/>
  </r>
  <r>
    <s v="ORD00957"/>
    <s v="2024-02-24"/>
    <x v="2"/>
    <x v="4"/>
    <s v="Gurgaon"/>
    <x v="0"/>
    <x v="2"/>
    <x v="2"/>
    <s v="UPI"/>
    <n v="8"/>
    <n v="168344"/>
    <n v="117840.79999999999"/>
    <n v="50503.200000000012"/>
    <x v="1"/>
    <x v="0"/>
  </r>
  <r>
    <s v="ORD00958"/>
    <s v="2023-05-01"/>
    <x v="3"/>
    <x v="10"/>
    <s v="Bangalore"/>
    <x v="2"/>
    <x v="15"/>
    <x v="2"/>
    <s v="Debit Card"/>
    <n v="4"/>
    <n v="42456"/>
    <n v="29719.199999999997"/>
    <n v="12736.800000000003"/>
    <x v="9"/>
    <x v="1"/>
  </r>
  <r>
    <s v="ORD00959"/>
    <s v="2023-02-23"/>
    <x v="0"/>
    <x v="12"/>
    <s v="Patna"/>
    <x v="2"/>
    <x v="3"/>
    <x v="2"/>
    <s v="Cash"/>
    <n v="2"/>
    <n v="61082"/>
    <n v="42757.399999999994"/>
    <n v="18324.600000000006"/>
    <x v="1"/>
    <x v="1"/>
  </r>
  <r>
    <s v="ORD00960"/>
    <s v="2024-01-06"/>
    <x v="1"/>
    <x v="8"/>
    <s v="Panaji"/>
    <x v="0"/>
    <x v="2"/>
    <x v="2"/>
    <s v="Cash"/>
    <n v="10"/>
    <n v="171830"/>
    <n v="120280.99999999999"/>
    <n v="51549.000000000015"/>
    <x v="8"/>
    <x v="0"/>
  </r>
  <r>
    <s v="ORD00961"/>
    <s v="2023-02-24"/>
    <x v="2"/>
    <x v="3"/>
    <s v="Ludhiana"/>
    <x v="1"/>
    <x v="1"/>
    <x v="2"/>
    <s v="Credit Card"/>
    <n v="8"/>
    <n v="51512"/>
    <n v="36058.399999999994"/>
    <n v="15453.600000000006"/>
    <x v="1"/>
    <x v="1"/>
  </r>
  <r>
    <s v="ORD00962"/>
    <s v="2023-06-14"/>
    <x v="2"/>
    <x v="4"/>
    <s v="Gurgaon"/>
    <x v="3"/>
    <x v="6"/>
    <x v="1"/>
    <s v="UPI"/>
    <n v="3"/>
    <n v="7356"/>
    <n v="5149.2"/>
    <n v="2206.8000000000002"/>
    <x v="3"/>
    <x v="1"/>
  </r>
  <r>
    <s v="ORD00963"/>
    <s v="2023-12-05"/>
    <x v="1"/>
    <x v="8"/>
    <s v="Panaji"/>
    <x v="1"/>
    <x v="7"/>
    <x v="0"/>
    <s v="Net Banking"/>
    <n v="5"/>
    <n v="11580"/>
    <n v="8105.9999999999991"/>
    <n v="3474.0000000000009"/>
    <x v="7"/>
    <x v="1"/>
  </r>
  <r>
    <s v="ORD00964"/>
    <s v="2023-09-02"/>
    <x v="0"/>
    <x v="0"/>
    <s v="Bhubaneswar"/>
    <x v="1"/>
    <x v="5"/>
    <x v="0"/>
    <s v="Credit Card"/>
    <n v="2"/>
    <n v="75364"/>
    <n v="52754.799999999996"/>
    <n v="22609.200000000004"/>
    <x v="10"/>
    <x v="1"/>
  </r>
  <r>
    <s v="ORD00965"/>
    <s v="2024-06-20"/>
    <x v="1"/>
    <x v="9"/>
    <s v="Kolhapur"/>
    <x v="2"/>
    <x v="15"/>
    <x v="1"/>
    <s v="UPI"/>
    <n v="5"/>
    <n v="229795"/>
    <n v="160856.5"/>
    <n v="68938.5"/>
    <x v="3"/>
    <x v="0"/>
  </r>
  <r>
    <s v="ORD00966"/>
    <s v="2023-11-16"/>
    <x v="1"/>
    <x v="9"/>
    <s v="Kolhapur"/>
    <x v="2"/>
    <x v="14"/>
    <x v="1"/>
    <s v="Credit Card"/>
    <n v="8"/>
    <n v="274120"/>
    <n v="191884"/>
    <n v="82236"/>
    <x v="6"/>
    <x v="1"/>
  </r>
  <r>
    <s v="ORD00967"/>
    <s v="2023-04-25"/>
    <x v="0"/>
    <x v="13"/>
    <s v="Kolkata"/>
    <x v="1"/>
    <x v="7"/>
    <x v="0"/>
    <s v="Debit Card"/>
    <n v="7"/>
    <n v="181132"/>
    <n v="126792.4"/>
    <n v="54339.600000000006"/>
    <x v="11"/>
    <x v="1"/>
  </r>
  <r>
    <s v="ORD00968"/>
    <s v="2023-06-23"/>
    <x v="0"/>
    <x v="13"/>
    <s v="Kolkata"/>
    <x v="3"/>
    <x v="13"/>
    <x v="1"/>
    <s v="Cash"/>
    <n v="7"/>
    <n v="23569"/>
    <n v="16498.3"/>
    <n v="7070.7000000000007"/>
    <x v="3"/>
    <x v="1"/>
  </r>
  <r>
    <s v="ORD00969"/>
    <s v="2024-02-03"/>
    <x v="0"/>
    <x v="13"/>
    <s v="Kolkata"/>
    <x v="1"/>
    <x v="1"/>
    <x v="1"/>
    <s v="Cash"/>
    <n v="1"/>
    <n v="14572"/>
    <n v="10200.4"/>
    <n v="4371.6000000000004"/>
    <x v="1"/>
    <x v="0"/>
  </r>
  <r>
    <s v="ORD00970"/>
    <s v="2023-11-24"/>
    <x v="1"/>
    <x v="9"/>
    <s v="Pune"/>
    <x v="3"/>
    <x v="9"/>
    <x v="1"/>
    <s v="UPI"/>
    <n v="1"/>
    <n v="28311"/>
    <n v="19817.699999999997"/>
    <n v="8493.3000000000029"/>
    <x v="6"/>
    <x v="1"/>
  </r>
  <r>
    <s v="ORD00971"/>
    <s v="2024-06-05"/>
    <x v="1"/>
    <x v="9"/>
    <s v="Pune"/>
    <x v="3"/>
    <x v="13"/>
    <x v="1"/>
    <s v="Net Banking"/>
    <n v="5"/>
    <n v="162825"/>
    <n v="113977.5"/>
    <n v="48847.5"/>
    <x v="3"/>
    <x v="0"/>
  </r>
  <r>
    <s v="ORD00972"/>
    <s v="2024-06-22"/>
    <x v="0"/>
    <x v="12"/>
    <s v="Patna"/>
    <x v="2"/>
    <x v="3"/>
    <x v="0"/>
    <s v="Net Banking"/>
    <n v="10"/>
    <n v="485210"/>
    <n v="339647"/>
    <n v="145563"/>
    <x v="3"/>
    <x v="0"/>
  </r>
  <r>
    <s v="ORD00973"/>
    <s v="2024-10-27"/>
    <x v="0"/>
    <x v="13"/>
    <s v="Kolkata"/>
    <x v="0"/>
    <x v="4"/>
    <x v="2"/>
    <s v="Net Banking"/>
    <n v="3"/>
    <n v="120975"/>
    <n v="84682.5"/>
    <n v="36292.5"/>
    <x v="5"/>
    <x v="0"/>
  </r>
  <r>
    <s v="ORD00974"/>
    <s v="2023-11-29"/>
    <x v="3"/>
    <x v="5"/>
    <s v="Kochi"/>
    <x v="3"/>
    <x v="13"/>
    <x v="2"/>
    <s v="Cash"/>
    <n v="6"/>
    <n v="183084"/>
    <n v="128158.79999999999"/>
    <n v="54925.200000000012"/>
    <x v="6"/>
    <x v="1"/>
  </r>
  <r>
    <s v="ORD00975"/>
    <s v="2023-12-11"/>
    <x v="2"/>
    <x v="3"/>
    <s v="Ludhiana"/>
    <x v="2"/>
    <x v="14"/>
    <x v="0"/>
    <s v="UPI"/>
    <n v="7"/>
    <n v="185486"/>
    <n v="129840.2"/>
    <n v="55645.8"/>
    <x v="7"/>
    <x v="1"/>
  </r>
  <r>
    <s v="ORD00976"/>
    <s v="2024-09-20"/>
    <x v="1"/>
    <x v="9"/>
    <s v="Kolhapur"/>
    <x v="1"/>
    <x v="1"/>
    <x v="2"/>
    <s v="Credit Card"/>
    <n v="8"/>
    <n v="384256"/>
    <n v="268979.20000000001"/>
    <n v="115276.79999999999"/>
    <x v="10"/>
    <x v="0"/>
  </r>
  <r>
    <s v="ORD00977"/>
    <s v="2024-03-04"/>
    <x v="1"/>
    <x v="1"/>
    <s v="Ahmedabad"/>
    <x v="0"/>
    <x v="10"/>
    <x v="1"/>
    <s v="UPI"/>
    <n v="1"/>
    <n v="2499"/>
    <n v="1749.3"/>
    <n v="749.7"/>
    <x v="2"/>
    <x v="0"/>
  </r>
  <r>
    <s v="ORD00978"/>
    <s v="2024-03-19"/>
    <x v="2"/>
    <x v="11"/>
    <s v="Lucknow"/>
    <x v="1"/>
    <x v="7"/>
    <x v="1"/>
    <s v="Net Banking"/>
    <n v="1"/>
    <n v="28839"/>
    <n v="20187.3"/>
    <n v="8651.7000000000007"/>
    <x v="2"/>
    <x v="0"/>
  </r>
  <r>
    <s v="ORD00979"/>
    <s v="2023-03-04"/>
    <x v="1"/>
    <x v="1"/>
    <s v="Ahmedabad"/>
    <x v="3"/>
    <x v="9"/>
    <x v="1"/>
    <s v="Cash"/>
    <n v="7"/>
    <n v="208376"/>
    <n v="145863.19999999998"/>
    <n v="62512.800000000017"/>
    <x v="2"/>
    <x v="1"/>
  </r>
  <r>
    <s v="ORD00980"/>
    <s v="2023-08-11"/>
    <x v="0"/>
    <x v="14"/>
    <s v="Guwahati"/>
    <x v="1"/>
    <x v="8"/>
    <x v="1"/>
    <s v="Debit Card"/>
    <n v="10"/>
    <n v="321910"/>
    <n v="225337"/>
    <n v="96573"/>
    <x v="4"/>
    <x v="1"/>
  </r>
  <r>
    <s v="ORD00981"/>
    <s v="2023-01-30"/>
    <x v="0"/>
    <x v="0"/>
    <s v="Bhubaneswar"/>
    <x v="2"/>
    <x v="14"/>
    <x v="1"/>
    <s v="Credit Card"/>
    <n v="8"/>
    <n v="346168"/>
    <n v="242317.59999999998"/>
    <n v="103850.40000000002"/>
    <x v="8"/>
    <x v="1"/>
  </r>
  <r>
    <s v="ORD00982"/>
    <s v="2024-02-19"/>
    <x v="2"/>
    <x v="11"/>
    <s v="Lucknow"/>
    <x v="2"/>
    <x v="3"/>
    <x v="2"/>
    <s v="Net Banking"/>
    <n v="4"/>
    <n v="21244"/>
    <n v="14870.8"/>
    <n v="6373.2000000000007"/>
    <x v="1"/>
    <x v="0"/>
  </r>
  <r>
    <s v="ORD00983"/>
    <s v="2024-07-06"/>
    <x v="2"/>
    <x v="2"/>
    <s v="New Delhi"/>
    <x v="3"/>
    <x v="9"/>
    <x v="1"/>
    <s v="Credit Card"/>
    <n v="9"/>
    <n v="25065"/>
    <n v="17545.5"/>
    <n v="7519.5"/>
    <x v="0"/>
    <x v="0"/>
  </r>
  <r>
    <s v="ORD00984"/>
    <s v="2024-05-12"/>
    <x v="2"/>
    <x v="11"/>
    <s v="Lucknow"/>
    <x v="2"/>
    <x v="15"/>
    <x v="2"/>
    <s v="UPI"/>
    <n v="7"/>
    <n v="86170"/>
    <n v="60318.999999999993"/>
    <n v="25851.000000000007"/>
    <x v="9"/>
    <x v="0"/>
  </r>
  <r>
    <s v="ORD00985"/>
    <s v="2023-08-28"/>
    <x v="1"/>
    <x v="8"/>
    <s v="Panaji"/>
    <x v="0"/>
    <x v="0"/>
    <x v="1"/>
    <s v="Debit Card"/>
    <n v="5"/>
    <n v="150430"/>
    <n v="105301"/>
    <n v="45129"/>
    <x v="4"/>
    <x v="1"/>
  </r>
  <r>
    <s v="ORD00986"/>
    <s v="2024-02-17"/>
    <x v="1"/>
    <x v="9"/>
    <s v="Pune"/>
    <x v="0"/>
    <x v="0"/>
    <x v="1"/>
    <s v="Debit Card"/>
    <n v="10"/>
    <n v="208120"/>
    <n v="145684"/>
    <n v="62436"/>
    <x v="1"/>
    <x v="0"/>
  </r>
  <r>
    <s v="ORD00987"/>
    <s v="2024-04-23"/>
    <x v="0"/>
    <x v="12"/>
    <s v="Patna"/>
    <x v="2"/>
    <x v="12"/>
    <x v="2"/>
    <s v="Cash"/>
    <n v="7"/>
    <n v="7126"/>
    <n v="4988.2"/>
    <n v="2137.8000000000002"/>
    <x v="11"/>
    <x v="0"/>
  </r>
  <r>
    <s v="ORD00988"/>
    <s v="2023-10-25"/>
    <x v="2"/>
    <x v="11"/>
    <s v="Lucknow"/>
    <x v="3"/>
    <x v="11"/>
    <x v="2"/>
    <s v="Net Banking"/>
    <n v="7"/>
    <n v="218946"/>
    <n v="153262.19999999998"/>
    <n v="65683.800000000017"/>
    <x v="5"/>
    <x v="1"/>
  </r>
  <r>
    <s v="ORD00989"/>
    <s v="2024-05-20"/>
    <x v="3"/>
    <x v="10"/>
    <s v="Bangalore"/>
    <x v="1"/>
    <x v="5"/>
    <x v="0"/>
    <s v="Debit Card"/>
    <n v="1"/>
    <n v="40695"/>
    <n v="28486.5"/>
    <n v="12208.5"/>
    <x v="9"/>
    <x v="0"/>
  </r>
  <r>
    <s v="ORD00990"/>
    <s v="2024-01-29"/>
    <x v="1"/>
    <x v="9"/>
    <s v="Pune"/>
    <x v="1"/>
    <x v="5"/>
    <x v="0"/>
    <s v="Cash"/>
    <n v="6"/>
    <n v="118632"/>
    <n v="83042.399999999994"/>
    <n v="35589.600000000006"/>
    <x v="8"/>
    <x v="0"/>
  </r>
  <r>
    <s v="ORD00991"/>
    <s v="2023-09-29"/>
    <x v="3"/>
    <x v="5"/>
    <s v="Kochi"/>
    <x v="1"/>
    <x v="5"/>
    <x v="2"/>
    <s v="Credit Card"/>
    <n v="10"/>
    <n v="280280"/>
    <n v="196196"/>
    <n v="84084"/>
    <x v="10"/>
    <x v="1"/>
  </r>
  <r>
    <s v="ORD00992"/>
    <s v="2023-04-04"/>
    <x v="3"/>
    <x v="10"/>
    <s v="Bangalore"/>
    <x v="2"/>
    <x v="12"/>
    <x v="1"/>
    <s v="Net Banking"/>
    <n v="5"/>
    <n v="117220"/>
    <n v="82054"/>
    <n v="35166"/>
    <x v="11"/>
    <x v="1"/>
  </r>
  <r>
    <s v="ORD00993"/>
    <s v="2023-06-11"/>
    <x v="2"/>
    <x v="3"/>
    <s v="Ludhiana"/>
    <x v="1"/>
    <x v="7"/>
    <x v="1"/>
    <s v="Cash"/>
    <n v="5"/>
    <n v="110250"/>
    <n v="77175"/>
    <n v="33075"/>
    <x v="3"/>
    <x v="1"/>
  </r>
  <r>
    <s v="ORD00994"/>
    <s v="2023-06-09"/>
    <x v="1"/>
    <x v="9"/>
    <s v="Kolhapur"/>
    <x v="2"/>
    <x v="15"/>
    <x v="0"/>
    <s v="Debit Card"/>
    <n v="2"/>
    <n v="19878"/>
    <n v="13914.599999999999"/>
    <n v="5963.4000000000015"/>
    <x v="3"/>
    <x v="1"/>
  </r>
  <r>
    <s v="ORD00995"/>
    <s v="2024-10-30"/>
    <x v="1"/>
    <x v="8"/>
    <s v="Panaji"/>
    <x v="1"/>
    <x v="5"/>
    <x v="0"/>
    <s v="Credit Card"/>
    <n v="9"/>
    <n v="151299"/>
    <n v="105909.29999999999"/>
    <n v="45389.700000000012"/>
    <x v="5"/>
    <x v="0"/>
  </r>
  <r>
    <s v="ORD00996"/>
    <s v="2024-08-09"/>
    <x v="3"/>
    <x v="10"/>
    <s v="Bangalore"/>
    <x v="1"/>
    <x v="7"/>
    <x v="2"/>
    <s v="UPI"/>
    <n v="10"/>
    <n v="137330"/>
    <n v="96131"/>
    <n v="41199"/>
    <x v="4"/>
    <x v="0"/>
  </r>
  <r>
    <s v="ORD00997"/>
    <s v="2024-04-25"/>
    <x v="2"/>
    <x v="11"/>
    <s v="Lucknow"/>
    <x v="1"/>
    <x v="8"/>
    <x v="0"/>
    <s v="Credit Card"/>
    <n v="3"/>
    <n v="37161"/>
    <n v="26012.699999999997"/>
    <n v="11148.300000000003"/>
    <x v="11"/>
    <x v="0"/>
  </r>
  <r>
    <s v="ORD00998"/>
    <s v="2024-08-02"/>
    <x v="3"/>
    <x v="6"/>
    <s v="Hyderabad"/>
    <x v="2"/>
    <x v="12"/>
    <x v="0"/>
    <s v="Cash"/>
    <n v="7"/>
    <n v="310639"/>
    <n v="217447.3"/>
    <n v="93191.700000000012"/>
    <x v="4"/>
    <x v="0"/>
  </r>
  <r>
    <s v="ORD00999"/>
    <s v="2023-07-03"/>
    <x v="1"/>
    <x v="9"/>
    <s v="Pune"/>
    <x v="2"/>
    <x v="15"/>
    <x v="1"/>
    <s v="Cash"/>
    <n v="8"/>
    <n v="181912"/>
    <n v="127338.4"/>
    <n v="54573.600000000006"/>
    <x v="0"/>
    <x v="1"/>
  </r>
  <r>
    <s v="ORD01000"/>
    <s v="2024-10-14"/>
    <x v="1"/>
    <x v="8"/>
    <s v="Panaji"/>
    <x v="2"/>
    <x v="15"/>
    <x v="2"/>
    <s v="Debit Card"/>
    <n v="2"/>
    <n v="27384"/>
    <n v="19168.8"/>
    <n v="8215.2000000000007"/>
    <x v="5"/>
    <x v="0"/>
  </r>
  <r>
    <s v="ORD01001"/>
    <s v="2023-12-19"/>
    <x v="2"/>
    <x v="11"/>
    <s v="Lucknow"/>
    <x v="0"/>
    <x v="0"/>
    <x v="0"/>
    <s v="Net Banking"/>
    <n v="10"/>
    <n v="260590"/>
    <n v="182413"/>
    <n v="78177"/>
    <x v="7"/>
    <x v="1"/>
  </r>
  <r>
    <s v="ORD01002"/>
    <s v="2024-01-15"/>
    <x v="1"/>
    <x v="1"/>
    <s v="Ahmedabad"/>
    <x v="0"/>
    <x v="2"/>
    <x v="2"/>
    <s v="Net Banking"/>
    <n v="2"/>
    <n v="38158"/>
    <n v="26710.6"/>
    <n v="11447.400000000001"/>
    <x v="8"/>
    <x v="0"/>
  </r>
  <r>
    <s v="ORD01003"/>
    <s v="2024-09-08"/>
    <x v="0"/>
    <x v="13"/>
    <s v="Kolkata"/>
    <x v="2"/>
    <x v="14"/>
    <x v="2"/>
    <s v="UPI"/>
    <n v="8"/>
    <n v="114352"/>
    <n v="80046.399999999994"/>
    <n v="34305.600000000006"/>
    <x v="10"/>
    <x v="0"/>
  </r>
  <r>
    <s v="ORD01004"/>
    <s v="2023-03-17"/>
    <x v="2"/>
    <x v="2"/>
    <s v="New Delhi"/>
    <x v="3"/>
    <x v="6"/>
    <x v="1"/>
    <s v="Net Banking"/>
    <n v="2"/>
    <n v="58208"/>
    <n v="40745.599999999999"/>
    <n v="17462.400000000001"/>
    <x v="2"/>
    <x v="1"/>
  </r>
  <r>
    <s v="ORD01005"/>
    <s v="2024-09-27"/>
    <x v="2"/>
    <x v="4"/>
    <s v="Gurgaon"/>
    <x v="3"/>
    <x v="11"/>
    <x v="0"/>
    <s v="Cash"/>
    <n v="6"/>
    <n v="40392"/>
    <n v="28274.399999999998"/>
    <n v="12117.600000000002"/>
    <x v="10"/>
    <x v="0"/>
  </r>
  <r>
    <s v="ORD01006"/>
    <s v="2024-06-20"/>
    <x v="1"/>
    <x v="9"/>
    <s v="Pune"/>
    <x v="0"/>
    <x v="2"/>
    <x v="0"/>
    <s v="Credit Card"/>
    <n v="10"/>
    <n v="459250"/>
    <n v="321475"/>
    <n v="137775"/>
    <x v="3"/>
    <x v="0"/>
  </r>
  <r>
    <s v="ORD01007"/>
    <s v="2024-02-05"/>
    <x v="2"/>
    <x v="4"/>
    <s v="Gurgaon"/>
    <x v="1"/>
    <x v="5"/>
    <x v="1"/>
    <s v="Debit Card"/>
    <n v="10"/>
    <n v="322760"/>
    <n v="225932"/>
    <n v="96828"/>
    <x v="1"/>
    <x v="0"/>
  </r>
  <r>
    <s v="ORD01008"/>
    <s v="2023-03-15"/>
    <x v="2"/>
    <x v="2"/>
    <s v="New Delhi"/>
    <x v="1"/>
    <x v="7"/>
    <x v="1"/>
    <s v="Net Banking"/>
    <n v="7"/>
    <n v="97447"/>
    <n v="68212.899999999994"/>
    <n v="29234.100000000006"/>
    <x v="2"/>
    <x v="1"/>
  </r>
  <r>
    <s v="ORD01009"/>
    <s v="2023-02-21"/>
    <x v="1"/>
    <x v="9"/>
    <s v="Pune"/>
    <x v="2"/>
    <x v="12"/>
    <x v="0"/>
    <s v="Net Banking"/>
    <n v="10"/>
    <n v="299710"/>
    <n v="209797"/>
    <n v="89913"/>
    <x v="1"/>
    <x v="1"/>
  </r>
  <r>
    <s v="ORD01010"/>
    <s v="2024-06-05"/>
    <x v="2"/>
    <x v="2"/>
    <s v="New Delhi"/>
    <x v="2"/>
    <x v="3"/>
    <x v="0"/>
    <s v="Credit Card"/>
    <n v="5"/>
    <n v="51730"/>
    <n v="36211"/>
    <n v="15519"/>
    <x v="3"/>
    <x v="0"/>
  </r>
  <r>
    <s v="ORD01011"/>
    <s v="2024-05-24"/>
    <x v="1"/>
    <x v="9"/>
    <s v="Pune"/>
    <x v="3"/>
    <x v="6"/>
    <x v="0"/>
    <s v="Credit Card"/>
    <n v="6"/>
    <n v="54504"/>
    <n v="38152.799999999996"/>
    <n v="16351.200000000004"/>
    <x v="9"/>
    <x v="0"/>
  </r>
  <r>
    <s v="ORD01012"/>
    <s v="2023-03-30"/>
    <x v="1"/>
    <x v="9"/>
    <s v="Pune"/>
    <x v="2"/>
    <x v="12"/>
    <x v="0"/>
    <s v="Net Banking"/>
    <n v="9"/>
    <n v="319374"/>
    <n v="223561.8"/>
    <n v="95812.200000000012"/>
    <x v="2"/>
    <x v="1"/>
  </r>
  <r>
    <s v="ORD01013"/>
    <s v="2023-12-19"/>
    <x v="2"/>
    <x v="2"/>
    <s v="New Delhi"/>
    <x v="1"/>
    <x v="7"/>
    <x v="1"/>
    <s v="Debit Card"/>
    <n v="1"/>
    <n v="35208"/>
    <n v="24645.599999999999"/>
    <n v="10562.400000000001"/>
    <x v="7"/>
    <x v="1"/>
  </r>
  <r>
    <s v="ORD01014"/>
    <s v="2024-03-19"/>
    <x v="1"/>
    <x v="9"/>
    <s v="Kolhapur"/>
    <x v="3"/>
    <x v="11"/>
    <x v="2"/>
    <s v="Cash"/>
    <n v="2"/>
    <n v="28352"/>
    <n v="19846.399999999998"/>
    <n v="8505.6000000000022"/>
    <x v="2"/>
    <x v="0"/>
  </r>
  <r>
    <s v="ORD01015"/>
    <s v="2024-01-01"/>
    <x v="3"/>
    <x v="6"/>
    <s v="Hyderabad"/>
    <x v="3"/>
    <x v="6"/>
    <x v="1"/>
    <s v="UPI"/>
    <n v="7"/>
    <n v="86317"/>
    <n v="60421.899999999994"/>
    <n v="25895.100000000006"/>
    <x v="8"/>
    <x v="0"/>
  </r>
  <r>
    <s v="ORD01016"/>
    <s v="2024-09-13"/>
    <x v="3"/>
    <x v="6"/>
    <s v="Hyderabad"/>
    <x v="0"/>
    <x v="4"/>
    <x v="0"/>
    <s v="Cash"/>
    <n v="5"/>
    <n v="230570"/>
    <n v="161399"/>
    <n v="69171"/>
    <x v="10"/>
    <x v="0"/>
  </r>
  <r>
    <s v="ORD01017"/>
    <s v="2023-09-14"/>
    <x v="1"/>
    <x v="9"/>
    <s v="Kolhapur"/>
    <x v="3"/>
    <x v="11"/>
    <x v="0"/>
    <s v="Cash"/>
    <n v="7"/>
    <n v="86121"/>
    <n v="60284.7"/>
    <n v="25836.300000000003"/>
    <x v="10"/>
    <x v="1"/>
  </r>
  <r>
    <s v="ORD01018"/>
    <s v="2023-04-02"/>
    <x v="1"/>
    <x v="9"/>
    <s v="Pune"/>
    <x v="3"/>
    <x v="9"/>
    <x v="2"/>
    <s v="Debit Card"/>
    <n v="5"/>
    <n v="139815"/>
    <n v="97870.5"/>
    <n v="41944.5"/>
    <x v="11"/>
    <x v="1"/>
  </r>
  <r>
    <s v="ORD01019"/>
    <s v="2023-05-17"/>
    <x v="0"/>
    <x v="13"/>
    <s v="Kolkata"/>
    <x v="0"/>
    <x v="10"/>
    <x v="1"/>
    <s v="UPI"/>
    <n v="8"/>
    <n v="383208"/>
    <n v="268245.59999999998"/>
    <n v="114962.40000000002"/>
    <x v="9"/>
    <x v="1"/>
  </r>
  <r>
    <s v="ORD01020"/>
    <s v="2024-07-12"/>
    <x v="0"/>
    <x v="12"/>
    <s v="Patna"/>
    <x v="3"/>
    <x v="13"/>
    <x v="1"/>
    <s v="UPI"/>
    <n v="8"/>
    <n v="64136"/>
    <n v="44895.199999999997"/>
    <n v="19240.800000000003"/>
    <x v="0"/>
    <x v="0"/>
  </r>
  <r>
    <s v="ORD01021"/>
    <s v="2024-02-01"/>
    <x v="1"/>
    <x v="8"/>
    <s v="Panaji"/>
    <x v="0"/>
    <x v="4"/>
    <x v="1"/>
    <s v="Cash"/>
    <n v="3"/>
    <n v="114420"/>
    <n v="80094"/>
    <n v="34326"/>
    <x v="1"/>
    <x v="0"/>
  </r>
  <r>
    <s v="ORD01022"/>
    <s v="2024-06-02"/>
    <x v="0"/>
    <x v="0"/>
    <s v="Bhubaneswar"/>
    <x v="0"/>
    <x v="2"/>
    <x v="0"/>
    <s v="Net Banking"/>
    <n v="6"/>
    <n v="49464"/>
    <n v="34624.799999999996"/>
    <n v="14839.200000000004"/>
    <x v="3"/>
    <x v="0"/>
  </r>
  <r>
    <s v="ORD01023"/>
    <s v="2024-08-23"/>
    <x v="0"/>
    <x v="12"/>
    <s v="Patna"/>
    <x v="1"/>
    <x v="7"/>
    <x v="0"/>
    <s v="Cash"/>
    <n v="8"/>
    <n v="209488"/>
    <n v="146641.59999999998"/>
    <n v="62846.400000000023"/>
    <x v="4"/>
    <x v="0"/>
  </r>
  <r>
    <s v="ORD01024"/>
    <s v="2024-07-22"/>
    <x v="3"/>
    <x v="6"/>
    <s v="Hyderabad"/>
    <x v="2"/>
    <x v="3"/>
    <x v="0"/>
    <s v="Credit Card"/>
    <n v="8"/>
    <n v="360208"/>
    <n v="252145.59999999998"/>
    <n v="108062.40000000002"/>
    <x v="0"/>
    <x v="0"/>
  </r>
  <r>
    <s v="ORD01025"/>
    <s v="2024-02-10"/>
    <x v="1"/>
    <x v="9"/>
    <s v="Pune"/>
    <x v="2"/>
    <x v="3"/>
    <x v="1"/>
    <s v="Cash"/>
    <n v="3"/>
    <n v="92052"/>
    <n v="64436.399999999994"/>
    <n v="27615.600000000006"/>
    <x v="1"/>
    <x v="0"/>
  </r>
  <r>
    <s v="ORD01026"/>
    <s v="2023-11-08"/>
    <x v="3"/>
    <x v="7"/>
    <s v="Chennai"/>
    <x v="1"/>
    <x v="8"/>
    <x v="1"/>
    <s v="UPI"/>
    <n v="6"/>
    <n v="248250"/>
    <n v="173775"/>
    <n v="74475"/>
    <x v="6"/>
    <x v="1"/>
  </r>
  <r>
    <s v="ORD01027"/>
    <s v="2024-01-07"/>
    <x v="1"/>
    <x v="8"/>
    <s v="Panaji"/>
    <x v="2"/>
    <x v="12"/>
    <x v="1"/>
    <s v="Net Banking"/>
    <n v="3"/>
    <n v="59751"/>
    <n v="41825.699999999997"/>
    <n v="17925.300000000003"/>
    <x v="8"/>
    <x v="0"/>
  </r>
  <r>
    <s v="ORD01028"/>
    <s v="2024-07-03"/>
    <x v="1"/>
    <x v="9"/>
    <s v="Kolhapur"/>
    <x v="1"/>
    <x v="8"/>
    <x v="0"/>
    <s v="Debit Card"/>
    <n v="7"/>
    <n v="129759"/>
    <n v="90831.299999999988"/>
    <n v="38927.700000000012"/>
    <x v="0"/>
    <x v="0"/>
  </r>
  <r>
    <s v="ORD01029"/>
    <s v="2024-09-08"/>
    <x v="3"/>
    <x v="6"/>
    <s v="Hyderabad"/>
    <x v="2"/>
    <x v="15"/>
    <x v="1"/>
    <s v="UPI"/>
    <n v="1"/>
    <n v="28143"/>
    <n v="19700.099999999999"/>
    <n v="8442.9000000000015"/>
    <x v="10"/>
    <x v="0"/>
  </r>
  <r>
    <s v="ORD01030"/>
    <s v="2023-06-17"/>
    <x v="1"/>
    <x v="9"/>
    <s v="Kolhapur"/>
    <x v="3"/>
    <x v="9"/>
    <x v="1"/>
    <s v="Cash"/>
    <n v="5"/>
    <n v="223905"/>
    <n v="156733.5"/>
    <n v="67171.5"/>
    <x v="3"/>
    <x v="1"/>
  </r>
  <r>
    <s v="ORD01031"/>
    <s v="2023-10-03"/>
    <x v="2"/>
    <x v="3"/>
    <s v="Ludhiana"/>
    <x v="1"/>
    <x v="8"/>
    <x v="0"/>
    <s v="Credit Card"/>
    <n v="1"/>
    <n v="21335"/>
    <n v="14934.499999999998"/>
    <n v="6400.5000000000018"/>
    <x v="5"/>
    <x v="1"/>
  </r>
  <r>
    <s v="ORD01032"/>
    <s v="2023-12-23"/>
    <x v="2"/>
    <x v="3"/>
    <s v="Ludhiana"/>
    <x v="2"/>
    <x v="3"/>
    <x v="1"/>
    <s v="Credit Card"/>
    <n v="1"/>
    <n v="28534"/>
    <n v="19973.8"/>
    <n v="8560.2000000000007"/>
    <x v="7"/>
    <x v="1"/>
  </r>
  <r>
    <s v="ORD01033"/>
    <s v="2023-05-21"/>
    <x v="2"/>
    <x v="4"/>
    <s v="Gurgaon"/>
    <x v="1"/>
    <x v="5"/>
    <x v="2"/>
    <s v="Credit Card"/>
    <n v="3"/>
    <n v="72672"/>
    <n v="50870.399999999994"/>
    <n v="21801.600000000006"/>
    <x v="9"/>
    <x v="1"/>
  </r>
  <r>
    <s v="ORD01034"/>
    <s v="2023-06-20"/>
    <x v="2"/>
    <x v="2"/>
    <s v="New Delhi"/>
    <x v="0"/>
    <x v="0"/>
    <x v="1"/>
    <s v="Cash"/>
    <n v="4"/>
    <n v="97108"/>
    <n v="67975.599999999991"/>
    <n v="29132.400000000009"/>
    <x v="3"/>
    <x v="1"/>
  </r>
  <r>
    <s v="ORD01035"/>
    <s v="2024-03-26"/>
    <x v="1"/>
    <x v="9"/>
    <s v="Kolhapur"/>
    <x v="0"/>
    <x v="2"/>
    <x v="0"/>
    <s v="Cash"/>
    <n v="10"/>
    <n v="372750"/>
    <n v="260924.99999999997"/>
    <n v="111825.00000000003"/>
    <x v="2"/>
    <x v="0"/>
  </r>
  <r>
    <s v="ORD01036"/>
    <s v="2023-02-14"/>
    <x v="1"/>
    <x v="8"/>
    <s v="Panaji"/>
    <x v="2"/>
    <x v="14"/>
    <x v="0"/>
    <s v="UPI"/>
    <n v="10"/>
    <n v="169090"/>
    <n v="118362.99999999999"/>
    <n v="50727.000000000015"/>
    <x v="1"/>
    <x v="1"/>
  </r>
  <r>
    <s v="ORD01037"/>
    <s v="2023-11-04"/>
    <x v="1"/>
    <x v="9"/>
    <s v="Pune"/>
    <x v="2"/>
    <x v="3"/>
    <x v="0"/>
    <s v="Debit Card"/>
    <n v="7"/>
    <n v="227731"/>
    <n v="159411.69999999998"/>
    <n v="68319.300000000017"/>
    <x v="6"/>
    <x v="1"/>
  </r>
  <r>
    <s v="ORD01038"/>
    <s v="2024-08-01"/>
    <x v="3"/>
    <x v="6"/>
    <s v="Hyderabad"/>
    <x v="2"/>
    <x v="15"/>
    <x v="1"/>
    <s v="Credit Card"/>
    <n v="3"/>
    <n v="37647"/>
    <n v="26352.899999999998"/>
    <n v="11294.100000000002"/>
    <x v="4"/>
    <x v="0"/>
  </r>
  <r>
    <s v="ORD01039"/>
    <s v="2023-06-12"/>
    <x v="3"/>
    <x v="6"/>
    <s v="Hyderabad"/>
    <x v="2"/>
    <x v="15"/>
    <x v="0"/>
    <s v="Credit Card"/>
    <n v="6"/>
    <n v="281778"/>
    <n v="197244.59999999998"/>
    <n v="84533.400000000023"/>
    <x v="3"/>
    <x v="1"/>
  </r>
  <r>
    <s v="ORD01040"/>
    <s v="2024-09-17"/>
    <x v="1"/>
    <x v="8"/>
    <s v="Panaji"/>
    <x v="1"/>
    <x v="8"/>
    <x v="1"/>
    <s v="Cash"/>
    <n v="1"/>
    <n v="15033"/>
    <n v="10523.099999999999"/>
    <n v="4509.9000000000015"/>
    <x v="10"/>
    <x v="0"/>
  </r>
  <r>
    <s v="ORD01041"/>
    <s v="2024-02-21"/>
    <x v="2"/>
    <x v="3"/>
    <s v="Ludhiana"/>
    <x v="3"/>
    <x v="6"/>
    <x v="2"/>
    <s v="Debit Card"/>
    <n v="4"/>
    <n v="123096"/>
    <n v="86167.2"/>
    <n v="36928.800000000003"/>
    <x v="1"/>
    <x v="0"/>
  </r>
  <r>
    <s v="ORD01042"/>
    <s v="2023-04-14"/>
    <x v="1"/>
    <x v="8"/>
    <s v="Panaji"/>
    <x v="0"/>
    <x v="10"/>
    <x v="1"/>
    <s v="Cash"/>
    <n v="3"/>
    <n v="100575"/>
    <n v="70402.5"/>
    <n v="30172.5"/>
    <x v="11"/>
    <x v="1"/>
  </r>
  <r>
    <s v="ORD01043"/>
    <s v="2024-04-03"/>
    <x v="3"/>
    <x v="6"/>
    <s v="Hyderabad"/>
    <x v="3"/>
    <x v="9"/>
    <x v="1"/>
    <s v="Cash"/>
    <n v="4"/>
    <n v="150544"/>
    <n v="105380.79999999999"/>
    <n v="45163.200000000012"/>
    <x v="11"/>
    <x v="0"/>
  </r>
  <r>
    <s v="ORD01044"/>
    <s v="2023-04-06"/>
    <x v="1"/>
    <x v="9"/>
    <s v="Pune"/>
    <x v="1"/>
    <x v="8"/>
    <x v="2"/>
    <s v="Debit Card"/>
    <n v="1"/>
    <n v="42132"/>
    <n v="29492.399999999998"/>
    <n v="12639.600000000002"/>
    <x v="11"/>
    <x v="1"/>
  </r>
  <r>
    <s v="ORD01045"/>
    <s v="2023-07-13"/>
    <x v="3"/>
    <x v="6"/>
    <s v="Hyderabad"/>
    <x v="0"/>
    <x v="0"/>
    <x v="1"/>
    <s v="Debit Card"/>
    <n v="10"/>
    <n v="454140"/>
    <n v="317898"/>
    <n v="136242"/>
    <x v="0"/>
    <x v="1"/>
  </r>
  <r>
    <s v="ORD01046"/>
    <s v="2023-08-12"/>
    <x v="1"/>
    <x v="9"/>
    <s v="Pune"/>
    <x v="3"/>
    <x v="6"/>
    <x v="1"/>
    <s v="Cash"/>
    <n v="5"/>
    <n v="131090"/>
    <n v="91763"/>
    <n v="39327"/>
    <x v="4"/>
    <x v="1"/>
  </r>
  <r>
    <s v="ORD01047"/>
    <s v="2023-01-23"/>
    <x v="3"/>
    <x v="5"/>
    <s v="Kochi"/>
    <x v="0"/>
    <x v="2"/>
    <x v="2"/>
    <s v="Cash"/>
    <n v="8"/>
    <n v="294136"/>
    <n v="205895.19999999998"/>
    <n v="88240.800000000017"/>
    <x v="8"/>
    <x v="1"/>
  </r>
  <r>
    <s v="ORD01048"/>
    <s v="2024-03-14"/>
    <x v="2"/>
    <x v="2"/>
    <s v="New Delhi"/>
    <x v="2"/>
    <x v="15"/>
    <x v="2"/>
    <s v="Cash"/>
    <n v="4"/>
    <n v="54376"/>
    <n v="38063.199999999997"/>
    <n v="16312.800000000003"/>
    <x v="2"/>
    <x v="0"/>
  </r>
  <r>
    <s v="ORD01049"/>
    <s v="2024-10-04"/>
    <x v="3"/>
    <x v="10"/>
    <s v="Bangalore"/>
    <x v="1"/>
    <x v="7"/>
    <x v="2"/>
    <s v="Debit Card"/>
    <n v="9"/>
    <n v="301725"/>
    <n v="211207.5"/>
    <n v="90517.5"/>
    <x v="5"/>
    <x v="0"/>
  </r>
  <r>
    <s v="ORD01050"/>
    <s v="2024-10-02"/>
    <x v="2"/>
    <x v="4"/>
    <s v="Gurgaon"/>
    <x v="1"/>
    <x v="7"/>
    <x v="1"/>
    <s v="Debit Card"/>
    <n v="1"/>
    <n v="23872"/>
    <n v="16710.399999999998"/>
    <n v="7161.6000000000022"/>
    <x v="5"/>
    <x v="0"/>
  </r>
  <r>
    <s v="ORD01051"/>
    <s v="2024-02-23"/>
    <x v="2"/>
    <x v="4"/>
    <s v="Gurgaon"/>
    <x v="3"/>
    <x v="13"/>
    <x v="1"/>
    <s v="Credit Card"/>
    <n v="2"/>
    <n v="40016"/>
    <n v="28011.199999999997"/>
    <n v="12004.800000000003"/>
    <x v="1"/>
    <x v="0"/>
  </r>
  <r>
    <s v="ORD01052"/>
    <s v="2024-08-31"/>
    <x v="3"/>
    <x v="10"/>
    <s v="Bangalore"/>
    <x v="2"/>
    <x v="14"/>
    <x v="2"/>
    <s v="Credit Card"/>
    <n v="8"/>
    <n v="330624"/>
    <n v="231436.79999999999"/>
    <n v="99187.200000000012"/>
    <x v="4"/>
    <x v="0"/>
  </r>
  <r>
    <s v="ORD01053"/>
    <s v="2024-05-26"/>
    <x v="2"/>
    <x v="4"/>
    <s v="Gurgaon"/>
    <x v="2"/>
    <x v="15"/>
    <x v="1"/>
    <s v="Debit Card"/>
    <n v="7"/>
    <n v="189826"/>
    <n v="132878.19999999998"/>
    <n v="56947.800000000017"/>
    <x v="9"/>
    <x v="0"/>
  </r>
  <r>
    <s v="ORD01054"/>
    <s v="2024-07-22"/>
    <x v="0"/>
    <x v="0"/>
    <s v="Bhubaneswar"/>
    <x v="0"/>
    <x v="2"/>
    <x v="2"/>
    <s v="Cash"/>
    <n v="4"/>
    <n v="82956"/>
    <n v="58069.2"/>
    <n v="24886.800000000003"/>
    <x v="0"/>
    <x v="0"/>
  </r>
  <r>
    <s v="ORD01055"/>
    <s v="2023-10-06"/>
    <x v="0"/>
    <x v="0"/>
    <s v="Bhubaneswar"/>
    <x v="0"/>
    <x v="2"/>
    <x v="2"/>
    <s v="Credit Card"/>
    <n v="9"/>
    <n v="18495"/>
    <n v="12946.5"/>
    <n v="5548.5"/>
    <x v="5"/>
    <x v="1"/>
  </r>
  <r>
    <s v="ORD01056"/>
    <s v="2023-12-18"/>
    <x v="1"/>
    <x v="1"/>
    <s v="Ahmedabad"/>
    <x v="0"/>
    <x v="10"/>
    <x v="0"/>
    <s v="Net Banking"/>
    <n v="6"/>
    <n v="107874"/>
    <n v="75511.799999999988"/>
    <n v="32362.200000000012"/>
    <x v="7"/>
    <x v="1"/>
  </r>
  <r>
    <s v="ORD01057"/>
    <s v="2023-04-16"/>
    <x v="0"/>
    <x v="13"/>
    <s v="Kolkata"/>
    <x v="2"/>
    <x v="12"/>
    <x v="0"/>
    <s v="Debit Card"/>
    <n v="4"/>
    <n v="165196"/>
    <n v="115637.2"/>
    <n v="49558.8"/>
    <x v="11"/>
    <x v="1"/>
  </r>
  <r>
    <s v="ORD01058"/>
    <s v="2023-05-18"/>
    <x v="1"/>
    <x v="9"/>
    <s v="Kolhapur"/>
    <x v="3"/>
    <x v="11"/>
    <x v="0"/>
    <s v="Cash"/>
    <n v="7"/>
    <n v="270921"/>
    <n v="189644.69999999998"/>
    <n v="81276.300000000017"/>
    <x v="9"/>
    <x v="1"/>
  </r>
  <r>
    <s v="ORD01059"/>
    <s v="2024-01-12"/>
    <x v="1"/>
    <x v="9"/>
    <s v="Pune"/>
    <x v="3"/>
    <x v="13"/>
    <x v="2"/>
    <s v="Net Banking"/>
    <n v="1"/>
    <n v="31004"/>
    <n v="21702.799999999999"/>
    <n v="9301.2000000000007"/>
    <x v="8"/>
    <x v="0"/>
  </r>
  <r>
    <s v="ORD01060"/>
    <s v="2023-12-06"/>
    <x v="1"/>
    <x v="9"/>
    <s v="Pune"/>
    <x v="2"/>
    <x v="12"/>
    <x v="2"/>
    <s v="Net Banking"/>
    <n v="3"/>
    <n v="30489"/>
    <n v="21342.3"/>
    <n v="9146.7000000000007"/>
    <x v="7"/>
    <x v="1"/>
  </r>
  <r>
    <s v="ORD01061"/>
    <s v="2023-08-30"/>
    <x v="2"/>
    <x v="11"/>
    <s v="Lucknow"/>
    <x v="1"/>
    <x v="7"/>
    <x v="2"/>
    <s v="Net Banking"/>
    <n v="2"/>
    <n v="93104"/>
    <n v="65172.799999999996"/>
    <n v="27931.200000000004"/>
    <x v="4"/>
    <x v="1"/>
  </r>
  <r>
    <s v="ORD01062"/>
    <s v="2024-04-01"/>
    <x v="3"/>
    <x v="7"/>
    <s v="Chennai"/>
    <x v="3"/>
    <x v="9"/>
    <x v="0"/>
    <s v="Cash"/>
    <n v="9"/>
    <n v="149076"/>
    <n v="104353.2"/>
    <n v="44722.8"/>
    <x v="11"/>
    <x v="0"/>
  </r>
  <r>
    <s v="ORD01063"/>
    <s v="2023-12-07"/>
    <x v="2"/>
    <x v="2"/>
    <s v="New Delhi"/>
    <x v="2"/>
    <x v="14"/>
    <x v="1"/>
    <s v="Net Banking"/>
    <n v="8"/>
    <n v="82216"/>
    <n v="57551.199999999997"/>
    <n v="24664.800000000003"/>
    <x v="7"/>
    <x v="1"/>
  </r>
  <r>
    <s v="ORD01064"/>
    <s v="2024-01-12"/>
    <x v="0"/>
    <x v="14"/>
    <s v="Guwahati"/>
    <x v="1"/>
    <x v="1"/>
    <x v="0"/>
    <s v="Net Banking"/>
    <n v="3"/>
    <n v="112632"/>
    <n v="78842.399999999994"/>
    <n v="33789.600000000006"/>
    <x v="8"/>
    <x v="0"/>
  </r>
  <r>
    <s v="ORD01065"/>
    <s v="2024-04-28"/>
    <x v="0"/>
    <x v="0"/>
    <s v="Bhubaneswar"/>
    <x v="2"/>
    <x v="14"/>
    <x v="2"/>
    <s v="UPI"/>
    <n v="3"/>
    <n v="102708"/>
    <n v="71895.599999999991"/>
    <n v="30812.400000000009"/>
    <x v="11"/>
    <x v="0"/>
  </r>
  <r>
    <s v="ORD01066"/>
    <s v="2023-09-12"/>
    <x v="1"/>
    <x v="8"/>
    <s v="Panaji"/>
    <x v="2"/>
    <x v="3"/>
    <x v="1"/>
    <s v="Credit Card"/>
    <n v="2"/>
    <n v="98620"/>
    <n v="69034"/>
    <n v="29586"/>
    <x v="10"/>
    <x v="1"/>
  </r>
  <r>
    <s v="ORD01067"/>
    <s v="2023-02-22"/>
    <x v="2"/>
    <x v="11"/>
    <s v="Lucknow"/>
    <x v="3"/>
    <x v="9"/>
    <x v="1"/>
    <s v="Credit Card"/>
    <n v="9"/>
    <n v="184410"/>
    <n v="129086.99999999999"/>
    <n v="55323.000000000015"/>
    <x v="1"/>
    <x v="1"/>
  </r>
  <r>
    <s v="ORD01068"/>
    <s v="2023-10-09"/>
    <x v="0"/>
    <x v="13"/>
    <s v="Kolkata"/>
    <x v="0"/>
    <x v="10"/>
    <x v="1"/>
    <s v="Debit Card"/>
    <n v="10"/>
    <n v="90820"/>
    <n v="63573.999999999993"/>
    <n v="27246.000000000007"/>
    <x v="5"/>
    <x v="1"/>
  </r>
  <r>
    <s v="ORD01069"/>
    <s v="2024-07-05"/>
    <x v="2"/>
    <x v="2"/>
    <s v="New Delhi"/>
    <x v="0"/>
    <x v="4"/>
    <x v="1"/>
    <s v="Cash"/>
    <n v="9"/>
    <n v="70380"/>
    <n v="49266"/>
    <n v="21114"/>
    <x v="0"/>
    <x v="0"/>
  </r>
  <r>
    <s v="ORD01070"/>
    <s v="2023-03-13"/>
    <x v="3"/>
    <x v="7"/>
    <s v="Chennai"/>
    <x v="3"/>
    <x v="9"/>
    <x v="1"/>
    <s v="Net Banking"/>
    <n v="3"/>
    <n v="131880"/>
    <n v="92316"/>
    <n v="39564"/>
    <x v="2"/>
    <x v="1"/>
  </r>
  <r>
    <s v="ORD01071"/>
    <s v="2023-08-21"/>
    <x v="1"/>
    <x v="8"/>
    <s v="Panaji"/>
    <x v="2"/>
    <x v="12"/>
    <x v="0"/>
    <s v="Net Banking"/>
    <n v="2"/>
    <n v="5824"/>
    <n v="4076.7999999999997"/>
    <n v="1747.2000000000003"/>
    <x v="4"/>
    <x v="1"/>
  </r>
  <r>
    <s v="ORD01072"/>
    <s v="2023-09-09"/>
    <x v="3"/>
    <x v="6"/>
    <s v="Hyderabad"/>
    <x v="1"/>
    <x v="5"/>
    <x v="0"/>
    <s v="Cash"/>
    <n v="6"/>
    <n v="141084"/>
    <n v="98758.799999999988"/>
    <n v="42325.200000000012"/>
    <x v="10"/>
    <x v="1"/>
  </r>
  <r>
    <s v="ORD01073"/>
    <s v="2023-05-01"/>
    <x v="1"/>
    <x v="8"/>
    <s v="Panaji"/>
    <x v="2"/>
    <x v="3"/>
    <x v="1"/>
    <s v="UPI"/>
    <n v="8"/>
    <n v="121216"/>
    <n v="84851.199999999997"/>
    <n v="36364.800000000003"/>
    <x v="9"/>
    <x v="1"/>
  </r>
  <r>
    <s v="ORD01074"/>
    <s v="2023-12-03"/>
    <x v="0"/>
    <x v="0"/>
    <s v="Bhubaneswar"/>
    <x v="0"/>
    <x v="4"/>
    <x v="1"/>
    <s v="Cash"/>
    <n v="10"/>
    <n v="296230"/>
    <n v="207361"/>
    <n v="88869"/>
    <x v="7"/>
    <x v="1"/>
  </r>
  <r>
    <s v="ORD01075"/>
    <s v="2024-05-16"/>
    <x v="2"/>
    <x v="4"/>
    <s v="Gurgaon"/>
    <x v="2"/>
    <x v="3"/>
    <x v="1"/>
    <s v="Credit Card"/>
    <n v="2"/>
    <n v="54502"/>
    <n v="38151.399999999994"/>
    <n v="16350.600000000006"/>
    <x v="9"/>
    <x v="0"/>
  </r>
  <r>
    <s v="ORD01076"/>
    <s v="2023-04-04"/>
    <x v="2"/>
    <x v="11"/>
    <s v="Lucknow"/>
    <x v="0"/>
    <x v="10"/>
    <x v="1"/>
    <s v="Cash"/>
    <n v="8"/>
    <n v="355160"/>
    <n v="248611.99999999997"/>
    <n v="106548.00000000003"/>
    <x v="11"/>
    <x v="1"/>
  </r>
  <r>
    <s v="ORD01077"/>
    <s v="2024-08-20"/>
    <x v="0"/>
    <x v="12"/>
    <s v="Patna"/>
    <x v="3"/>
    <x v="6"/>
    <x v="0"/>
    <s v="Cash"/>
    <n v="3"/>
    <n v="87645"/>
    <n v="61351.499999999993"/>
    <n v="26293.500000000007"/>
    <x v="4"/>
    <x v="0"/>
  </r>
  <r>
    <s v="ORD01078"/>
    <s v="2023-06-26"/>
    <x v="0"/>
    <x v="14"/>
    <s v="Guwahati"/>
    <x v="2"/>
    <x v="3"/>
    <x v="2"/>
    <s v="Net Banking"/>
    <n v="2"/>
    <n v="21570"/>
    <n v="15098.999999999998"/>
    <n v="6471.0000000000018"/>
    <x v="3"/>
    <x v="1"/>
  </r>
  <r>
    <s v="ORD01079"/>
    <s v="2024-10-24"/>
    <x v="3"/>
    <x v="5"/>
    <s v="Kochi"/>
    <x v="3"/>
    <x v="11"/>
    <x v="1"/>
    <s v="Net Banking"/>
    <n v="9"/>
    <n v="9135"/>
    <n v="6394.5"/>
    <n v="2740.5"/>
    <x v="5"/>
    <x v="0"/>
  </r>
  <r>
    <s v="ORD01080"/>
    <s v="2023-04-16"/>
    <x v="3"/>
    <x v="6"/>
    <s v="Hyderabad"/>
    <x v="1"/>
    <x v="5"/>
    <x v="1"/>
    <s v="UPI"/>
    <n v="8"/>
    <n v="39504"/>
    <n v="27652.799999999999"/>
    <n v="11851.2"/>
    <x v="11"/>
    <x v="1"/>
  </r>
  <r>
    <s v="ORD01081"/>
    <s v="2024-10-21"/>
    <x v="0"/>
    <x v="13"/>
    <s v="Kolkata"/>
    <x v="1"/>
    <x v="1"/>
    <x v="1"/>
    <s v="Debit Card"/>
    <n v="7"/>
    <n v="176134"/>
    <n v="123293.79999999999"/>
    <n v="52840.200000000012"/>
    <x v="5"/>
    <x v="0"/>
  </r>
  <r>
    <s v="ORD01082"/>
    <s v="2023-07-14"/>
    <x v="3"/>
    <x v="5"/>
    <s v="Kochi"/>
    <x v="0"/>
    <x v="0"/>
    <x v="0"/>
    <s v="Net Banking"/>
    <n v="2"/>
    <n v="99266"/>
    <n v="69486.2"/>
    <n v="29779.800000000003"/>
    <x v="0"/>
    <x v="1"/>
  </r>
  <r>
    <s v="ORD01083"/>
    <s v="2024-11-03"/>
    <x v="1"/>
    <x v="9"/>
    <s v="Kolhapur"/>
    <x v="0"/>
    <x v="10"/>
    <x v="2"/>
    <s v="UPI"/>
    <n v="5"/>
    <n v="200275"/>
    <n v="140192.5"/>
    <n v="60082.5"/>
    <x v="6"/>
    <x v="0"/>
  </r>
  <r>
    <s v="ORD01084"/>
    <s v="2024-08-22"/>
    <x v="0"/>
    <x v="0"/>
    <s v="Bhubaneswar"/>
    <x v="1"/>
    <x v="7"/>
    <x v="0"/>
    <s v="UPI"/>
    <n v="4"/>
    <n v="69048"/>
    <n v="48333.599999999999"/>
    <n v="20714.400000000001"/>
    <x v="4"/>
    <x v="0"/>
  </r>
  <r>
    <s v="ORD01085"/>
    <s v="2024-09-21"/>
    <x v="2"/>
    <x v="11"/>
    <s v="Lucknow"/>
    <x v="2"/>
    <x v="15"/>
    <x v="2"/>
    <s v="Debit Card"/>
    <n v="7"/>
    <n v="104958"/>
    <n v="73470.599999999991"/>
    <n v="31487.400000000009"/>
    <x v="10"/>
    <x v="0"/>
  </r>
  <r>
    <s v="ORD01086"/>
    <s v="2024-09-06"/>
    <x v="1"/>
    <x v="9"/>
    <s v="Kolhapur"/>
    <x v="0"/>
    <x v="0"/>
    <x v="0"/>
    <s v="Debit Card"/>
    <n v="2"/>
    <n v="45552"/>
    <n v="31886.399999999998"/>
    <n v="13665.600000000002"/>
    <x v="10"/>
    <x v="0"/>
  </r>
  <r>
    <s v="ORD01087"/>
    <s v="2023-12-13"/>
    <x v="1"/>
    <x v="8"/>
    <s v="Panaji"/>
    <x v="3"/>
    <x v="6"/>
    <x v="2"/>
    <s v="Credit Card"/>
    <n v="5"/>
    <n v="6445"/>
    <n v="4511.5"/>
    <n v="1933.5"/>
    <x v="7"/>
    <x v="1"/>
  </r>
  <r>
    <s v="ORD01088"/>
    <s v="2023-10-02"/>
    <x v="2"/>
    <x v="3"/>
    <s v="Ludhiana"/>
    <x v="0"/>
    <x v="4"/>
    <x v="0"/>
    <s v="Net Banking"/>
    <n v="1"/>
    <n v="42081"/>
    <n v="29456.699999999997"/>
    <n v="12624.300000000003"/>
    <x v="5"/>
    <x v="1"/>
  </r>
  <r>
    <s v="ORD01089"/>
    <s v="2024-05-22"/>
    <x v="3"/>
    <x v="7"/>
    <s v="Chennai"/>
    <x v="1"/>
    <x v="1"/>
    <x v="0"/>
    <s v="Debit Card"/>
    <n v="6"/>
    <n v="23724"/>
    <n v="16606.8"/>
    <n v="7117.2000000000007"/>
    <x v="9"/>
    <x v="0"/>
  </r>
  <r>
    <s v="ORD01090"/>
    <s v="2023-06-26"/>
    <x v="1"/>
    <x v="9"/>
    <s v="Pune"/>
    <x v="0"/>
    <x v="2"/>
    <x v="1"/>
    <s v="UPI"/>
    <n v="4"/>
    <n v="99008"/>
    <n v="69305.599999999991"/>
    <n v="29702.400000000009"/>
    <x v="3"/>
    <x v="1"/>
  </r>
  <r>
    <s v="ORD01091"/>
    <s v="2024-04-28"/>
    <x v="0"/>
    <x v="12"/>
    <s v="Patna"/>
    <x v="2"/>
    <x v="15"/>
    <x v="1"/>
    <s v="UPI"/>
    <n v="8"/>
    <n v="4696"/>
    <n v="3287.2"/>
    <n v="1408.8000000000002"/>
    <x v="11"/>
    <x v="0"/>
  </r>
  <r>
    <s v="ORD01092"/>
    <s v="2024-11-23"/>
    <x v="0"/>
    <x v="12"/>
    <s v="Patna"/>
    <x v="3"/>
    <x v="11"/>
    <x v="0"/>
    <s v="Credit Card"/>
    <n v="2"/>
    <n v="64312"/>
    <n v="45018.399999999994"/>
    <n v="19293.600000000006"/>
    <x v="6"/>
    <x v="0"/>
  </r>
  <r>
    <s v="ORD01093"/>
    <s v="2024-03-25"/>
    <x v="3"/>
    <x v="7"/>
    <s v="Chennai"/>
    <x v="0"/>
    <x v="0"/>
    <x v="2"/>
    <s v="Cash"/>
    <n v="7"/>
    <n v="18431"/>
    <n v="12901.699999999999"/>
    <n v="5529.3000000000011"/>
    <x v="2"/>
    <x v="0"/>
  </r>
  <r>
    <s v="ORD01094"/>
    <s v="2023-07-22"/>
    <x v="3"/>
    <x v="6"/>
    <s v="Hyderabad"/>
    <x v="0"/>
    <x v="0"/>
    <x v="1"/>
    <s v="Debit Card"/>
    <n v="10"/>
    <n v="40000"/>
    <n v="28000"/>
    <n v="12000"/>
    <x v="0"/>
    <x v="1"/>
  </r>
  <r>
    <s v="ORD01095"/>
    <s v="2023-01-02"/>
    <x v="3"/>
    <x v="10"/>
    <s v="Bangalore"/>
    <x v="2"/>
    <x v="14"/>
    <x v="0"/>
    <s v="Debit Card"/>
    <n v="10"/>
    <n v="466100"/>
    <n v="326270"/>
    <n v="139830"/>
    <x v="8"/>
    <x v="1"/>
  </r>
  <r>
    <s v="ORD01096"/>
    <s v="2024-05-10"/>
    <x v="1"/>
    <x v="1"/>
    <s v="Ahmedabad"/>
    <x v="0"/>
    <x v="0"/>
    <x v="0"/>
    <s v="UPI"/>
    <n v="6"/>
    <n v="95106"/>
    <n v="66574.2"/>
    <n v="28531.800000000003"/>
    <x v="9"/>
    <x v="0"/>
  </r>
  <r>
    <s v="ORD01097"/>
    <s v="2024-06-17"/>
    <x v="2"/>
    <x v="4"/>
    <s v="Gurgaon"/>
    <x v="2"/>
    <x v="12"/>
    <x v="2"/>
    <s v="UPI"/>
    <n v="5"/>
    <n v="199100"/>
    <n v="139370"/>
    <n v="59730"/>
    <x v="3"/>
    <x v="0"/>
  </r>
  <r>
    <s v="ORD01098"/>
    <s v="2023-10-26"/>
    <x v="0"/>
    <x v="13"/>
    <s v="Kolkata"/>
    <x v="1"/>
    <x v="5"/>
    <x v="0"/>
    <s v="UPI"/>
    <n v="1"/>
    <n v="17793"/>
    <n v="12455.099999999999"/>
    <n v="5337.9000000000015"/>
    <x v="5"/>
    <x v="1"/>
  </r>
  <r>
    <s v="ORD01099"/>
    <s v="2023-10-09"/>
    <x v="0"/>
    <x v="13"/>
    <s v="Kolkata"/>
    <x v="1"/>
    <x v="1"/>
    <x v="1"/>
    <s v="Debit Card"/>
    <n v="10"/>
    <n v="128180"/>
    <n v="89726"/>
    <n v="38454"/>
    <x v="5"/>
    <x v="1"/>
  </r>
  <r>
    <s v="ORD01100"/>
    <s v="2024-11-12"/>
    <x v="2"/>
    <x v="2"/>
    <s v="New Delhi"/>
    <x v="3"/>
    <x v="9"/>
    <x v="2"/>
    <s v="Debit Card"/>
    <n v="10"/>
    <n v="437810"/>
    <n v="306467"/>
    <n v="131343"/>
    <x v="6"/>
    <x v="0"/>
  </r>
  <r>
    <s v="ORD01101"/>
    <s v="2023-10-12"/>
    <x v="0"/>
    <x v="13"/>
    <s v="Kolkata"/>
    <x v="1"/>
    <x v="1"/>
    <x v="0"/>
    <s v="Debit Card"/>
    <n v="3"/>
    <n v="114480"/>
    <n v="80136"/>
    <n v="34344"/>
    <x v="5"/>
    <x v="1"/>
  </r>
  <r>
    <s v="ORD01102"/>
    <s v="2023-12-11"/>
    <x v="3"/>
    <x v="10"/>
    <s v="Bangalore"/>
    <x v="3"/>
    <x v="6"/>
    <x v="1"/>
    <s v="Credit Card"/>
    <n v="1"/>
    <n v="6167"/>
    <n v="4316.8999999999996"/>
    <n v="1850.1000000000004"/>
    <x v="7"/>
    <x v="1"/>
  </r>
  <r>
    <s v="ORD01103"/>
    <s v="2023-07-26"/>
    <x v="0"/>
    <x v="0"/>
    <s v="Bhubaneswar"/>
    <x v="3"/>
    <x v="13"/>
    <x v="0"/>
    <s v="Net Banking"/>
    <n v="4"/>
    <n v="152212"/>
    <n v="106548.4"/>
    <n v="45663.600000000006"/>
    <x v="0"/>
    <x v="1"/>
  </r>
  <r>
    <s v="ORD01104"/>
    <s v="2024-11-28"/>
    <x v="1"/>
    <x v="9"/>
    <s v="Kolhapur"/>
    <x v="0"/>
    <x v="10"/>
    <x v="1"/>
    <s v="Net Banking"/>
    <n v="3"/>
    <n v="66939"/>
    <n v="46857.299999999996"/>
    <n v="20081.700000000004"/>
    <x v="6"/>
    <x v="0"/>
  </r>
  <r>
    <s v="ORD01105"/>
    <s v="2024-02-12"/>
    <x v="0"/>
    <x v="0"/>
    <s v="Bhubaneswar"/>
    <x v="1"/>
    <x v="7"/>
    <x v="0"/>
    <s v="Cash"/>
    <n v="2"/>
    <n v="31726"/>
    <n v="22208.199999999997"/>
    <n v="9517.8000000000029"/>
    <x v="1"/>
    <x v="0"/>
  </r>
  <r>
    <s v="ORD01106"/>
    <s v="2024-02-06"/>
    <x v="0"/>
    <x v="0"/>
    <s v="Bhubaneswar"/>
    <x v="2"/>
    <x v="12"/>
    <x v="2"/>
    <s v="Credit Card"/>
    <n v="7"/>
    <n v="316792"/>
    <n v="221754.4"/>
    <n v="95037.6"/>
    <x v="1"/>
    <x v="0"/>
  </r>
  <r>
    <s v="ORD01107"/>
    <s v="2024-04-07"/>
    <x v="2"/>
    <x v="2"/>
    <s v="New Delhi"/>
    <x v="3"/>
    <x v="6"/>
    <x v="1"/>
    <s v="Debit Card"/>
    <n v="8"/>
    <n v="364520"/>
    <n v="255163.99999999997"/>
    <n v="109356.00000000003"/>
    <x v="11"/>
    <x v="0"/>
  </r>
  <r>
    <s v="ORD01108"/>
    <s v="2023-06-05"/>
    <x v="1"/>
    <x v="8"/>
    <s v="Panaji"/>
    <x v="2"/>
    <x v="15"/>
    <x v="0"/>
    <s v="UPI"/>
    <n v="8"/>
    <n v="216272"/>
    <n v="151390.39999999999"/>
    <n v="64881.600000000006"/>
    <x v="3"/>
    <x v="1"/>
  </r>
  <r>
    <s v="ORD01109"/>
    <s v="2023-03-27"/>
    <x v="2"/>
    <x v="3"/>
    <s v="Ludhiana"/>
    <x v="3"/>
    <x v="6"/>
    <x v="1"/>
    <s v="UPI"/>
    <n v="2"/>
    <n v="85912"/>
    <n v="60138.399999999994"/>
    <n v="25773.600000000006"/>
    <x v="2"/>
    <x v="1"/>
  </r>
  <r>
    <s v="ORD01110"/>
    <s v="2023-09-25"/>
    <x v="2"/>
    <x v="3"/>
    <s v="Ludhiana"/>
    <x v="2"/>
    <x v="12"/>
    <x v="1"/>
    <s v="Debit Card"/>
    <n v="4"/>
    <n v="28280"/>
    <n v="19796"/>
    <n v="8484"/>
    <x v="10"/>
    <x v="1"/>
  </r>
  <r>
    <s v="ORD01111"/>
    <s v="2023-11-17"/>
    <x v="1"/>
    <x v="9"/>
    <s v="Kolhapur"/>
    <x v="0"/>
    <x v="10"/>
    <x v="2"/>
    <s v="UPI"/>
    <n v="3"/>
    <n v="144429"/>
    <n v="101100.29999999999"/>
    <n v="43328.700000000012"/>
    <x v="6"/>
    <x v="1"/>
  </r>
  <r>
    <s v="ORD01112"/>
    <s v="2023-10-29"/>
    <x v="3"/>
    <x v="5"/>
    <s v="Kochi"/>
    <x v="2"/>
    <x v="14"/>
    <x v="0"/>
    <s v="Net Banking"/>
    <n v="2"/>
    <n v="59506"/>
    <n v="41654.199999999997"/>
    <n v="17851.800000000003"/>
    <x v="5"/>
    <x v="1"/>
  </r>
  <r>
    <s v="ORD01113"/>
    <s v="2023-06-23"/>
    <x v="0"/>
    <x v="12"/>
    <s v="Patna"/>
    <x v="2"/>
    <x v="12"/>
    <x v="2"/>
    <s v="Net Banking"/>
    <n v="10"/>
    <n v="173560"/>
    <n v="121491.99999999999"/>
    <n v="52068.000000000015"/>
    <x v="3"/>
    <x v="1"/>
  </r>
  <r>
    <s v="ORD01114"/>
    <s v="2023-11-04"/>
    <x v="2"/>
    <x v="4"/>
    <s v="Gurgaon"/>
    <x v="3"/>
    <x v="13"/>
    <x v="2"/>
    <s v="Debit Card"/>
    <n v="1"/>
    <n v="11637"/>
    <n v="8145.9"/>
    <n v="3491.1000000000004"/>
    <x v="6"/>
    <x v="1"/>
  </r>
  <r>
    <s v="ORD01115"/>
    <s v="2023-11-26"/>
    <x v="0"/>
    <x v="12"/>
    <s v="Patna"/>
    <x v="0"/>
    <x v="4"/>
    <x v="0"/>
    <s v="Cash"/>
    <n v="7"/>
    <n v="60732"/>
    <n v="42512.399999999994"/>
    <n v="18219.600000000006"/>
    <x v="6"/>
    <x v="1"/>
  </r>
  <r>
    <s v="ORD01116"/>
    <s v="2024-05-16"/>
    <x v="2"/>
    <x v="11"/>
    <s v="Lucknow"/>
    <x v="0"/>
    <x v="10"/>
    <x v="2"/>
    <s v="Debit Card"/>
    <n v="2"/>
    <n v="65752"/>
    <n v="46026.399999999994"/>
    <n v="19725.600000000006"/>
    <x v="9"/>
    <x v="0"/>
  </r>
  <r>
    <s v="ORD01117"/>
    <s v="2024-06-27"/>
    <x v="1"/>
    <x v="1"/>
    <s v="Ahmedabad"/>
    <x v="1"/>
    <x v="7"/>
    <x v="1"/>
    <s v="Cash"/>
    <n v="9"/>
    <n v="331371"/>
    <n v="231959.69999999998"/>
    <n v="99411.300000000017"/>
    <x v="3"/>
    <x v="0"/>
  </r>
  <r>
    <s v="ORD01118"/>
    <s v="2023-07-10"/>
    <x v="2"/>
    <x v="2"/>
    <s v="New Delhi"/>
    <x v="1"/>
    <x v="1"/>
    <x v="2"/>
    <s v="Credit Card"/>
    <n v="3"/>
    <n v="33822"/>
    <n v="23675.399999999998"/>
    <n v="10146.600000000002"/>
    <x v="0"/>
    <x v="1"/>
  </r>
  <r>
    <s v="ORD01119"/>
    <s v="2024-03-02"/>
    <x v="3"/>
    <x v="10"/>
    <s v="Bangalore"/>
    <x v="0"/>
    <x v="0"/>
    <x v="2"/>
    <s v="UPI"/>
    <n v="3"/>
    <n v="112521"/>
    <n v="78764.7"/>
    <n v="33756.300000000003"/>
    <x v="2"/>
    <x v="0"/>
  </r>
  <r>
    <s v="ORD01120"/>
    <s v="2024-01-29"/>
    <x v="1"/>
    <x v="8"/>
    <s v="Panaji"/>
    <x v="0"/>
    <x v="10"/>
    <x v="2"/>
    <s v="Cash"/>
    <n v="8"/>
    <n v="228848"/>
    <n v="160193.59999999998"/>
    <n v="68654.400000000023"/>
    <x v="8"/>
    <x v="0"/>
  </r>
  <r>
    <s v="ORD01121"/>
    <s v="2024-04-20"/>
    <x v="0"/>
    <x v="0"/>
    <s v="Bhubaneswar"/>
    <x v="3"/>
    <x v="13"/>
    <x v="2"/>
    <s v="Debit Card"/>
    <n v="9"/>
    <n v="122130"/>
    <n v="85491"/>
    <n v="36639"/>
    <x v="11"/>
    <x v="0"/>
  </r>
  <r>
    <s v="ORD01122"/>
    <s v="2024-05-14"/>
    <x v="3"/>
    <x v="6"/>
    <s v="Hyderabad"/>
    <x v="0"/>
    <x v="0"/>
    <x v="1"/>
    <s v="Net Banking"/>
    <n v="7"/>
    <n v="110768"/>
    <n v="77537.599999999991"/>
    <n v="33230.400000000009"/>
    <x v="9"/>
    <x v="0"/>
  </r>
  <r>
    <s v="ORD01123"/>
    <s v="2023-01-19"/>
    <x v="0"/>
    <x v="12"/>
    <s v="Patna"/>
    <x v="2"/>
    <x v="12"/>
    <x v="2"/>
    <s v="Cash"/>
    <n v="10"/>
    <n v="232670"/>
    <n v="162869"/>
    <n v="69801"/>
    <x v="8"/>
    <x v="1"/>
  </r>
  <r>
    <s v="ORD01124"/>
    <s v="2024-07-07"/>
    <x v="2"/>
    <x v="4"/>
    <s v="Gurgaon"/>
    <x v="2"/>
    <x v="12"/>
    <x v="1"/>
    <s v="UPI"/>
    <n v="5"/>
    <n v="59845"/>
    <n v="41891.5"/>
    <n v="17953.5"/>
    <x v="0"/>
    <x v="0"/>
  </r>
  <r>
    <s v="ORD01125"/>
    <s v="2023-02-03"/>
    <x v="1"/>
    <x v="9"/>
    <s v="Pune"/>
    <x v="0"/>
    <x v="10"/>
    <x v="1"/>
    <s v="Credit Card"/>
    <n v="7"/>
    <n v="123326"/>
    <n v="86328.2"/>
    <n v="36997.800000000003"/>
    <x v="1"/>
    <x v="1"/>
  </r>
  <r>
    <s v="ORD01126"/>
    <s v="2023-10-14"/>
    <x v="1"/>
    <x v="1"/>
    <s v="Ahmedabad"/>
    <x v="1"/>
    <x v="8"/>
    <x v="1"/>
    <s v="Cash"/>
    <n v="4"/>
    <n v="82064"/>
    <n v="57444.799999999996"/>
    <n v="24619.200000000004"/>
    <x v="5"/>
    <x v="1"/>
  </r>
  <r>
    <s v="ORD01127"/>
    <s v="2024-03-03"/>
    <x v="1"/>
    <x v="9"/>
    <s v="Kolhapur"/>
    <x v="3"/>
    <x v="9"/>
    <x v="2"/>
    <s v="UPI"/>
    <n v="1"/>
    <n v="12389"/>
    <n v="8672.2999999999993"/>
    <n v="3716.7000000000007"/>
    <x v="2"/>
    <x v="0"/>
  </r>
  <r>
    <s v="ORD01128"/>
    <s v="2024-06-16"/>
    <x v="1"/>
    <x v="9"/>
    <s v="Kolhapur"/>
    <x v="1"/>
    <x v="5"/>
    <x v="0"/>
    <s v="Credit Card"/>
    <n v="9"/>
    <n v="353853"/>
    <n v="247697.09999999998"/>
    <n v="106155.90000000002"/>
    <x v="3"/>
    <x v="0"/>
  </r>
  <r>
    <s v="ORD01129"/>
    <s v="2023-02-03"/>
    <x v="3"/>
    <x v="5"/>
    <s v="Kochi"/>
    <x v="0"/>
    <x v="0"/>
    <x v="0"/>
    <s v="Cash"/>
    <n v="3"/>
    <n v="141414"/>
    <n v="98989.799999999988"/>
    <n v="42424.200000000012"/>
    <x v="1"/>
    <x v="1"/>
  </r>
  <r>
    <s v="ORD01130"/>
    <s v="2023-05-17"/>
    <x v="0"/>
    <x v="14"/>
    <s v="Guwahati"/>
    <x v="3"/>
    <x v="13"/>
    <x v="0"/>
    <s v="Cash"/>
    <n v="10"/>
    <n v="388540"/>
    <n v="271978"/>
    <n v="116562"/>
    <x v="9"/>
    <x v="1"/>
  </r>
  <r>
    <s v="ORD01131"/>
    <s v="2023-05-08"/>
    <x v="1"/>
    <x v="8"/>
    <s v="Panaji"/>
    <x v="1"/>
    <x v="1"/>
    <x v="1"/>
    <s v="Cash"/>
    <n v="4"/>
    <n v="36600"/>
    <n v="25620"/>
    <n v="10980"/>
    <x v="9"/>
    <x v="1"/>
  </r>
  <r>
    <s v="ORD01132"/>
    <s v="2023-06-24"/>
    <x v="0"/>
    <x v="14"/>
    <s v="Guwahati"/>
    <x v="1"/>
    <x v="7"/>
    <x v="2"/>
    <s v="Credit Card"/>
    <n v="8"/>
    <n v="211520"/>
    <n v="148064"/>
    <n v="63456"/>
    <x v="3"/>
    <x v="1"/>
  </r>
  <r>
    <s v="ORD01133"/>
    <s v="2024-02-28"/>
    <x v="3"/>
    <x v="10"/>
    <s v="Bangalore"/>
    <x v="0"/>
    <x v="0"/>
    <x v="0"/>
    <s v="Credit Card"/>
    <n v="10"/>
    <n v="186610"/>
    <n v="130626.99999999999"/>
    <n v="55983.000000000015"/>
    <x v="1"/>
    <x v="0"/>
  </r>
  <r>
    <s v="ORD01134"/>
    <s v="2023-02-07"/>
    <x v="3"/>
    <x v="10"/>
    <s v="Bangalore"/>
    <x v="1"/>
    <x v="1"/>
    <x v="1"/>
    <s v="Cash"/>
    <n v="2"/>
    <n v="67302"/>
    <n v="47111.399999999994"/>
    <n v="20190.600000000006"/>
    <x v="1"/>
    <x v="1"/>
  </r>
  <r>
    <s v="ORD01135"/>
    <s v="2024-08-30"/>
    <x v="1"/>
    <x v="9"/>
    <s v="Kolhapur"/>
    <x v="1"/>
    <x v="7"/>
    <x v="1"/>
    <s v="Debit Card"/>
    <n v="6"/>
    <n v="101424"/>
    <n v="70996.799999999988"/>
    <n v="30427.200000000012"/>
    <x v="4"/>
    <x v="0"/>
  </r>
  <r>
    <s v="ORD01136"/>
    <s v="2023-12-08"/>
    <x v="0"/>
    <x v="0"/>
    <s v="Bhubaneswar"/>
    <x v="3"/>
    <x v="9"/>
    <x v="0"/>
    <s v="Credit Card"/>
    <n v="7"/>
    <n v="187257"/>
    <n v="131079.9"/>
    <n v="56177.100000000006"/>
    <x v="7"/>
    <x v="1"/>
  </r>
  <r>
    <s v="ORD01137"/>
    <s v="2023-05-14"/>
    <x v="1"/>
    <x v="1"/>
    <s v="Ahmedabad"/>
    <x v="3"/>
    <x v="9"/>
    <x v="0"/>
    <s v="Net Banking"/>
    <n v="4"/>
    <n v="83924"/>
    <n v="58746.799999999996"/>
    <n v="25177.200000000004"/>
    <x v="9"/>
    <x v="1"/>
  </r>
  <r>
    <s v="ORD01138"/>
    <s v="2024-02-07"/>
    <x v="0"/>
    <x v="13"/>
    <s v="Kolkata"/>
    <x v="1"/>
    <x v="7"/>
    <x v="1"/>
    <s v="UPI"/>
    <n v="5"/>
    <n v="234000"/>
    <n v="163800"/>
    <n v="70200"/>
    <x v="1"/>
    <x v="0"/>
  </r>
  <r>
    <s v="ORD01139"/>
    <s v="2023-11-13"/>
    <x v="3"/>
    <x v="5"/>
    <s v="Kochi"/>
    <x v="2"/>
    <x v="12"/>
    <x v="2"/>
    <s v="Debit Card"/>
    <n v="3"/>
    <n v="120963"/>
    <n v="84674.099999999991"/>
    <n v="36288.900000000009"/>
    <x v="6"/>
    <x v="1"/>
  </r>
  <r>
    <s v="ORD01140"/>
    <s v="2024-07-07"/>
    <x v="2"/>
    <x v="11"/>
    <s v="Lucknow"/>
    <x v="0"/>
    <x v="2"/>
    <x v="0"/>
    <s v="UPI"/>
    <n v="10"/>
    <n v="177280"/>
    <n v="124095.99999999999"/>
    <n v="53184.000000000015"/>
    <x v="0"/>
    <x v="0"/>
  </r>
  <r>
    <s v="ORD01141"/>
    <s v="2024-02-27"/>
    <x v="2"/>
    <x v="3"/>
    <s v="Ludhiana"/>
    <x v="1"/>
    <x v="8"/>
    <x v="1"/>
    <s v="UPI"/>
    <n v="3"/>
    <n v="135663"/>
    <n v="94964.099999999991"/>
    <n v="40698.900000000009"/>
    <x v="1"/>
    <x v="0"/>
  </r>
  <r>
    <s v="ORD01142"/>
    <s v="2024-06-09"/>
    <x v="1"/>
    <x v="1"/>
    <s v="Ahmedabad"/>
    <x v="3"/>
    <x v="9"/>
    <x v="2"/>
    <s v="Net Banking"/>
    <n v="4"/>
    <n v="77020"/>
    <n v="53914"/>
    <n v="23106"/>
    <x v="3"/>
    <x v="0"/>
  </r>
  <r>
    <s v="ORD01143"/>
    <s v="2024-10-06"/>
    <x v="0"/>
    <x v="14"/>
    <s v="Guwahati"/>
    <x v="2"/>
    <x v="14"/>
    <x v="0"/>
    <s v="UPI"/>
    <n v="7"/>
    <n v="150934"/>
    <n v="105653.79999999999"/>
    <n v="45280.200000000012"/>
    <x v="5"/>
    <x v="0"/>
  </r>
  <r>
    <s v="ORD01144"/>
    <s v="2024-08-31"/>
    <x v="1"/>
    <x v="8"/>
    <s v="Panaji"/>
    <x v="2"/>
    <x v="3"/>
    <x v="1"/>
    <s v="Debit Card"/>
    <n v="6"/>
    <n v="83250"/>
    <n v="58274.999999999993"/>
    <n v="24975.000000000007"/>
    <x v="4"/>
    <x v="0"/>
  </r>
  <r>
    <s v="ORD01145"/>
    <s v="2023-04-29"/>
    <x v="1"/>
    <x v="1"/>
    <s v="Ahmedabad"/>
    <x v="0"/>
    <x v="4"/>
    <x v="0"/>
    <s v="Credit Card"/>
    <n v="6"/>
    <n v="253944"/>
    <n v="177760.8"/>
    <n v="76183.200000000012"/>
    <x v="11"/>
    <x v="1"/>
  </r>
  <r>
    <s v="ORD01146"/>
    <s v="2023-10-02"/>
    <x v="1"/>
    <x v="1"/>
    <s v="Ahmedabad"/>
    <x v="0"/>
    <x v="2"/>
    <x v="1"/>
    <s v="UPI"/>
    <n v="7"/>
    <n v="289947"/>
    <n v="202962.9"/>
    <n v="86984.1"/>
    <x v="5"/>
    <x v="1"/>
  </r>
  <r>
    <s v="ORD01147"/>
    <s v="2024-11-08"/>
    <x v="2"/>
    <x v="11"/>
    <s v="Lucknow"/>
    <x v="0"/>
    <x v="10"/>
    <x v="1"/>
    <s v="Debit Card"/>
    <n v="1"/>
    <n v="7312"/>
    <n v="5118.3999999999996"/>
    <n v="2193.6000000000004"/>
    <x v="6"/>
    <x v="0"/>
  </r>
  <r>
    <s v="ORD01148"/>
    <s v="2024-07-27"/>
    <x v="2"/>
    <x v="11"/>
    <s v="Lucknow"/>
    <x v="0"/>
    <x v="10"/>
    <x v="1"/>
    <s v="Credit Card"/>
    <n v="8"/>
    <n v="281704"/>
    <n v="197192.8"/>
    <n v="84511.200000000012"/>
    <x v="0"/>
    <x v="0"/>
  </r>
  <r>
    <s v="ORD01149"/>
    <s v="2024-08-24"/>
    <x v="1"/>
    <x v="9"/>
    <s v="Kolhapur"/>
    <x v="2"/>
    <x v="3"/>
    <x v="2"/>
    <s v="UPI"/>
    <n v="4"/>
    <n v="43832"/>
    <n v="30682.399999999998"/>
    <n v="13149.600000000002"/>
    <x v="4"/>
    <x v="0"/>
  </r>
  <r>
    <s v="ORD01150"/>
    <s v="2023-05-30"/>
    <x v="0"/>
    <x v="14"/>
    <s v="Guwahati"/>
    <x v="3"/>
    <x v="13"/>
    <x v="1"/>
    <s v="Debit Card"/>
    <n v="5"/>
    <n v="49045"/>
    <n v="34331.5"/>
    <n v="14713.5"/>
    <x v="9"/>
    <x v="1"/>
  </r>
  <r>
    <s v="ORD01151"/>
    <s v="2023-07-23"/>
    <x v="0"/>
    <x v="14"/>
    <s v="Guwahati"/>
    <x v="0"/>
    <x v="2"/>
    <x v="2"/>
    <s v="Credit Card"/>
    <n v="3"/>
    <n v="80931"/>
    <n v="56651.7"/>
    <n v="24279.300000000003"/>
    <x v="0"/>
    <x v="1"/>
  </r>
  <r>
    <s v="ORD01152"/>
    <s v="2024-12-01"/>
    <x v="1"/>
    <x v="9"/>
    <s v="Pune"/>
    <x v="1"/>
    <x v="7"/>
    <x v="0"/>
    <s v="Credit Card"/>
    <n v="4"/>
    <n v="192716"/>
    <n v="134901.19999999998"/>
    <n v="57814.800000000017"/>
    <x v="7"/>
    <x v="0"/>
  </r>
  <r>
    <s v="ORD01153"/>
    <s v="2024-05-20"/>
    <x v="1"/>
    <x v="9"/>
    <s v="Pune"/>
    <x v="3"/>
    <x v="9"/>
    <x v="0"/>
    <s v="Cash"/>
    <n v="10"/>
    <n v="301310"/>
    <n v="210917"/>
    <n v="90393"/>
    <x v="9"/>
    <x v="0"/>
  </r>
  <r>
    <s v="ORD01154"/>
    <s v="2023-05-17"/>
    <x v="3"/>
    <x v="6"/>
    <s v="Hyderabad"/>
    <x v="3"/>
    <x v="6"/>
    <x v="1"/>
    <s v="Credit Card"/>
    <n v="7"/>
    <n v="323071"/>
    <n v="226149.69999999998"/>
    <n v="96921.300000000017"/>
    <x v="9"/>
    <x v="1"/>
  </r>
  <r>
    <s v="ORD01155"/>
    <s v="2024-08-07"/>
    <x v="1"/>
    <x v="8"/>
    <s v="Panaji"/>
    <x v="0"/>
    <x v="2"/>
    <x v="2"/>
    <s v="Credit Card"/>
    <n v="4"/>
    <n v="182028"/>
    <n v="127419.59999999999"/>
    <n v="54608.400000000009"/>
    <x v="4"/>
    <x v="0"/>
  </r>
  <r>
    <s v="ORD01156"/>
    <s v="2024-04-02"/>
    <x v="3"/>
    <x v="10"/>
    <s v="Bangalore"/>
    <x v="3"/>
    <x v="13"/>
    <x v="0"/>
    <s v="Net Banking"/>
    <n v="5"/>
    <n v="242260"/>
    <n v="169582"/>
    <n v="72678"/>
    <x v="11"/>
    <x v="0"/>
  </r>
  <r>
    <s v="ORD01157"/>
    <s v="2023-10-25"/>
    <x v="2"/>
    <x v="11"/>
    <s v="Lucknow"/>
    <x v="0"/>
    <x v="0"/>
    <x v="2"/>
    <s v="Net Banking"/>
    <n v="9"/>
    <n v="352566"/>
    <n v="246796.19999999998"/>
    <n v="105769.80000000002"/>
    <x v="5"/>
    <x v="1"/>
  </r>
  <r>
    <s v="ORD01158"/>
    <s v="2023-01-03"/>
    <x v="2"/>
    <x v="3"/>
    <s v="Ludhiana"/>
    <x v="3"/>
    <x v="11"/>
    <x v="1"/>
    <s v="UPI"/>
    <n v="1"/>
    <n v="26226"/>
    <n v="18358.199999999997"/>
    <n v="7867.8000000000029"/>
    <x v="8"/>
    <x v="1"/>
  </r>
  <r>
    <s v="ORD01159"/>
    <s v="2024-11-01"/>
    <x v="2"/>
    <x v="3"/>
    <s v="Ludhiana"/>
    <x v="3"/>
    <x v="13"/>
    <x v="2"/>
    <s v="Net Banking"/>
    <n v="3"/>
    <n v="9978"/>
    <n v="6984.5999999999995"/>
    <n v="2993.4000000000005"/>
    <x v="6"/>
    <x v="0"/>
  </r>
  <r>
    <s v="ORD01160"/>
    <s v="2024-01-06"/>
    <x v="0"/>
    <x v="0"/>
    <s v="Bhubaneswar"/>
    <x v="1"/>
    <x v="7"/>
    <x v="2"/>
    <s v="Net Banking"/>
    <n v="6"/>
    <n v="213990"/>
    <n v="149793"/>
    <n v="64197"/>
    <x v="8"/>
    <x v="0"/>
  </r>
  <r>
    <s v="ORD01161"/>
    <s v="2024-07-19"/>
    <x v="2"/>
    <x v="4"/>
    <s v="Gurgaon"/>
    <x v="0"/>
    <x v="4"/>
    <x v="0"/>
    <s v="Debit Card"/>
    <n v="2"/>
    <n v="5504"/>
    <n v="3852.7999999999997"/>
    <n v="1651.2000000000003"/>
    <x v="0"/>
    <x v="0"/>
  </r>
  <r>
    <s v="ORD01162"/>
    <s v="2023-02-11"/>
    <x v="1"/>
    <x v="9"/>
    <s v="Pune"/>
    <x v="0"/>
    <x v="2"/>
    <x v="1"/>
    <s v="Cash"/>
    <n v="6"/>
    <n v="8526"/>
    <n v="5968.2"/>
    <n v="2557.8000000000002"/>
    <x v="1"/>
    <x v="1"/>
  </r>
  <r>
    <s v="ORD01163"/>
    <s v="2023-04-02"/>
    <x v="3"/>
    <x v="7"/>
    <s v="Chennai"/>
    <x v="2"/>
    <x v="14"/>
    <x v="1"/>
    <s v="Debit Card"/>
    <n v="9"/>
    <n v="351963"/>
    <n v="246374.09999999998"/>
    <n v="105588.90000000002"/>
    <x v="11"/>
    <x v="1"/>
  </r>
  <r>
    <s v="ORD01164"/>
    <s v="2023-03-26"/>
    <x v="0"/>
    <x v="13"/>
    <s v="Kolkata"/>
    <x v="2"/>
    <x v="3"/>
    <x v="1"/>
    <s v="Credit Card"/>
    <n v="1"/>
    <n v="4734"/>
    <n v="3313.7999999999997"/>
    <n v="1420.2000000000003"/>
    <x v="2"/>
    <x v="1"/>
  </r>
  <r>
    <s v="ORD01165"/>
    <s v="2023-08-21"/>
    <x v="2"/>
    <x v="4"/>
    <s v="Gurgaon"/>
    <x v="0"/>
    <x v="4"/>
    <x v="2"/>
    <s v="Net Banking"/>
    <n v="4"/>
    <n v="154516"/>
    <n v="108161.2"/>
    <n v="46354.8"/>
    <x v="4"/>
    <x v="1"/>
  </r>
  <r>
    <s v="ORD01166"/>
    <s v="2023-06-23"/>
    <x v="1"/>
    <x v="1"/>
    <s v="Ahmedabad"/>
    <x v="2"/>
    <x v="3"/>
    <x v="2"/>
    <s v="Credit Card"/>
    <n v="7"/>
    <n v="321321"/>
    <n v="224924.69999999998"/>
    <n v="96396.300000000017"/>
    <x v="3"/>
    <x v="1"/>
  </r>
  <r>
    <s v="ORD01167"/>
    <s v="2024-08-27"/>
    <x v="3"/>
    <x v="7"/>
    <s v="Chennai"/>
    <x v="3"/>
    <x v="6"/>
    <x v="0"/>
    <s v="Cash"/>
    <n v="3"/>
    <n v="15057"/>
    <n v="10539.9"/>
    <n v="4517.1000000000004"/>
    <x v="4"/>
    <x v="0"/>
  </r>
  <r>
    <s v="ORD01168"/>
    <s v="2024-08-16"/>
    <x v="3"/>
    <x v="5"/>
    <s v="Kochi"/>
    <x v="1"/>
    <x v="5"/>
    <x v="2"/>
    <s v="Debit Card"/>
    <n v="10"/>
    <n v="89780"/>
    <n v="62845.999999999993"/>
    <n v="26934.000000000007"/>
    <x v="4"/>
    <x v="0"/>
  </r>
  <r>
    <s v="ORD01169"/>
    <s v="2023-09-29"/>
    <x v="0"/>
    <x v="0"/>
    <s v="Bhubaneswar"/>
    <x v="3"/>
    <x v="9"/>
    <x v="1"/>
    <s v="Debit Card"/>
    <n v="4"/>
    <n v="5616"/>
    <n v="3931.2"/>
    <n v="1684.8000000000002"/>
    <x v="10"/>
    <x v="1"/>
  </r>
  <r>
    <s v="ORD01170"/>
    <s v="2023-07-24"/>
    <x v="0"/>
    <x v="13"/>
    <s v="Kolkata"/>
    <x v="2"/>
    <x v="15"/>
    <x v="1"/>
    <s v="UPI"/>
    <n v="8"/>
    <n v="33608"/>
    <n v="23525.599999999999"/>
    <n v="10082.400000000001"/>
    <x v="0"/>
    <x v="1"/>
  </r>
  <r>
    <s v="ORD01171"/>
    <s v="2023-05-24"/>
    <x v="1"/>
    <x v="9"/>
    <s v="Kolhapur"/>
    <x v="0"/>
    <x v="0"/>
    <x v="0"/>
    <s v="Credit Card"/>
    <n v="9"/>
    <n v="333333"/>
    <n v="233333.09999999998"/>
    <n v="99999.900000000023"/>
    <x v="9"/>
    <x v="1"/>
  </r>
  <r>
    <s v="ORD01172"/>
    <s v="2023-04-27"/>
    <x v="1"/>
    <x v="8"/>
    <s v="Panaji"/>
    <x v="3"/>
    <x v="11"/>
    <x v="1"/>
    <s v="UPI"/>
    <n v="6"/>
    <n v="242142"/>
    <n v="169499.4"/>
    <n v="72642.600000000006"/>
    <x v="11"/>
    <x v="1"/>
  </r>
  <r>
    <s v="ORD01173"/>
    <s v="2023-04-20"/>
    <x v="2"/>
    <x v="11"/>
    <s v="Lucknow"/>
    <x v="1"/>
    <x v="1"/>
    <x v="1"/>
    <s v="Credit Card"/>
    <n v="1"/>
    <n v="24081"/>
    <n v="16856.7"/>
    <n v="7224.2999999999993"/>
    <x v="11"/>
    <x v="1"/>
  </r>
  <r>
    <s v="ORD01174"/>
    <s v="2024-02-11"/>
    <x v="2"/>
    <x v="11"/>
    <s v="Lucknow"/>
    <x v="0"/>
    <x v="2"/>
    <x v="0"/>
    <s v="Cash"/>
    <n v="9"/>
    <n v="183960"/>
    <n v="128771.99999999999"/>
    <n v="55188.000000000015"/>
    <x v="1"/>
    <x v="0"/>
  </r>
  <r>
    <s v="ORD01175"/>
    <s v="2024-11-14"/>
    <x v="0"/>
    <x v="0"/>
    <s v="Bhubaneswar"/>
    <x v="1"/>
    <x v="7"/>
    <x v="2"/>
    <s v="Cash"/>
    <n v="6"/>
    <n v="97530"/>
    <n v="68271"/>
    <n v="29259"/>
    <x v="6"/>
    <x v="0"/>
  </r>
  <r>
    <s v="ORD01176"/>
    <s v="2023-07-02"/>
    <x v="0"/>
    <x v="0"/>
    <s v="Bhubaneswar"/>
    <x v="0"/>
    <x v="10"/>
    <x v="1"/>
    <s v="Cash"/>
    <n v="4"/>
    <n v="174872"/>
    <n v="122410.4"/>
    <n v="52461.600000000006"/>
    <x v="0"/>
    <x v="1"/>
  </r>
  <r>
    <s v="ORD01177"/>
    <s v="2024-05-29"/>
    <x v="0"/>
    <x v="0"/>
    <s v="Bhubaneswar"/>
    <x v="2"/>
    <x v="15"/>
    <x v="1"/>
    <s v="UPI"/>
    <n v="9"/>
    <n v="320985"/>
    <n v="224689.5"/>
    <n v="96295.5"/>
    <x v="9"/>
    <x v="0"/>
  </r>
  <r>
    <s v="ORD01178"/>
    <s v="2024-08-24"/>
    <x v="0"/>
    <x v="14"/>
    <s v="Guwahati"/>
    <x v="3"/>
    <x v="11"/>
    <x v="1"/>
    <s v="Net Banking"/>
    <n v="10"/>
    <n v="454410"/>
    <n v="318087"/>
    <n v="136323"/>
    <x v="4"/>
    <x v="0"/>
  </r>
  <r>
    <s v="ORD01179"/>
    <s v="2023-03-21"/>
    <x v="2"/>
    <x v="3"/>
    <s v="Ludhiana"/>
    <x v="1"/>
    <x v="7"/>
    <x v="0"/>
    <s v="Credit Card"/>
    <n v="6"/>
    <n v="21360"/>
    <n v="14951.999999999998"/>
    <n v="6408.0000000000018"/>
    <x v="2"/>
    <x v="1"/>
  </r>
  <r>
    <s v="ORD01180"/>
    <s v="2023-12-03"/>
    <x v="1"/>
    <x v="9"/>
    <s v="Kolhapur"/>
    <x v="2"/>
    <x v="12"/>
    <x v="0"/>
    <s v="Credit Card"/>
    <n v="10"/>
    <n v="277290"/>
    <n v="194103"/>
    <n v="83187"/>
    <x v="7"/>
    <x v="1"/>
  </r>
  <r>
    <s v="ORD01181"/>
    <s v="2024-07-22"/>
    <x v="3"/>
    <x v="7"/>
    <s v="Chennai"/>
    <x v="2"/>
    <x v="15"/>
    <x v="1"/>
    <s v="Net Banking"/>
    <n v="3"/>
    <n v="120666"/>
    <n v="84466.2"/>
    <n v="36199.800000000003"/>
    <x v="0"/>
    <x v="0"/>
  </r>
  <r>
    <s v="ORD01182"/>
    <s v="2023-03-06"/>
    <x v="2"/>
    <x v="2"/>
    <s v="New Delhi"/>
    <x v="3"/>
    <x v="11"/>
    <x v="1"/>
    <s v="Credit Card"/>
    <n v="3"/>
    <n v="134172"/>
    <n v="93920.4"/>
    <n v="40251.600000000006"/>
    <x v="2"/>
    <x v="1"/>
  </r>
  <r>
    <s v="ORD01183"/>
    <s v="2023-05-01"/>
    <x v="3"/>
    <x v="6"/>
    <s v="Hyderabad"/>
    <x v="3"/>
    <x v="11"/>
    <x v="1"/>
    <s v="Cash"/>
    <n v="1"/>
    <n v="39950"/>
    <n v="27965"/>
    <n v="11985"/>
    <x v="9"/>
    <x v="1"/>
  </r>
  <r>
    <s v="ORD01184"/>
    <s v="2024-05-29"/>
    <x v="1"/>
    <x v="9"/>
    <s v="Kolhapur"/>
    <x v="3"/>
    <x v="13"/>
    <x v="2"/>
    <s v="Cash"/>
    <n v="6"/>
    <n v="199602"/>
    <n v="139721.4"/>
    <n v="59880.600000000006"/>
    <x v="9"/>
    <x v="0"/>
  </r>
  <r>
    <s v="ORD01185"/>
    <s v="2024-01-22"/>
    <x v="1"/>
    <x v="8"/>
    <s v="Panaji"/>
    <x v="3"/>
    <x v="9"/>
    <x v="0"/>
    <s v="UPI"/>
    <n v="8"/>
    <n v="72136"/>
    <n v="50495.199999999997"/>
    <n v="21640.800000000003"/>
    <x v="8"/>
    <x v="0"/>
  </r>
  <r>
    <s v="ORD01186"/>
    <s v="2023-07-18"/>
    <x v="2"/>
    <x v="11"/>
    <s v="Lucknow"/>
    <x v="1"/>
    <x v="5"/>
    <x v="2"/>
    <s v="Net Banking"/>
    <n v="5"/>
    <n v="120970"/>
    <n v="84679"/>
    <n v="36291"/>
    <x v="0"/>
    <x v="1"/>
  </r>
  <r>
    <s v="ORD01187"/>
    <s v="2023-05-04"/>
    <x v="2"/>
    <x v="3"/>
    <s v="Ludhiana"/>
    <x v="0"/>
    <x v="0"/>
    <x v="2"/>
    <s v="UPI"/>
    <n v="7"/>
    <n v="124278"/>
    <n v="86994.599999999991"/>
    <n v="37283.400000000009"/>
    <x v="9"/>
    <x v="1"/>
  </r>
  <r>
    <s v="ORD01188"/>
    <s v="2023-05-08"/>
    <x v="0"/>
    <x v="14"/>
    <s v="Guwahati"/>
    <x v="3"/>
    <x v="13"/>
    <x v="0"/>
    <s v="Cash"/>
    <n v="6"/>
    <n v="87900"/>
    <n v="61529.999999999993"/>
    <n v="26370.000000000007"/>
    <x v="9"/>
    <x v="1"/>
  </r>
  <r>
    <s v="ORD01189"/>
    <s v="2024-02-23"/>
    <x v="0"/>
    <x v="0"/>
    <s v="Bhubaneswar"/>
    <x v="2"/>
    <x v="14"/>
    <x v="2"/>
    <s v="Credit Card"/>
    <n v="7"/>
    <n v="114023"/>
    <n v="79816.099999999991"/>
    <n v="34206.900000000009"/>
    <x v="1"/>
    <x v="0"/>
  </r>
  <r>
    <s v="ORD01190"/>
    <s v="2024-05-18"/>
    <x v="0"/>
    <x v="0"/>
    <s v="Bhubaneswar"/>
    <x v="1"/>
    <x v="8"/>
    <x v="0"/>
    <s v="UPI"/>
    <n v="7"/>
    <n v="274008"/>
    <n v="191805.59999999998"/>
    <n v="82202.400000000023"/>
    <x v="9"/>
    <x v="0"/>
  </r>
  <r>
    <s v="ORD01191"/>
    <s v="2023-03-18"/>
    <x v="1"/>
    <x v="9"/>
    <s v="Kolhapur"/>
    <x v="2"/>
    <x v="3"/>
    <x v="2"/>
    <s v="Credit Card"/>
    <n v="9"/>
    <n v="338220"/>
    <n v="236753.99999999997"/>
    <n v="101466.00000000003"/>
    <x v="2"/>
    <x v="1"/>
  </r>
  <r>
    <s v="ORD01192"/>
    <s v="2023-05-13"/>
    <x v="0"/>
    <x v="14"/>
    <s v="Guwahati"/>
    <x v="0"/>
    <x v="10"/>
    <x v="2"/>
    <s v="Net Banking"/>
    <n v="2"/>
    <n v="39488"/>
    <n v="27641.599999999999"/>
    <n v="11846.400000000001"/>
    <x v="9"/>
    <x v="1"/>
  </r>
  <r>
    <s v="ORD01193"/>
    <s v="2023-04-19"/>
    <x v="1"/>
    <x v="9"/>
    <s v="Kolhapur"/>
    <x v="2"/>
    <x v="3"/>
    <x v="0"/>
    <s v="Net Banking"/>
    <n v="1"/>
    <n v="32112"/>
    <n v="22478.399999999998"/>
    <n v="9633.6000000000022"/>
    <x v="11"/>
    <x v="1"/>
  </r>
  <r>
    <s v="ORD01194"/>
    <s v="2023-04-06"/>
    <x v="3"/>
    <x v="7"/>
    <s v="Chennai"/>
    <x v="3"/>
    <x v="13"/>
    <x v="1"/>
    <s v="UPI"/>
    <n v="1"/>
    <n v="18995"/>
    <n v="13296.5"/>
    <n v="5698.5"/>
    <x v="11"/>
    <x v="1"/>
  </r>
  <r>
    <s v="ORD01195"/>
    <s v="2023-09-12"/>
    <x v="2"/>
    <x v="3"/>
    <s v="Ludhiana"/>
    <x v="3"/>
    <x v="13"/>
    <x v="0"/>
    <s v="Cash"/>
    <n v="7"/>
    <n v="55440"/>
    <n v="38808"/>
    <n v="16632"/>
    <x v="10"/>
    <x v="1"/>
  </r>
  <r>
    <s v="ORD01196"/>
    <s v="2024-10-22"/>
    <x v="2"/>
    <x v="11"/>
    <s v="Lucknow"/>
    <x v="2"/>
    <x v="12"/>
    <x v="1"/>
    <s v="Cash"/>
    <n v="1"/>
    <n v="41962"/>
    <n v="29373.399999999998"/>
    <n v="12588.600000000002"/>
    <x v="5"/>
    <x v="0"/>
  </r>
  <r>
    <s v="ORD01197"/>
    <s v="2023-10-10"/>
    <x v="1"/>
    <x v="9"/>
    <s v="Kolhapur"/>
    <x v="3"/>
    <x v="9"/>
    <x v="1"/>
    <s v="UPI"/>
    <n v="7"/>
    <n v="68579"/>
    <n v="48005.299999999996"/>
    <n v="20573.700000000004"/>
    <x v="5"/>
    <x v="1"/>
  </r>
  <r>
    <s v="ORD01198"/>
    <s v="2024-12-01"/>
    <x v="2"/>
    <x v="2"/>
    <s v="New Delhi"/>
    <x v="1"/>
    <x v="8"/>
    <x v="2"/>
    <s v="Cash"/>
    <n v="6"/>
    <n v="245970"/>
    <n v="172179"/>
    <n v="73791"/>
    <x v="7"/>
    <x v="0"/>
  </r>
  <r>
    <s v="ORD01199"/>
    <s v="2024-03-18"/>
    <x v="2"/>
    <x v="2"/>
    <s v="New Delhi"/>
    <x v="2"/>
    <x v="3"/>
    <x v="2"/>
    <s v="Cash"/>
    <n v="9"/>
    <n v="94212"/>
    <n v="65948.399999999994"/>
    <n v="28263.600000000006"/>
    <x v="2"/>
    <x v="0"/>
  </r>
  <r>
    <s v="ORD01200"/>
    <s v="2023-09-27"/>
    <x v="1"/>
    <x v="9"/>
    <s v="Pune"/>
    <x v="3"/>
    <x v="9"/>
    <x v="1"/>
    <s v="UPI"/>
    <n v="7"/>
    <n v="330043"/>
    <n v="231030.09999999998"/>
    <n v="99012.900000000023"/>
    <x v="10"/>
    <x v="1"/>
  </r>
  <r>
    <s v="ORD01201"/>
    <s v="2023-07-26"/>
    <x v="0"/>
    <x v="0"/>
    <s v="Bhubaneswar"/>
    <x v="1"/>
    <x v="5"/>
    <x v="0"/>
    <s v="Debit Card"/>
    <n v="4"/>
    <n v="53556"/>
    <n v="37489.199999999997"/>
    <n v="16066.800000000003"/>
    <x v="0"/>
    <x v="1"/>
  </r>
  <r>
    <s v="ORD01202"/>
    <s v="2023-08-11"/>
    <x v="2"/>
    <x v="4"/>
    <s v="Gurgaon"/>
    <x v="2"/>
    <x v="15"/>
    <x v="2"/>
    <s v="Net Banking"/>
    <n v="10"/>
    <n v="422720"/>
    <n v="295904"/>
    <n v="126816"/>
    <x v="4"/>
    <x v="1"/>
  </r>
  <r>
    <s v="ORD01203"/>
    <s v="2023-10-02"/>
    <x v="0"/>
    <x v="12"/>
    <s v="Patna"/>
    <x v="1"/>
    <x v="7"/>
    <x v="0"/>
    <s v="Net Banking"/>
    <n v="6"/>
    <n v="162030"/>
    <n v="113421"/>
    <n v="48609"/>
    <x v="5"/>
    <x v="1"/>
  </r>
  <r>
    <s v="ORD01204"/>
    <s v="2023-08-19"/>
    <x v="3"/>
    <x v="5"/>
    <s v="Kochi"/>
    <x v="3"/>
    <x v="13"/>
    <x v="2"/>
    <s v="UPI"/>
    <n v="1"/>
    <n v="29414"/>
    <n v="20589.8"/>
    <n v="8824.2000000000007"/>
    <x v="4"/>
    <x v="1"/>
  </r>
  <r>
    <s v="ORD01205"/>
    <s v="2023-01-01"/>
    <x v="0"/>
    <x v="12"/>
    <s v="Patna"/>
    <x v="2"/>
    <x v="3"/>
    <x v="0"/>
    <s v="Cash"/>
    <n v="2"/>
    <n v="90564"/>
    <n v="63394.799999999996"/>
    <n v="27169.200000000004"/>
    <x v="8"/>
    <x v="1"/>
  </r>
  <r>
    <s v="ORD01206"/>
    <s v="2023-04-09"/>
    <x v="2"/>
    <x v="3"/>
    <s v="Ludhiana"/>
    <x v="0"/>
    <x v="2"/>
    <x v="0"/>
    <s v="Cash"/>
    <n v="9"/>
    <n v="371682"/>
    <n v="260177.4"/>
    <n v="111504.6"/>
    <x v="11"/>
    <x v="1"/>
  </r>
  <r>
    <s v="ORD01207"/>
    <s v="2024-07-15"/>
    <x v="1"/>
    <x v="8"/>
    <s v="Panaji"/>
    <x v="3"/>
    <x v="6"/>
    <x v="0"/>
    <s v="Cash"/>
    <n v="2"/>
    <n v="2060"/>
    <n v="1442"/>
    <n v="618"/>
    <x v="0"/>
    <x v="0"/>
  </r>
  <r>
    <s v="ORD01208"/>
    <s v="2024-06-14"/>
    <x v="1"/>
    <x v="9"/>
    <s v="Kolhapur"/>
    <x v="0"/>
    <x v="0"/>
    <x v="0"/>
    <s v="Debit Card"/>
    <n v="1"/>
    <n v="48036"/>
    <n v="33625.199999999997"/>
    <n v="14410.800000000003"/>
    <x v="3"/>
    <x v="0"/>
  </r>
  <r>
    <s v="ORD01209"/>
    <s v="2023-06-14"/>
    <x v="1"/>
    <x v="9"/>
    <s v="Kolhapur"/>
    <x v="2"/>
    <x v="14"/>
    <x v="2"/>
    <s v="UPI"/>
    <n v="8"/>
    <n v="111544"/>
    <n v="78080.799999999988"/>
    <n v="33463.200000000012"/>
    <x v="3"/>
    <x v="1"/>
  </r>
  <r>
    <s v="ORD01210"/>
    <s v="2024-10-16"/>
    <x v="1"/>
    <x v="9"/>
    <s v="Kolhapur"/>
    <x v="2"/>
    <x v="3"/>
    <x v="2"/>
    <s v="Debit Card"/>
    <n v="1"/>
    <n v="43276"/>
    <n v="30293.199999999997"/>
    <n v="12982.800000000003"/>
    <x v="5"/>
    <x v="0"/>
  </r>
  <r>
    <s v="ORD01211"/>
    <s v="2024-11-02"/>
    <x v="1"/>
    <x v="9"/>
    <s v="Pune"/>
    <x v="0"/>
    <x v="4"/>
    <x v="1"/>
    <s v="Debit Card"/>
    <n v="2"/>
    <n v="79182"/>
    <n v="55427.399999999994"/>
    <n v="23754.600000000006"/>
    <x v="6"/>
    <x v="0"/>
  </r>
  <r>
    <s v="ORD01212"/>
    <s v="2024-10-29"/>
    <x v="1"/>
    <x v="9"/>
    <s v="Kolhapur"/>
    <x v="3"/>
    <x v="9"/>
    <x v="1"/>
    <s v="Net Banking"/>
    <n v="5"/>
    <n v="155230"/>
    <n v="108661"/>
    <n v="46569"/>
    <x v="5"/>
    <x v="0"/>
  </r>
  <r>
    <s v="ORD01213"/>
    <s v="2023-10-04"/>
    <x v="1"/>
    <x v="8"/>
    <s v="Panaji"/>
    <x v="2"/>
    <x v="3"/>
    <x v="0"/>
    <s v="Credit Card"/>
    <n v="8"/>
    <n v="294664"/>
    <n v="206264.8"/>
    <n v="88399.200000000012"/>
    <x v="5"/>
    <x v="1"/>
  </r>
  <r>
    <s v="ORD01214"/>
    <s v="2024-10-28"/>
    <x v="1"/>
    <x v="8"/>
    <s v="Panaji"/>
    <x v="0"/>
    <x v="4"/>
    <x v="2"/>
    <s v="Debit Card"/>
    <n v="9"/>
    <n v="18486"/>
    <n v="12940.199999999999"/>
    <n v="5545.8000000000011"/>
    <x v="5"/>
    <x v="0"/>
  </r>
  <r>
    <s v="ORD01215"/>
    <s v="2023-07-28"/>
    <x v="3"/>
    <x v="7"/>
    <s v="Chennai"/>
    <x v="0"/>
    <x v="0"/>
    <x v="1"/>
    <s v="Net Banking"/>
    <n v="3"/>
    <n v="57450"/>
    <n v="40215"/>
    <n v="17235"/>
    <x v="0"/>
    <x v="1"/>
  </r>
  <r>
    <s v="ORD01216"/>
    <s v="2024-11-04"/>
    <x v="1"/>
    <x v="8"/>
    <s v="Panaji"/>
    <x v="1"/>
    <x v="8"/>
    <x v="0"/>
    <s v="Cash"/>
    <n v="8"/>
    <n v="212648"/>
    <n v="148853.59999999998"/>
    <n v="63794.400000000023"/>
    <x v="6"/>
    <x v="0"/>
  </r>
  <r>
    <s v="ORD01217"/>
    <s v="2024-10-18"/>
    <x v="0"/>
    <x v="13"/>
    <s v="Kolkata"/>
    <x v="0"/>
    <x v="2"/>
    <x v="2"/>
    <s v="UPI"/>
    <n v="3"/>
    <n v="138966"/>
    <n v="97276.2"/>
    <n v="41689.800000000003"/>
    <x v="5"/>
    <x v="0"/>
  </r>
  <r>
    <s v="ORD01218"/>
    <s v="2023-02-12"/>
    <x v="1"/>
    <x v="9"/>
    <s v="Kolhapur"/>
    <x v="2"/>
    <x v="12"/>
    <x v="2"/>
    <s v="Net Banking"/>
    <n v="6"/>
    <n v="92274"/>
    <n v="64591.799999999996"/>
    <n v="27682.200000000004"/>
    <x v="1"/>
    <x v="1"/>
  </r>
  <r>
    <s v="ORD01219"/>
    <s v="2023-09-09"/>
    <x v="1"/>
    <x v="8"/>
    <s v="Panaji"/>
    <x v="1"/>
    <x v="1"/>
    <x v="2"/>
    <s v="Debit Card"/>
    <n v="8"/>
    <n v="82064"/>
    <n v="57444.799999999996"/>
    <n v="24619.200000000004"/>
    <x v="10"/>
    <x v="1"/>
  </r>
  <r>
    <s v="ORD01220"/>
    <s v="2023-10-10"/>
    <x v="2"/>
    <x v="2"/>
    <s v="New Delhi"/>
    <x v="0"/>
    <x v="0"/>
    <x v="0"/>
    <s v="Cash"/>
    <n v="9"/>
    <n v="191862"/>
    <n v="134303.4"/>
    <n v="57558.600000000006"/>
    <x v="5"/>
    <x v="1"/>
  </r>
  <r>
    <s v="ORD01221"/>
    <s v="2023-09-20"/>
    <x v="0"/>
    <x v="14"/>
    <s v="Guwahati"/>
    <x v="0"/>
    <x v="2"/>
    <x v="1"/>
    <s v="Credit Card"/>
    <n v="3"/>
    <n v="61386"/>
    <n v="42970.2"/>
    <n v="18415.800000000003"/>
    <x v="10"/>
    <x v="1"/>
  </r>
  <r>
    <s v="ORD01222"/>
    <s v="2024-11-18"/>
    <x v="1"/>
    <x v="1"/>
    <s v="Ahmedabad"/>
    <x v="0"/>
    <x v="10"/>
    <x v="0"/>
    <s v="Debit Card"/>
    <n v="5"/>
    <n v="90910"/>
    <n v="63636.999999999993"/>
    <n v="27273.000000000007"/>
    <x v="6"/>
    <x v="0"/>
  </r>
  <r>
    <s v="ORD01223"/>
    <s v="2023-11-20"/>
    <x v="2"/>
    <x v="3"/>
    <s v="Ludhiana"/>
    <x v="3"/>
    <x v="9"/>
    <x v="1"/>
    <s v="Credit Card"/>
    <n v="3"/>
    <n v="138021"/>
    <n v="96614.7"/>
    <n v="41406.300000000003"/>
    <x v="6"/>
    <x v="1"/>
  </r>
  <r>
    <s v="ORD01224"/>
    <s v="2024-10-01"/>
    <x v="3"/>
    <x v="6"/>
    <s v="Hyderabad"/>
    <x v="2"/>
    <x v="3"/>
    <x v="2"/>
    <s v="Credit Card"/>
    <n v="10"/>
    <n v="282060"/>
    <n v="197442"/>
    <n v="84618"/>
    <x v="5"/>
    <x v="0"/>
  </r>
  <r>
    <s v="ORD01225"/>
    <s v="2024-03-29"/>
    <x v="2"/>
    <x v="4"/>
    <s v="Gurgaon"/>
    <x v="1"/>
    <x v="1"/>
    <x v="2"/>
    <s v="Cash"/>
    <n v="4"/>
    <n v="26536"/>
    <n v="18575.199999999997"/>
    <n v="7960.8000000000029"/>
    <x v="2"/>
    <x v="0"/>
  </r>
  <r>
    <s v="ORD01226"/>
    <s v="2023-12-15"/>
    <x v="1"/>
    <x v="9"/>
    <s v="Kolhapur"/>
    <x v="1"/>
    <x v="8"/>
    <x v="0"/>
    <s v="Cash"/>
    <n v="5"/>
    <n v="13770"/>
    <n v="9639"/>
    <n v="4131"/>
    <x v="7"/>
    <x v="1"/>
  </r>
  <r>
    <s v="ORD01227"/>
    <s v="2024-08-07"/>
    <x v="2"/>
    <x v="3"/>
    <s v="Ludhiana"/>
    <x v="3"/>
    <x v="11"/>
    <x v="1"/>
    <s v="Cash"/>
    <n v="3"/>
    <n v="8343"/>
    <n v="5840.0999999999995"/>
    <n v="2502.9000000000005"/>
    <x v="4"/>
    <x v="0"/>
  </r>
  <r>
    <s v="ORD01228"/>
    <s v="2023-05-23"/>
    <x v="2"/>
    <x v="4"/>
    <s v="Gurgaon"/>
    <x v="2"/>
    <x v="3"/>
    <x v="2"/>
    <s v="Credit Card"/>
    <n v="7"/>
    <n v="112735"/>
    <n v="78914.5"/>
    <n v="33820.5"/>
    <x v="9"/>
    <x v="1"/>
  </r>
  <r>
    <s v="ORD01229"/>
    <s v="2024-07-24"/>
    <x v="2"/>
    <x v="3"/>
    <s v="Ludhiana"/>
    <x v="2"/>
    <x v="3"/>
    <x v="0"/>
    <s v="Debit Card"/>
    <n v="8"/>
    <n v="235624"/>
    <n v="164936.79999999999"/>
    <n v="70687.200000000012"/>
    <x v="0"/>
    <x v="0"/>
  </r>
  <r>
    <s v="ORD01230"/>
    <s v="2024-11-12"/>
    <x v="0"/>
    <x v="12"/>
    <s v="Patna"/>
    <x v="2"/>
    <x v="12"/>
    <x v="1"/>
    <s v="UPI"/>
    <n v="2"/>
    <n v="26174"/>
    <n v="18321.8"/>
    <n v="7852.2000000000007"/>
    <x v="6"/>
    <x v="0"/>
  </r>
  <r>
    <s v="ORD01231"/>
    <s v="2023-07-15"/>
    <x v="3"/>
    <x v="10"/>
    <s v="Bangalore"/>
    <x v="1"/>
    <x v="7"/>
    <x v="0"/>
    <s v="Debit Card"/>
    <n v="6"/>
    <n v="57528"/>
    <n v="40269.599999999999"/>
    <n v="17258.400000000001"/>
    <x v="0"/>
    <x v="1"/>
  </r>
  <r>
    <s v="ORD01232"/>
    <s v="2023-01-13"/>
    <x v="3"/>
    <x v="7"/>
    <s v="Chennai"/>
    <x v="0"/>
    <x v="0"/>
    <x v="1"/>
    <s v="Debit Card"/>
    <n v="3"/>
    <n v="147474"/>
    <n v="103231.79999999999"/>
    <n v="44242.200000000012"/>
    <x v="8"/>
    <x v="1"/>
  </r>
  <r>
    <s v="ORD01233"/>
    <s v="2024-10-02"/>
    <x v="0"/>
    <x v="0"/>
    <s v="Bhubaneswar"/>
    <x v="1"/>
    <x v="8"/>
    <x v="1"/>
    <s v="Net Banking"/>
    <n v="6"/>
    <n v="196506"/>
    <n v="137554.19999999998"/>
    <n v="58951.800000000017"/>
    <x v="5"/>
    <x v="0"/>
  </r>
  <r>
    <s v="ORD01234"/>
    <s v="2024-04-07"/>
    <x v="1"/>
    <x v="9"/>
    <s v="Pune"/>
    <x v="2"/>
    <x v="14"/>
    <x v="2"/>
    <s v="UPI"/>
    <n v="8"/>
    <n v="337752"/>
    <n v="236426.4"/>
    <n v="101325.6"/>
    <x v="11"/>
    <x v="0"/>
  </r>
  <r>
    <s v="ORD01235"/>
    <s v="2024-03-24"/>
    <x v="1"/>
    <x v="1"/>
    <s v="Ahmedabad"/>
    <x v="0"/>
    <x v="0"/>
    <x v="2"/>
    <s v="Debit Card"/>
    <n v="7"/>
    <n v="277130"/>
    <n v="193991"/>
    <n v="83139"/>
    <x v="2"/>
    <x v="0"/>
  </r>
  <r>
    <s v="ORD01236"/>
    <s v="2023-05-23"/>
    <x v="1"/>
    <x v="8"/>
    <s v="Panaji"/>
    <x v="2"/>
    <x v="3"/>
    <x v="0"/>
    <s v="Net Banking"/>
    <n v="4"/>
    <n v="147596"/>
    <n v="103317.2"/>
    <n v="44278.8"/>
    <x v="9"/>
    <x v="1"/>
  </r>
  <r>
    <s v="ORD01237"/>
    <s v="2023-08-21"/>
    <x v="0"/>
    <x v="14"/>
    <s v="Guwahati"/>
    <x v="1"/>
    <x v="8"/>
    <x v="1"/>
    <s v="Cash"/>
    <n v="7"/>
    <n v="324821"/>
    <n v="227374.69999999998"/>
    <n v="97446.300000000017"/>
    <x v="4"/>
    <x v="1"/>
  </r>
  <r>
    <s v="ORD01238"/>
    <s v="2023-03-04"/>
    <x v="1"/>
    <x v="9"/>
    <s v="Pune"/>
    <x v="1"/>
    <x v="1"/>
    <x v="1"/>
    <s v="Debit Card"/>
    <n v="2"/>
    <n v="18124"/>
    <n v="12686.8"/>
    <n v="5437.2000000000007"/>
    <x v="2"/>
    <x v="1"/>
  </r>
  <r>
    <s v="ORD01239"/>
    <s v="2023-05-19"/>
    <x v="0"/>
    <x v="12"/>
    <s v="Patna"/>
    <x v="1"/>
    <x v="1"/>
    <x v="2"/>
    <s v="Debit Card"/>
    <n v="2"/>
    <n v="7120"/>
    <n v="4984"/>
    <n v="2136"/>
    <x v="9"/>
    <x v="1"/>
  </r>
  <r>
    <s v="ORD01240"/>
    <s v="2024-01-07"/>
    <x v="2"/>
    <x v="4"/>
    <s v="Gurgaon"/>
    <x v="3"/>
    <x v="11"/>
    <x v="0"/>
    <s v="UPI"/>
    <n v="4"/>
    <n v="80604"/>
    <n v="56422.799999999996"/>
    <n v="24181.200000000004"/>
    <x v="8"/>
    <x v="0"/>
  </r>
  <r>
    <s v="ORD01241"/>
    <s v="2024-10-13"/>
    <x v="0"/>
    <x v="12"/>
    <s v="Patna"/>
    <x v="3"/>
    <x v="11"/>
    <x v="1"/>
    <s v="Credit Card"/>
    <n v="6"/>
    <n v="30894"/>
    <n v="21625.8"/>
    <n v="9268.2000000000007"/>
    <x v="5"/>
    <x v="0"/>
  </r>
  <r>
    <s v="ORD01242"/>
    <s v="2024-04-25"/>
    <x v="3"/>
    <x v="7"/>
    <s v="Chennai"/>
    <x v="1"/>
    <x v="7"/>
    <x v="2"/>
    <s v="Credit Card"/>
    <n v="2"/>
    <n v="43114"/>
    <n v="30179.8"/>
    <n v="12934.2"/>
    <x v="11"/>
    <x v="0"/>
  </r>
  <r>
    <s v="ORD01243"/>
    <s v="2024-07-03"/>
    <x v="0"/>
    <x v="14"/>
    <s v="Guwahati"/>
    <x v="1"/>
    <x v="7"/>
    <x v="0"/>
    <s v="UPI"/>
    <n v="10"/>
    <n v="310950"/>
    <n v="217665"/>
    <n v="93285"/>
    <x v="0"/>
    <x v="0"/>
  </r>
  <r>
    <s v="ORD01244"/>
    <s v="2024-10-06"/>
    <x v="0"/>
    <x v="12"/>
    <s v="Patna"/>
    <x v="3"/>
    <x v="9"/>
    <x v="1"/>
    <s v="Cash"/>
    <n v="4"/>
    <n v="100888"/>
    <n v="70621.599999999991"/>
    <n v="30266.400000000009"/>
    <x v="5"/>
    <x v="0"/>
  </r>
  <r>
    <s v="ORD01245"/>
    <s v="2024-03-20"/>
    <x v="3"/>
    <x v="7"/>
    <s v="Chennai"/>
    <x v="2"/>
    <x v="15"/>
    <x v="0"/>
    <s v="Credit Card"/>
    <n v="9"/>
    <n v="34299"/>
    <n v="24009.3"/>
    <n v="10289.700000000001"/>
    <x v="2"/>
    <x v="0"/>
  </r>
  <r>
    <s v="ORD01246"/>
    <s v="2024-06-24"/>
    <x v="0"/>
    <x v="13"/>
    <s v="Kolkata"/>
    <x v="2"/>
    <x v="15"/>
    <x v="2"/>
    <s v="Net Banking"/>
    <n v="5"/>
    <n v="199050"/>
    <n v="139335"/>
    <n v="59715"/>
    <x v="3"/>
    <x v="0"/>
  </r>
  <r>
    <s v="ORD01247"/>
    <s v="2023-02-07"/>
    <x v="2"/>
    <x v="3"/>
    <s v="Ludhiana"/>
    <x v="3"/>
    <x v="13"/>
    <x v="2"/>
    <s v="Credit Card"/>
    <n v="1"/>
    <n v="31651"/>
    <n v="22155.699999999997"/>
    <n v="9495.3000000000029"/>
    <x v="1"/>
    <x v="1"/>
  </r>
  <r>
    <s v="ORD01248"/>
    <s v="2024-04-09"/>
    <x v="2"/>
    <x v="11"/>
    <s v="Lucknow"/>
    <x v="3"/>
    <x v="6"/>
    <x v="0"/>
    <s v="Cash"/>
    <n v="7"/>
    <n v="236173"/>
    <n v="165321.09999999998"/>
    <n v="70851.900000000023"/>
    <x v="11"/>
    <x v="0"/>
  </r>
  <r>
    <s v="ORD01249"/>
    <s v="2024-03-24"/>
    <x v="3"/>
    <x v="10"/>
    <s v="Bangalore"/>
    <x v="3"/>
    <x v="13"/>
    <x v="2"/>
    <s v="Net Banking"/>
    <n v="5"/>
    <n v="15840"/>
    <n v="11088"/>
    <n v="4752"/>
    <x v="2"/>
    <x v="0"/>
  </r>
  <r>
    <s v="ORD01250"/>
    <s v="2023-10-20"/>
    <x v="0"/>
    <x v="0"/>
    <s v="Bhubaneswar"/>
    <x v="1"/>
    <x v="7"/>
    <x v="2"/>
    <s v="UPI"/>
    <n v="3"/>
    <n v="11475"/>
    <n v="8032.4999999999991"/>
    <n v="3442.5000000000009"/>
    <x v="5"/>
    <x v="1"/>
  </r>
  <r>
    <s v="ORD01251"/>
    <s v="2024-05-26"/>
    <x v="3"/>
    <x v="10"/>
    <s v="Bangalore"/>
    <x v="1"/>
    <x v="7"/>
    <x v="2"/>
    <s v="Debit Card"/>
    <n v="4"/>
    <n v="185724"/>
    <n v="130006.79999999999"/>
    <n v="55717.200000000012"/>
    <x v="9"/>
    <x v="0"/>
  </r>
  <r>
    <s v="ORD01252"/>
    <s v="2023-03-11"/>
    <x v="1"/>
    <x v="1"/>
    <s v="Ahmedabad"/>
    <x v="3"/>
    <x v="11"/>
    <x v="2"/>
    <s v="Debit Card"/>
    <n v="8"/>
    <n v="382720"/>
    <n v="267904"/>
    <n v="114816"/>
    <x v="2"/>
    <x v="1"/>
  </r>
  <r>
    <s v="ORD01253"/>
    <s v="2024-06-12"/>
    <x v="1"/>
    <x v="1"/>
    <s v="Ahmedabad"/>
    <x v="0"/>
    <x v="0"/>
    <x v="0"/>
    <s v="Cash"/>
    <n v="5"/>
    <n v="137080"/>
    <n v="95956"/>
    <n v="41124"/>
    <x v="3"/>
    <x v="0"/>
  </r>
  <r>
    <s v="ORD01254"/>
    <s v="2023-05-11"/>
    <x v="1"/>
    <x v="9"/>
    <s v="Pune"/>
    <x v="0"/>
    <x v="10"/>
    <x v="2"/>
    <s v="Net Banking"/>
    <n v="1"/>
    <n v="11933"/>
    <n v="8353.1"/>
    <n v="3579.8999999999996"/>
    <x v="9"/>
    <x v="1"/>
  </r>
  <r>
    <s v="ORD01255"/>
    <s v="2023-09-27"/>
    <x v="2"/>
    <x v="3"/>
    <s v="Ludhiana"/>
    <x v="3"/>
    <x v="9"/>
    <x v="2"/>
    <s v="Cash"/>
    <n v="5"/>
    <n v="134700"/>
    <n v="94290"/>
    <n v="40410"/>
    <x v="10"/>
    <x v="1"/>
  </r>
  <r>
    <s v="ORD01256"/>
    <s v="2023-07-22"/>
    <x v="2"/>
    <x v="4"/>
    <s v="Gurgaon"/>
    <x v="1"/>
    <x v="5"/>
    <x v="2"/>
    <s v="Debit Card"/>
    <n v="7"/>
    <n v="329371"/>
    <n v="230559.69999999998"/>
    <n v="98811.300000000017"/>
    <x v="0"/>
    <x v="1"/>
  </r>
  <r>
    <s v="ORD01257"/>
    <s v="2024-09-01"/>
    <x v="1"/>
    <x v="9"/>
    <s v="Pune"/>
    <x v="1"/>
    <x v="8"/>
    <x v="0"/>
    <s v="Debit Card"/>
    <n v="3"/>
    <n v="111672"/>
    <n v="78170.399999999994"/>
    <n v="33501.600000000006"/>
    <x v="10"/>
    <x v="0"/>
  </r>
  <r>
    <s v="ORD01258"/>
    <s v="2023-08-25"/>
    <x v="3"/>
    <x v="10"/>
    <s v="Bangalore"/>
    <x v="1"/>
    <x v="1"/>
    <x v="1"/>
    <s v="Net Banking"/>
    <n v="5"/>
    <n v="227765"/>
    <n v="159435.5"/>
    <n v="68329.5"/>
    <x v="4"/>
    <x v="1"/>
  </r>
  <r>
    <s v="ORD01259"/>
    <s v="2023-06-27"/>
    <x v="0"/>
    <x v="13"/>
    <s v="Kolkata"/>
    <x v="1"/>
    <x v="5"/>
    <x v="2"/>
    <s v="Debit Card"/>
    <n v="8"/>
    <n v="12880"/>
    <n v="9016"/>
    <n v="3864"/>
    <x v="3"/>
    <x v="1"/>
  </r>
  <r>
    <s v="ORD01260"/>
    <s v="2023-12-05"/>
    <x v="2"/>
    <x v="2"/>
    <s v="New Delhi"/>
    <x v="0"/>
    <x v="10"/>
    <x v="1"/>
    <s v="Net Banking"/>
    <n v="3"/>
    <n v="37395"/>
    <n v="26176.5"/>
    <n v="11218.5"/>
    <x v="7"/>
    <x v="1"/>
  </r>
  <r>
    <s v="ORD01261"/>
    <s v="2024-08-31"/>
    <x v="0"/>
    <x v="0"/>
    <s v="Bhubaneswar"/>
    <x v="2"/>
    <x v="3"/>
    <x v="2"/>
    <s v="Debit Card"/>
    <n v="1"/>
    <n v="10521"/>
    <n v="7364.7"/>
    <n v="3156.3"/>
    <x v="4"/>
    <x v="0"/>
  </r>
  <r>
    <s v="ORD01262"/>
    <s v="2023-06-30"/>
    <x v="1"/>
    <x v="9"/>
    <s v="Kolhapur"/>
    <x v="0"/>
    <x v="10"/>
    <x v="1"/>
    <s v="Cash"/>
    <n v="1"/>
    <n v="24537"/>
    <n v="17175.899999999998"/>
    <n v="7361.1000000000022"/>
    <x v="3"/>
    <x v="1"/>
  </r>
  <r>
    <s v="ORD01263"/>
    <s v="2024-07-23"/>
    <x v="0"/>
    <x v="13"/>
    <s v="Kolkata"/>
    <x v="1"/>
    <x v="8"/>
    <x v="1"/>
    <s v="Credit Card"/>
    <n v="9"/>
    <n v="115659"/>
    <n v="80961.299999999988"/>
    <n v="34697.700000000012"/>
    <x v="0"/>
    <x v="0"/>
  </r>
  <r>
    <s v="ORD01264"/>
    <s v="2024-09-01"/>
    <x v="3"/>
    <x v="10"/>
    <s v="Bangalore"/>
    <x v="2"/>
    <x v="15"/>
    <x v="2"/>
    <s v="Net Banking"/>
    <n v="5"/>
    <n v="141935"/>
    <n v="99354.5"/>
    <n v="42580.5"/>
    <x v="10"/>
    <x v="0"/>
  </r>
  <r>
    <s v="ORD01265"/>
    <s v="2024-04-03"/>
    <x v="3"/>
    <x v="10"/>
    <s v="Bangalore"/>
    <x v="1"/>
    <x v="8"/>
    <x v="1"/>
    <s v="Credit Card"/>
    <n v="4"/>
    <n v="26944"/>
    <n v="18860.8"/>
    <n v="8083.2000000000007"/>
    <x v="11"/>
    <x v="0"/>
  </r>
  <r>
    <s v="ORD01266"/>
    <s v="2023-08-01"/>
    <x v="2"/>
    <x v="4"/>
    <s v="Gurgaon"/>
    <x v="3"/>
    <x v="9"/>
    <x v="0"/>
    <s v="UPI"/>
    <n v="4"/>
    <n v="103148"/>
    <n v="72203.599999999991"/>
    <n v="30944.400000000009"/>
    <x v="4"/>
    <x v="1"/>
  </r>
  <r>
    <s v="ORD01267"/>
    <s v="2024-11-10"/>
    <x v="2"/>
    <x v="11"/>
    <s v="Lucknow"/>
    <x v="2"/>
    <x v="14"/>
    <x v="0"/>
    <s v="Cash"/>
    <n v="1"/>
    <n v="8241"/>
    <n v="5768.7"/>
    <n v="2472.3000000000002"/>
    <x v="6"/>
    <x v="0"/>
  </r>
  <r>
    <s v="ORD01268"/>
    <s v="2024-09-29"/>
    <x v="3"/>
    <x v="10"/>
    <s v="Bangalore"/>
    <x v="0"/>
    <x v="0"/>
    <x v="0"/>
    <s v="Debit Card"/>
    <n v="3"/>
    <n v="138411"/>
    <n v="96887.7"/>
    <n v="41523.300000000003"/>
    <x v="10"/>
    <x v="0"/>
  </r>
  <r>
    <s v="ORD01269"/>
    <s v="2024-01-22"/>
    <x v="3"/>
    <x v="7"/>
    <s v="Chennai"/>
    <x v="1"/>
    <x v="5"/>
    <x v="0"/>
    <s v="Net Banking"/>
    <n v="5"/>
    <n v="131280"/>
    <n v="91896"/>
    <n v="39384"/>
    <x v="8"/>
    <x v="0"/>
  </r>
  <r>
    <s v="ORD01270"/>
    <s v="2023-07-30"/>
    <x v="3"/>
    <x v="5"/>
    <s v="Kochi"/>
    <x v="0"/>
    <x v="2"/>
    <x v="0"/>
    <s v="Debit Card"/>
    <n v="7"/>
    <n v="244489"/>
    <n v="171142.3"/>
    <n v="73346.700000000012"/>
    <x v="0"/>
    <x v="1"/>
  </r>
  <r>
    <s v="ORD01271"/>
    <s v="2023-11-20"/>
    <x v="0"/>
    <x v="13"/>
    <s v="Kolkata"/>
    <x v="2"/>
    <x v="12"/>
    <x v="2"/>
    <s v="Cash"/>
    <n v="8"/>
    <n v="251656"/>
    <n v="176159.19999999998"/>
    <n v="75496.800000000017"/>
    <x v="6"/>
    <x v="1"/>
  </r>
  <r>
    <s v="ORD01272"/>
    <s v="2024-01-16"/>
    <x v="3"/>
    <x v="5"/>
    <s v="Kochi"/>
    <x v="2"/>
    <x v="15"/>
    <x v="1"/>
    <s v="UPI"/>
    <n v="8"/>
    <n v="312376"/>
    <n v="218663.19999999998"/>
    <n v="93712.800000000017"/>
    <x v="8"/>
    <x v="0"/>
  </r>
  <r>
    <s v="ORD01273"/>
    <s v="2023-12-31"/>
    <x v="0"/>
    <x v="13"/>
    <s v="Kolkata"/>
    <x v="2"/>
    <x v="12"/>
    <x v="1"/>
    <s v="Credit Card"/>
    <n v="2"/>
    <n v="79714"/>
    <n v="55799.799999999996"/>
    <n v="23914.200000000004"/>
    <x v="7"/>
    <x v="1"/>
  </r>
  <r>
    <s v="ORD01274"/>
    <s v="2024-01-30"/>
    <x v="2"/>
    <x v="3"/>
    <s v="Ludhiana"/>
    <x v="0"/>
    <x v="10"/>
    <x v="2"/>
    <s v="Credit Card"/>
    <n v="6"/>
    <n v="111846"/>
    <n v="78292.2"/>
    <n v="33553.800000000003"/>
    <x v="8"/>
    <x v="0"/>
  </r>
  <r>
    <s v="ORD01275"/>
    <s v="2024-05-08"/>
    <x v="1"/>
    <x v="9"/>
    <s v="Kolhapur"/>
    <x v="2"/>
    <x v="15"/>
    <x v="0"/>
    <s v="Debit Card"/>
    <n v="7"/>
    <n v="288708"/>
    <n v="202095.59999999998"/>
    <n v="86612.400000000023"/>
    <x v="9"/>
    <x v="0"/>
  </r>
  <r>
    <s v="ORD01276"/>
    <s v="2023-09-05"/>
    <x v="1"/>
    <x v="1"/>
    <s v="Ahmedabad"/>
    <x v="3"/>
    <x v="11"/>
    <x v="1"/>
    <s v="UPI"/>
    <n v="9"/>
    <n v="309942"/>
    <n v="216959.4"/>
    <n v="92982.6"/>
    <x v="10"/>
    <x v="1"/>
  </r>
  <r>
    <s v="ORD01277"/>
    <s v="2024-06-03"/>
    <x v="3"/>
    <x v="10"/>
    <s v="Bangalore"/>
    <x v="1"/>
    <x v="8"/>
    <x v="1"/>
    <s v="Debit Card"/>
    <n v="3"/>
    <n v="101298"/>
    <n v="70908.599999999991"/>
    <n v="30389.400000000009"/>
    <x v="3"/>
    <x v="0"/>
  </r>
  <r>
    <s v="ORD01278"/>
    <s v="2023-05-06"/>
    <x v="2"/>
    <x v="4"/>
    <s v="Gurgaon"/>
    <x v="0"/>
    <x v="10"/>
    <x v="1"/>
    <s v="Cash"/>
    <n v="5"/>
    <n v="164635"/>
    <n v="115244.49999999999"/>
    <n v="49390.500000000015"/>
    <x v="9"/>
    <x v="1"/>
  </r>
  <r>
    <s v="ORD01279"/>
    <s v="2024-05-03"/>
    <x v="0"/>
    <x v="0"/>
    <s v="Bhubaneswar"/>
    <x v="1"/>
    <x v="8"/>
    <x v="2"/>
    <s v="Cash"/>
    <n v="3"/>
    <n v="93111"/>
    <n v="65177.7"/>
    <n v="27933.300000000003"/>
    <x v="9"/>
    <x v="0"/>
  </r>
  <r>
    <s v="ORD01280"/>
    <s v="2023-10-31"/>
    <x v="3"/>
    <x v="7"/>
    <s v="Chennai"/>
    <x v="1"/>
    <x v="5"/>
    <x v="2"/>
    <s v="UPI"/>
    <n v="6"/>
    <n v="151812"/>
    <n v="106268.4"/>
    <n v="45543.600000000006"/>
    <x v="5"/>
    <x v="1"/>
  </r>
  <r>
    <s v="ORD01281"/>
    <s v="2024-03-13"/>
    <x v="1"/>
    <x v="9"/>
    <s v="Pune"/>
    <x v="3"/>
    <x v="13"/>
    <x v="0"/>
    <s v="Net Banking"/>
    <n v="1"/>
    <n v="12661"/>
    <n v="8862.6999999999989"/>
    <n v="3798.3000000000011"/>
    <x v="2"/>
    <x v="0"/>
  </r>
  <r>
    <s v="ORD01282"/>
    <s v="2024-10-07"/>
    <x v="3"/>
    <x v="5"/>
    <s v="Kochi"/>
    <x v="3"/>
    <x v="6"/>
    <x v="2"/>
    <s v="Cash"/>
    <n v="3"/>
    <n v="53694"/>
    <n v="37585.799999999996"/>
    <n v="16108.200000000004"/>
    <x v="5"/>
    <x v="0"/>
  </r>
  <r>
    <s v="ORD01283"/>
    <s v="2023-05-22"/>
    <x v="3"/>
    <x v="10"/>
    <s v="Bangalore"/>
    <x v="0"/>
    <x v="10"/>
    <x v="0"/>
    <s v="Cash"/>
    <n v="7"/>
    <n v="241297"/>
    <n v="168907.9"/>
    <n v="72389.100000000006"/>
    <x v="9"/>
    <x v="1"/>
  </r>
  <r>
    <s v="ORD01284"/>
    <s v="2023-01-31"/>
    <x v="3"/>
    <x v="5"/>
    <s v="Kochi"/>
    <x v="0"/>
    <x v="4"/>
    <x v="2"/>
    <s v="Net Banking"/>
    <n v="3"/>
    <n v="20643"/>
    <n v="14450.099999999999"/>
    <n v="6192.9000000000015"/>
    <x v="8"/>
    <x v="1"/>
  </r>
  <r>
    <s v="ORD01285"/>
    <s v="2024-10-31"/>
    <x v="3"/>
    <x v="5"/>
    <s v="Kochi"/>
    <x v="1"/>
    <x v="7"/>
    <x v="0"/>
    <s v="UPI"/>
    <n v="5"/>
    <n v="229840"/>
    <n v="160888"/>
    <n v="68952"/>
    <x v="5"/>
    <x v="0"/>
  </r>
  <r>
    <s v="ORD01286"/>
    <s v="2024-05-04"/>
    <x v="2"/>
    <x v="11"/>
    <s v="Lucknow"/>
    <x v="1"/>
    <x v="5"/>
    <x v="0"/>
    <s v="Credit Card"/>
    <n v="9"/>
    <n v="93987"/>
    <n v="65790.899999999994"/>
    <n v="28196.100000000006"/>
    <x v="9"/>
    <x v="0"/>
  </r>
  <r>
    <s v="ORD01287"/>
    <s v="2023-07-01"/>
    <x v="1"/>
    <x v="8"/>
    <s v="Panaji"/>
    <x v="3"/>
    <x v="13"/>
    <x v="1"/>
    <s v="Cash"/>
    <n v="1"/>
    <n v="44120"/>
    <n v="30883.999999999996"/>
    <n v="13236.000000000004"/>
    <x v="0"/>
    <x v="1"/>
  </r>
  <r>
    <s v="ORD01288"/>
    <s v="2023-04-27"/>
    <x v="2"/>
    <x v="3"/>
    <s v="Ludhiana"/>
    <x v="2"/>
    <x v="15"/>
    <x v="2"/>
    <s v="UPI"/>
    <n v="7"/>
    <n v="51093"/>
    <n v="35765.1"/>
    <n v="15327.900000000001"/>
    <x v="11"/>
    <x v="1"/>
  </r>
  <r>
    <s v="ORD01289"/>
    <s v="2023-10-05"/>
    <x v="2"/>
    <x v="3"/>
    <s v="Ludhiana"/>
    <x v="2"/>
    <x v="3"/>
    <x v="1"/>
    <s v="Cash"/>
    <n v="1"/>
    <n v="27163"/>
    <n v="19014.099999999999"/>
    <n v="8148.9000000000015"/>
    <x v="5"/>
    <x v="1"/>
  </r>
  <r>
    <s v="ORD01290"/>
    <s v="2024-01-17"/>
    <x v="3"/>
    <x v="5"/>
    <s v="Kochi"/>
    <x v="2"/>
    <x v="12"/>
    <x v="2"/>
    <s v="Credit Card"/>
    <n v="3"/>
    <n v="119109"/>
    <n v="83376.299999999988"/>
    <n v="35732.700000000012"/>
    <x v="8"/>
    <x v="0"/>
  </r>
  <r>
    <s v="ORD01291"/>
    <s v="2023-12-01"/>
    <x v="3"/>
    <x v="5"/>
    <s v="Kochi"/>
    <x v="0"/>
    <x v="4"/>
    <x v="0"/>
    <s v="Net Banking"/>
    <n v="7"/>
    <n v="237587"/>
    <n v="166310.9"/>
    <n v="71276.100000000006"/>
    <x v="7"/>
    <x v="1"/>
  </r>
  <r>
    <s v="ORD01292"/>
    <s v="2024-08-12"/>
    <x v="3"/>
    <x v="7"/>
    <s v="Chennai"/>
    <x v="1"/>
    <x v="8"/>
    <x v="0"/>
    <s v="Credit Card"/>
    <n v="9"/>
    <n v="301644"/>
    <n v="211150.8"/>
    <n v="90493.200000000012"/>
    <x v="4"/>
    <x v="0"/>
  </r>
  <r>
    <s v="ORD01293"/>
    <s v="2024-09-15"/>
    <x v="1"/>
    <x v="8"/>
    <s v="Panaji"/>
    <x v="2"/>
    <x v="15"/>
    <x v="0"/>
    <s v="Cash"/>
    <n v="10"/>
    <n v="463210"/>
    <n v="324247"/>
    <n v="138963"/>
    <x v="10"/>
    <x v="0"/>
  </r>
  <r>
    <s v="ORD01294"/>
    <s v="2023-07-11"/>
    <x v="1"/>
    <x v="9"/>
    <s v="Kolhapur"/>
    <x v="0"/>
    <x v="4"/>
    <x v="2"/>
    <s v="Cash"/>
    <n v="3"/>
    <n v="48477"/>
    <n v="33933.9"/>
    <n v="14543.099999999999"/>
    <x v="0"/>
    <x v="1"/>
  </r>
  <r>
    <s v="ORD01295"/>
    <s v="2023-01-15"/>
    <x v="2"/>
    <x v="3"/>
    <s v="Ludhiana"/>
    <x v="3"/>
    <x v="13"/>
    <x v="1"/>
    <s v="Credit Card"/>
    <n v="5"/>
    <n v="173385"/>
    <n v="121369.49999999999"/>
    <n v="52015.500000000015"/>
    <x v="8"/>
    <x v="1"/>
  </r>
  <r>
    <s v="ORD01296"/>
    <s v="2023-11-09"/>
    <x v="0"/>
    <x v="12"/>
    <s v="Patna"/>
    <x v="2"/>
    <x v="12"/>
    <x v="2"/>
    <s v="UPI"/>
    <n v="8"/>
    <n v="262816"/>
    <n v="183971.19999999998"/>
    <n v="78844.800000000017"/>
    <x v="6"/>
    <x v="1"/>
  </r>
  <r>
    <s v="ORD01297"/>
    <s v="2023-10-01"/>
    <x v="2"/>
    <x v="4"/>
    <s v="Gurgaon"/>
    <x v="0"/>
    <x v="0"/>
    <x v="1"/>
    <s v="Cash"/>
    <n v="2"/>
    <n v="33590"/>
    <n v="23513"/>
    <n v="10077"/>
    <x v="5"/>
    <x v="1"/>
  </r>
  <r>
    <s v="ORD01298"/>
    <s v="2024-01-18"/>
    <x v="3"/>
    <x v="7"/>
    <s v="Chennai"/>
    <x v="2"/>
    <x v="12"/>
    <x v="0"/>
    <s v="Net Banking"/>
    <n v="4"/>
    <n v="53596"/>
    <n v="37517.199999999997"/>
    <n v="16078.800000000003"/>
    <x v="8"/>
    <x v="0"/>
  </r>
  <r>
    <s v="ORD01299"/>
    <s v="2023-07-28"/>
    <x v="2"/>
    <x v="4"/>
    <s v="Gurgaon"/>
    <x v="1"/>
    <x v="7"/>
    <x v="0"/>
    <s v="Debit Card"/>
    <n v="4"/>
    <n v="82808"/>
    <n v="57965.599999999999"/>
    <n v="24842.400000000001"/>
    <x v="0"/>
    <x v="1"/>
  </r>
  <r>
    <s v="ORD01300"/>
    <s v="2023-05-29"/>
    <x v="2"/>
    <x v="4"/>
    <s v="Gurgaon"/>
    <x v="2"/>
    <x v="14"/>
    <x v="0"/>
    <s v="Debit Card"/>
    <n v="3"/>
    <n v="72201"/>
    <n v="50540.7"/>
    <n v="21660.300000000003"/>
    <x v="9"/>
    <x v="1"/>
  </r>
  <r>
    <s v="ORD01301"/>
    <s v="2024-06-16"/>
    <x v="3"/>
    <x v="5"/>
    <s v="Kochi"/>
    <x v="3"/>
    <x v="6"/>
    <x v="0"/>
    <s v="Cash"/>
    <n v="5"/>
    <n v="185765"/>
    <n v="130035.49999999999"/>
    <n v="55729.500000000015"/>
    <x v="3"/>
    <x v="0"/>
  </r>
  <r>
    <s v="ORD01302"/>
    <s v="2023-11-24"/>
    <x v="0"/>
    <x v="14"/>
    <s v="Guwahati"/>
    <x v="2"/>
    <x v="15"/>
    <x v="1"/>
    <s v="Cash"/>
    <n v="8"/>
    <n v="248064"/>
    <n v="173644.79999999999"/>
    <n v="74419.200000000012"/>
    <x v="6"/>
    <x v="1"/>
  </r>
  <r>
    <s v="ORD01303"/>
    <s v="2024-11-22"/>
    <x v="3"/>
    <x v="7"/>
    <s v="Chennai"/>
    <x v="2"/>
    <x v="3"/>
    <x v="1"/>
    <s v="Net Banking"/>
    <n v="6"/>
    <n v="19350"/>
    <n v="13545"/>
    <n v="5805"/>
    <x v="6"/>
    <x v="0"/>
  </r>
  <r>
    <s v="ORD01304"/>
    <s v="2024-07-30"/>
    <x v="3"/>
    <x v="6"/>
    <s v="Hyderabad"/>
    <x v="2"/>
    <x v="15"/>
    <x v="1"/>
    <s v="Net Banking"/>
    <n v="9"/>
    <n v="163872"/>
    <n v="114710.39999999999"/>
    <n v="49161.600000000006"/>
    <x v="0"/>
    <x v="0"/>
  </r>
  <r>
    <s v="ORD01305"/>
    <s v="2024-02-03"/>
    <x v="3"/>
    <x v="5"/>
    <s v="Kochi"/>
    <x v="3"/>
    <x v="9"/>
    <x v="1"/>
    <s v="Net Banking"/>
    <n v="4"/>
    <n v="14940"/>
    <n v="10458"/>
    <n v="4482"/>
    <x v="1"/>
    <x v="0"/>
  </r>
  <r>
    <s v="ORD01306"/>
    <s v="2023-12-02"/>
    <x v="0"/>
    <x v="13"/>
    <s v="Kolkata"/>
    <x v="0"/>
    <x v="0"/>
    <x v="2"/>
    <s v="Debit Card"/>
    <n v="7"/>
    <n v="247184"/>
    <n v="173028.8"/>
    <n v="74155.200000000012"/>
    <x v="7"/>
    <x v="1"/>
  </r>
  <r>
    <s v="ORD01307"/>
    <s v="2023-10-04"/>
    <x v="0"/>
    <x v="0"/>
    <s v="Bhubaneswar"/>
    <x v="2"/>
    <x v="3"/>
    <x v="2"/>
    <s v="Cash"/>
    <n v="4"/>
    <n v="36432"/>
    <n v="25502.399999999998"/>
    <n v="10929.600000000002"/>
    <x v="5"/>
    <x v="1"/>
  </r>
  <r>
    <s v="ORD01308"/>
    <s v="2024-03-28"/>
    <x v="0"/>
    <x v="0"/>
    <s v="Bhubaneswar"/>
    <x v="3"/>
    <x v="11"/>
    <x v="1"/>
    <s v="UPI"/>
    <n v="3"/>
    <n v="88647"/>
    <n v="62052.899999999994"/>
    <n v="26594.100000000006"/>
    <x v="2"/>
    <x v="0"/>
  </r>
  <r>
    <s v="ORD01309"/>
    <s v="2023-01-21"/>
    <x v="1"/>
    <x v="9"/>
    <s v="Pune"/>
    <x v="1"/>
    <x v="1"/>
    <x v="0"/>
    <s v="Net Banking"/>
    <n v="4"/>
    <n v="86960"/>
    <n v="60871.999999999993"/>
    <n v="26088.000000000007"/>
    <x v="8"/>
    <x v="1"/>
  </r>
  <r>
    <s v="ORD01310"/>
    <s v="2023-09-28"/>
    <x v="1"/>
    <x v="8"/>
    <s v="Panaji"/>
    <x v="3"/>
    <x v="13"/>
    <x v="0"/>
    <s v="Net Banking"/>
    <n v="8"/>
    <n v="386416"/>
    <n v="270491.2"/>
    <n v="115924.79999999999"/>
    <x v="10"/>
    <x v="1"/>
  </r>
  <r>
    <s v="ORD01311"/>
    <s v="2024-11-12"/>
    <x v="3"/>
    <x v="7"/>
    <s v="Chennai"/>
    <x v="1"/>
    <x v="1"/>
    <x v="1"/>
    <s v="Debit Card"/>
    <n v="10"/>
    <n v="408430"/>
    <n v="285901"/>
    <n v="122529"/>
    <x v="6"/>
    <x v="0"/>
  </r>
  <r>
    <s v="ORD01312"/>
    <s v="2024-09-09"/>
    <x v="2"/>
    <x v="3"/>
    <s v="Ludhiana"/>
    <x v="0"/>
    <x v="0"/>
    <x v="0"/>
    <s v="Cash"/>
    <n v="3"/>
    <n v="129396"/>
    <n v="90577.2"/>
    <n v="38818.800000000003"/>
    <x v="10"/>
    <x v="0"/>
  </r>
  <r>
    <s v="ORD01313"/>
    <s v="2023-07-24"/>
    <x v="1"/>
    <x v="1"/>
    <s v="Ahmedabad"/>
    <x v="1"/>
    <x v="7"/>
    <x v="2"/>
    <s v="Credit Card"/>
    <n v="5"/>
    <n v="42900"/>
    <n v="30029.999999999996"/>
    <n v="12870.000000000004"/>
    <x v="0"/>
    <x v="1"/>
  </r>
  <r>
    <s v="ORD01314"/>
    <s v="2024-07-25"/>
    <x v="3"/>
    <x v="6"/>
    <s v="Hyderabad"/>
    <x v="1"/>
    <x v="7"/>
    <x v="2"/>
    <s v="Debit Card"/>
    <n v="1"/>
    <n v="30589"/>
    <n v="21412.3"/>
    <n v="9176.7000000000007"/>
    <x v="0"/>
    <x v="0"/>
  </r>
  <r>
    <s v="ORD01315"/>
    <s v="2023-07-19"/>
    <x v="3"/>
    <x v="5"/>
    <s v="Kochi"/>
    <x v="2"/>
    <x v="3"/>
    <x v="2"/>
    <s v="Net Banking"/>
    <n v="10"/>
    <n v="11130"/>
    <n v="7790.9999999999991"/>
    <n v="3339.0000000000009"/>
    <x v="0"/>
    <x v="1"/>
  </r>
  <r>
    <s v="ORD01316"/>
    <s v="2024-10-23"/>
    <x v="3"/>
    <x v="5"/>
    <s v="Kochi"/>
    <x v="0"/>
    <x v="0"/>
    <x v="1"/>
    <s v="Net Banking"/>
    <n v="2"/>
    <n v="97176"/>
    <n v="68023.199999999997"/>
    <n v="29152.800000000003"/>
    <x v="5"/>
    <x v="0"/>
  </r>
  <r>
    <s v="ORD01317"/>
    <s v="2023-10-03"/>
    <x v="2"/>
    <x v="2"/>
    <s v="New Delhi"/>
    <x v="3"/>
    <x v="11"/>
    <x v="0"/>
    <s v="Net Banking"/>
    <n v="6"/>
    <n v="89436"/>
    <n v="62605.2"/>
    <n v="26830.800000000003"/>
    <x v="5"/>
    <x v="1"/>
  </r>
  <r>
    <s v="ORD01318"/>
    <s v="2023-10-26"/>
    <x v="2"/>
    <x v="2"/>
    <s v="New Delhi"/>
    <x v="0"/>
    <x v="10"/>
    <x v="2"/>
    <s v="Credit Card"/>
    <n v="7"/>
    <n v="318507"/>
    <n v="222954.9"/>
    <n v="95552.1"/>
    <x v="5"/>
    <x v="1"/>
  </r>
  <r>
    <s v="ORD01319"/>
    <s v="2024-07-09"/>
    <x v="2"/>
    <x v="4"/>
    <s v="Gurgaon"/>
    <x v="0"/>
    <x v="10"/>
    <x v="2"/>
    <s v="Credit Card"/>
    <n v="5"/>
    <n v="149160"/>
    <n v="104412"/>
    <n v="44748"/>
    <x v="0"/>
    <x v="0"/>
  </r>
  <r>
    <s v="ORD01320"/>
    <s v="2024-05-01"/>
    <x v="3"/>
    <x v="5"/>
    <s v="Kochi"/>
    <x v="0"/>
    <x v="10"/>
    <x v="0"/>
    <s v="Cash"/>
    <n v="5"/>
    <n v="134045"/>
    <n v="93831.5"/>
    <n v="40213.5"/>
    <x v="9"/>
    <x v="0"/>
  </r>
  <r>
    <s v="ORD01321"/>
    <s v="2023-02-28"/>
    <x v="0"/>
    <x v="12"/>
    <s v="Patna"/>
    <x v="1"/>
    <x v="8"/>
    <x v="2"/>
    <s v="UPI"/>
    <n v="1"/>
    <n v="46766"/>
    <n v="32736.199999999997"/>
    <n v="14029.800000000003"/>
    <x v="1"/>
    <x v="1"/>
  </r>
  <r>
    <s v="ORD01322"/>
    <s v="2023-06-13"/>
    <x v="2"/>
    <x v="11"/>
    <s v="Lucknow"/>
    <x v="1"/>
    <x v="7"/>
    <x v="2"/>
    <s v="UPI"/>
    <n v="5"/>
    <n v="77945"/>
    <n v="54561.5"/>
    <n v="23383.5"/>
    <x v="3"/>
    <x v="1"/>
  </r>
  <r>
    <s v="ORD01323"/>
    <s v="2024-04-19"/>
    <x v="2"/>
    <x v="2"/>
    <s v="New Delhi"/>
    <x v="1"/>
    <x v="7"/>
    <x v="1"/>
    <s v="UPI"/>
    <n v="9"/>
    <n v="55845"/>
    <n v="39091.5"/>
    <n v="16753.5"/>
    <x v="11"/>
    <x v="0"/>
  </r>
  <r>
    <s v="ORD01324"/>
    <s v="2023-01-02"/>
    <x v="0"/>
    <x v="14"/>
    <s v="Guwahati"/>
    <x v="2"/>
    <x v="12"/>
    <x v="0"/>
    <s v="Debit Card"/>
    <n v="10"/>
    <n v="116070"/>
    <n v="81249"/>
    <n v="34821"/>
    <x v="8"/>
    <x v="1"/>
  </r>
  <r>
    <s v="ORD01325"/>
    <s v="2023-04-06"/>
    <x v="1"/>
    <x v="8"/>
    <s v="Panaji"/>
    <x v="3"/>
    <x v="6"/>
    <x v="2"/>
    <s v="Credit Card"/>
    <n v="7"/>
    <n v="160286"/>
    <n v="112200.2"/>
    <n v="48085.8"/>
    <x v="11"/>
    <x v="1"/>
  </r>
  <r>
    <s v="ORD01326"/>
    <s v="2024-01-17"/>
    <x v="0"/>
    <x v="13"/>
    <s v="Kolkata"/>
    <x v="0"/>
    <x v="2"/>
    <x v="1"/>
    <s v="Debit Card"/>
    <n v="6"/>
    <n v="223848"/>
    <n v="156693.59999999998"/>
    <n v="67154.400000000023"/>
    <x v="8"/>
    <x v="0"/>
  </r>
  <r>
    <s v="ORD01327"/>
    <s v="2023-02-05"/>
    <x v="3"/>
    <x v="5"/>
    <s v="Kochi"/>
    <x v="0"/>
    <x v="0"/>
    <x v="0"/>
    <s v="Credit Card"/>
    <n v="7"/>
    <n v="245973"/>
    <n v="172181.09999999998"/>
    <n v="73791.900000000023"/>
    <x v="1"/>
    <x v="1"/>
  </r>
  <r>
    <s v="ORD01328"/>
    <s v="2024-03-27"/>
    <x v="2"/>
    <x v="3"/>
    <s v="Ludhiana"/>
    <x v="1"/>
    <x v="8"/>
    <x v="1"/>
    <s v="Credit Card"/>
    <n v="4"/>
    <n v="12516"/>
    <n v="8761.1999999999989"/>
    <n v="3754.8000000000011"/>
    <x v="2"/>
    <x v="0"/>
  </r>
  <r>
    <s v="ORD01329"/>
    <s v="2024-10-13"/>
    <x v="3"/>
    <x v="6"/>
    <s v="Hyderabad"/>
    <x v="0"/>
    <x v="10"/>
    <x v="1"/>
    <s v="Debit Card"/>
    <n v="2"/>
    <n v="34166"/>
    <n v="23916.199999999997"/>
    <n v="10249.800000000003"/>
    <x v="5"/>
    <x v="0"/>
  </r>
  <r>
    <s v="ORD01330"/>
    <s v="2024-02-14"/>
    <x v="0"/>
    <x v="13"/>
    <s v="Kolkata"/>
    <x v="2"/>
    <x v="12"/>
    <x v="0"/>
    <s v="UPI"/>
    <n v="4"/>
    <n v="116316"/>
    <n v="81421.2"/>
    <n v="34894.800000000003"/>
    <x v="1"/>
    <x v="0"/>
  </r>
  <r>
    <s v="ORD01331"/>
    <s v="2023-05-12"/>
    <x v="1"/>
    <x v="9"/>
    <s v="Pune"/>
    <x v="1"/>
    <x v="7"/>
    <x v="0"/>
    <s v="Net Banking"/>
    <n v="8"/>
    <n v="45912"/>
    <n v="32138.399999999998"/>
    <n v="13773.600000000002"/>
    <x v="9"/>
    <x v="1"/>
  </r>
  <r>
    <s v="ORD01332"/>
    <s v="2024-02-07"/>
    <x v="3"/>
    <x v="7"/>
    <s v="Chennai"/>
    <x v="0"/>
    <x v="2"/>
    <x v="1"/>
    <s v="Debit Card"/>
    <n v="4"/>
    <n v="61140"/>
    <n v="42798"/>
    <n v="18342"/>
    <x v="1"/>
    <x v="0"/>
  </r>
  <r>
    <s v="ORD01333"/>
    <s v="2024-04-27"/>
    <x v="2"/>
    <x v="4"/>
    <s v="Gurgaon"/>
    <x v="3"/>
    <x v="6"/>
    <x v="2"/>
    <s v="Cash"/>
    <n v="3"/>
    <n v="86994"/>
    <n v="60895.799999999996"/>
    <n v="26098.200000000004"/>
    <x v="11"/>
    <x v="0"/>
  </r>
  <r>
    <s v="ORD01334"/>
    <s v="2023-12-19"/>
    <x v="2"/>
    <x v="2"/>
    <s v="New Delhi"/>
    <x v="0"/>
    <x v="0"/>
    <x v="2"/>
    <s v="Net Banking"/>
    <n v="7"/>
    <n v="99876"/>
    <n v="69913.2"/>
    <n v="29962.800000000003"/>
    <x v="7"/>
    <x v="1"/>
  </r>
  <r>
    <s v="ORD01335"/>
    <s v="2024-01-10"/>
    <x v="2"/>
    <x v="11"/>
    <s v="Lucknow"/>
    <x v="0"/>
    <x v="4"/>
    <x v="1"/>
    <s v="UPI"/>
    <n v="10"/>
    <n v="197620"/>
    <n v="138334"/>
    <n v="59286"/>
    <x v="8"/>
    <x v="0"/>
  </r>
  <r>
    <s v="ORD01336"/>
    <s v="2024-02-07"/>
    <x v="1"/>
    <x v="9"/>
    <s v="Kolhapur"/>
    <x v="0"/>
    <x v="2"/>
    <x v="1"/>
    <s v="Credit Card"/>
    <n v="10"/>
    <n v="45260"/>
    <n v="31681.999999999996"/>
    <n v="13578.000000000004"/>
    <x v="1"/>
    <x v="0"/>
  </r>
  <r>
    <s v="ORD01337"/>
    <s v="2024-09-23"/>
    <x v="2"/>
    <x v="2"/>
    <s v="New Delhi"/>
    <x v="1"/>
    <x v="7"/>
    <x v="0"/>
    <s v="UPI"/>
    <n v="10"/>
    <n v="432400"/>
    <n v="302680"/>
    <n v="129720"/>
    <x v="10"/>
    <x v="0"/>
  </r>
  <r>
    <s v="ORD01338"/>
    <s v="2023-07-11"/>
    <x v="3"/>
    <x v="10"/>
    <s v="Bangalore"/>
    <x v="0"/>
    <x v="4"/>
    <x v="0"/>
    <s v="Debit Card"/>
    <n v="7"/>
    <n v="40880"/>
    <n v="28616"/>
    <n v="12264"/>
    <x v="0"/>
    <x v="1"/>
  </r>
  <r>
    <s v="ORD01339"/>
    <s v="2023-06-10"/>
    <x v="3"/>
    <x v="7"/>
    <s v="Chennai"/>
    <x v="0"/>
    <x v="0"/>
    <x v="2"/>
    <s v="UPI"/>
    <n v="10"/>
    <n v="468320"/>
    <n v="327824"/>
    <n v="140496"/>
    <x v="3"/>
    <x v="1"/>
  </r>
  <r>
    <s v="ORD01340"/>
    <s v="2024-04-07"/>
    <x v="0"/>
    <x v="14"/>
    <s v="Guwahati"/>
    <x v="0"/>
    <x v="2"/>
    <x v="2"/>
    <s v="Net Banking"/>
    <n v="3"/>
    <n v="102936"/>
    <n v="72055.199999999997"/>
    <n v="30880.800000000003"/>
    <x v="11"/>
    <x v="0"/>
  </r>
  <r>
    <s v="ORD01341"/>
    <s v="2024-11-04"/>
    <x v="3"/>
    <x v="10"/>
    <s v="Bangalore"/>
    <x v="3"/>
    <x v="11"/>
    <x v="2"/>
    <s v="Credit Card"/>
    <n v="7"/>
    <n v="143339"/>
    <n v="100337.29999999999"/>
    <n v="43001.700000000012"/>
    <x v="6"/>
    <x v="0"/>
  </r>
  <r>
    <s v="ORD01342"/>
    <s v="2023-02-08"/>
    <x v="1"/>
    <x v="8"/>
    <s v="Panaji"/>
    <x v="0"/>
    <x v="0"/>
    <x v="0"/>
    <s v="Cash"/>
    <n v="2"/>
    <n v="13836"/>
    <n v="9685.1999999999989"/>
    <n v="4150.8000000000011"/>
    <x v="1"/>
    <x v="1"/>
  </r>
  <r>
    <s v="ORD01343"/>
    <s v="2023-11-24"/>
    <x v="2"/>
    <x v="11"/>
    <s v="Lucknow"/>
    <x v="0"/>
    <x v="4"/>
    <x v="0"/>
    <s v="Debit Card"/>
    <n v="8"/>
    <n v="287192"/>
    <n v="201034.4"/>
    <n v="86157.6"/>
    <x v="6"/>
    <x v="1"/>
  </r>
  <r>
    <s v="ORD01344"/>
    <s v="2023-12-14"/>
    <x v="0"/>
    <x v="0"/>
    <s v="Bhubaneswar"/>
    <x v="0"/>
    <x v="10"/>
    <x v="1"/>
    <s v="UPI"/>
    <n v="2"/>
    <n v="50820"/>
    <n v="35574"/>
    <n v="15246"/>
    <x v="7"/>
    <x v="1"/>
  </r>
  <r>
    <s v="ORD01345"/>
    <s v="2023-10-12"/>
    <x v="0"/>
    <x v="0"/>
    <s v="Bhubaneswar"/>
    <x v="0"/>
    <x v="0"/>
    <x v="2"/>
    <s v="Cash"/>
    <n v="5"/>
    <n v="71630"/>
    <n v="50141"/>
    <n v="21489"/>
    <x v="5"/>
    <x v="1"/>
  </r>
  <r>
    <s v="ORD01346"/>
    <s v="2023-07-04"/>
    <x v="1"/>
    <x v="1"/>
    <s v="Ahmedabad"/>
    <x v="1"/>
    <x v="5"/>
    <x v="1"/>
    <s v="UPI"/>
    <n v="6"/>
    <n v="250620"/>
    <n v="175434"/>
    <n v="75186"/>
    <x v="0"/>
    <x v="1"/>
  </r>
  <r>
    <s v="ORD01347"/>
    <s v="2023-04-24"/>
    <x v="0"/>
    <x v="12"/>
    <s v="Patna"/>
    <x v="1"/>
    <x v="1"/>
    <x v="2"/>
    <s v="Credit Card"/>
    <n v="5"/>
    <n v="126630"/>
    <n v="88641"/>
    <n v="37989"/>
    <x v="11"/>
    <x v="1"/>
  </r>
  <r>
    <s v="ORD01348"/>
    <s v="2023-12-18"/>
    <x v="0"/>
    <x v="13"/>
    <s v="Kolkata"/>
    <x v="1"/>
    <x v="7"/>
    <x v="2"/>
    <s v="Debit Card"/>
    <n v="4"/>
    <n v="68840"/>
    <n v="48188"/>
    <n v="20652"/>
    <x v="7"/>
    <x v="1"/>
  </r>
  <r>
    <s v="ORD01349"/>
    <s v="2023-04-07"/>
    <x v="1"/>
    <x v="9"/>
    <s v="Pune"/>
    <x v="0"/>
    <x v="4"/>
    <x v="1"/>
    <s v="Debit Card"/>
    <n v="2"/>
    <n v="84326"/>
    <n v="59028.2"/>
    <n v="25297.800000000003"/>
    <x v="11"/>
    <x v="1"/>
  </r>
  <r>
    <s v="ORD01350"/>
    <s v="2023-10-28"/>
    <x v="1"/>
    <x v="1"/>
    <s v="Ahmedabad"/>
    <x v="3"/>
    <x v="6"/>
    <x v="0"/>
    <s v="Cash"/>
    <n v="8"/>
    <n v="360880"/>
    <n v="252615.99999999997"/>
    <n v="108264.00000000003"/>
    <x v="5"/>
    <x v="1"/>
  </r>
  <r>
    <s v="ORD01351"/>
    <s v="2023-03-08"/>
    <x v="1"/>
    <x v="9"/>
    <s v="Kolhapur"/>
    <x v="1"/>
    <x v="5"/>
    <x v="0"/>
    <s v="Cash"/>
    <n v="4"/>
    <n v="171952"/>
    <n v="120366.39999999999"/>
    <n v="51585.600000000006"/>
    <x v="2"/>
    <x v="1"/>
  </r>
  <r>
    <s v="ORD01352"/>
    <s v="2024-06-13"/>
    <x v="1"/>
    <x v="1"/>
    <s v="Ahmedabad"/>
    <x v="3"/>
    <x v="11"/>
    <x v="2"/>
    <s v="UPI"/>
    <n v="6"/>
    <n v="64650"/>
    <n v="45255"/>
    <n v="19395"/>
    <x v="3"/>
    <x v="0"/>
  </r>
  <r>
    <s v="ORD01353"/>
    <s v="2023-09-12"/>
    <x v="0"/>
    <x v="12"/>
    <s v="Patna"/>
    <x v="2"/>
    <x v="15"/>
    <x v="1"/>
    <s v="Debit Card"/>
    <n v="9"/>
    <n v="172512"/>
    <n v="120758.39999999999"/>
    <n v="51753.600000000006"/>
    <x v="10"/>
    <x v="1"/>
  </r>
  <r>
    <s v="ORD01354"/>
    <s v="2023-10-07"/>
    <x v="2"/>
    <x v="3"/>
    <s v="Ludhiana"/>
    <x v="2"/>
    <x v="12"/>
    <x v="0"/>
    <s v="UPI"/>
    <n v="5"/>
    <n v="61485"/>
    <n v="43039.5"/>
    <n v="18445.5"/>
    <x v="5"/>
    <x v="1"/>
  </r>
  <r>
    <s v="ORD01355"/>
    <s v="2024-01-22"/>
    <x v="2"/>
    <x v="11"/>
    <s v="Lucknow"/>
    <x v="1"/>
    <x v="8"/>
    <x v="1"/>
    <s v="UPI"/>
    <n v="4"/>
    <n v="142372"/>
    <n v="99660.4"/>
    <n v="42711.600000000006"/>
    <x v="8"/>
    <x v="0"/>
  </r>
  <r>
    <s v="ORD01356"/>
    <s v="2023-09-25"/>
    <x v="2"/>
    <x v="11"/>
    <s v="Lucknow"/>
    <x v="2"/>
    <x v="12"/>
    <x v="1"/>
    <s v="Cash"/>
    <n v="5"/>
    <n v="180080"/>
    <n v="126055.99999999999"/>
    <n v="54024.000000000015"/>
    <x v="10"/>
    <x v="1"/>
  </r>
  <r>
    <s v="ORD01357"/>
    <s v="2024-06-18"/>
    <x v="3"/>
    <x v="6"/>
    <s v="Hyderabad"/>
    <x v="0"/>
    <x v="0"/>
    <x v="0"/>
    <s v="Cash"/>
    <n v="4"/>
    <n v="184268"/>
    <n v="128987.59999999999"/>
    <n v="55280.400000000009"/>
    <x v="3"/>
    <x v="0"/>
  </r>
  <r>
    <s v="ORD01358"/>
    <s v="2024-01-23"/>
    <x v="2"/>
    <x v="2"/>
    <s v="New Delhi"/>
    <x v="0"/>
    <x v="0"/>
    <x v="1"/>
    <s v="Cash"/>
    <n v="8"/>
    <n v="250344"/>
    <n v="175240.8"/>
    <n v="75103.200000000012"/>
    <x v="8"/>
    <x v="0"/>
  </r>
  <r>
    <s v="ORD01359"/>
    <s v="2023-12-06"/>
    <x v="3"/>
    <x v="10"/>
    <s v="Bangalore"/>
    <x v="3"/>
    <x v="6"/>
    <x v="0"/>
    <s v="Net Banking"/>
    <n v="9"/>
    <n v="394065"/>
    <n v="275845.5"/>
    <n v="118219.5"/>
    <x v="7"/>
    <x v="1"/>
  </r>
  <r>
    <s v="ORD01360"/>
    <s v="2023-03-24"/>
    <x v="2"/>
    <x v="4"/>
    <s v="Gurgaon"/>
    <x v="1"/>
    <x v="7"/>
    <x v="1"/>
    <s v="Cash"/>
    <n v="3"/>
    <n v="141951"/>
    <n v="99365.7"/>
    <n v="42585.3"/>
    <x v="2"/>
    <x v="1"/>
  </r>
  <r>
    <s v="ORD01361"/>
    <s v="2024-11-23"/>
    <x v="0"/>
    <x v="0"/>
    <s v="Bhubaneswar"/>
    <x v="0"/>
    <x v="0"/>
    <x v="1"/>
    <s v="Credit Card"/>
    <n v="8"/>
    <n v="232576"/>
    <n v="162803.19999999998"/>
    <n v="69772.800000000017"/>
    <x v="6"/>
    <x v="0"/>
  </r>
  <r>
    <s v="ORD01362"/>
    <s v="2023-11-26"/>
    <x v="3"/>
    <x v="10"/>
    <s v="Bangalore"/>
    <x v="3"/>
    <x v="9"/>
    <x v="2"/>
    <s v="Net Banking"/>
    <n v="10"/>
    <n v="83100"/>
    <n v="58169.999999999993"/>
    <n v="24930.000000000007"/>
    <x v="6"/>
    <x v="1"/>
  </r>
  <r>
    <s v="ORD01363"/>
    <s v="2023-11-05"/>
    <x v="3"/>
    <x v="10"/>
    <s v="Bangalore"/>
    <x v="2"/>
    <x v="15"/>
    <x v="1"/>
    <s v="Cash"/>
    <n v="4"/>
    <n v="155400"/>
    <n v="108780"/>
    <n v="46620"/>
    <x v="6"/>
    <x v="1"/>
  </r>
  <r>
    <s v="ORD01364"/>
    <s v="2024-11-15"/>
    <x v="1"/>
    <x v="8"/>
    <s v="Panaji"/>
    <x v="2"/>
    <x v="12"/>
    <x v="2"/>
    <s v="Debit Card"/>
    <n v="10"/>
    <n v="251240"/>
    <n v="175868"/>
    <n v="75372"/>
    <x v="6"/>
    <x v="0"/>
  </r>
  <r>
    <s v="ORD01365"/>
    <s v="2023-12-15"/>
    <x v="2"/>
    <x v="4"/>
    <s v="Gurgaon"/>
    <x v="2"/>
    <x v="15"/>
    <x v="1"/>
    <s v="Credit Card"/>
    <n v="6"/>
    <n v="166470"/>
    <n v="116528.99999999999"/>
    <n v="49941.000000000015"/>
    <x v="7"/>
    <x v="1"/>
  </r>
  <r>
    <s v="ORD01366"/>
    <s v="2023-09-03"/>
    <x v="3"/>
    <x v="10"/>
    <s v="Bangalore"/>
    <x v="1"/>
    <x v="5"/>
    <x v="0"/>
    <s v="Cash"/>
    <n v="4"/>
    <n v="58884"/>
    <n v="41218.799999999996"/>
    <n v="17665.200000000004"/>
    <x v="10"/>
    <x v="1"/>
  </r>
  <r>
    <s v="ORD01367"/>
    <s v="2023-04-18"/>
    <x v="2"/>
    <x v="2"/>
    <s v="New Delhi"/>
    <x v="3"/>
    <x v="11"/>
    <x v="0"/>
    <s v="Debit Card"/>
    <n v="4"/>
    <n v="57972"/>
    <n v="40580.399999999994"/>
    <n v="17391.600000000006"/>
    <x v="11"/>
    <x v="1"/>
  </r>
  <r>
    <s v="ORD01368"/>
    <s v="2024-04-29"/>
    <x v="0"/>
    <x v="13"/>
    <s v="Kolkata"/>
    <x v="1"/>
    <x v="5"/>
    <x v="0"/>
    <s v="Debit Card"/>
    <n v="4"/>
    <n v="21400"/>
    <n v="14979.999999999998"/>
    <n v="6420.0000000000018"/>
    <x v="11"/>
    <x v="0"/>
  </r>
  <r>
    <s v="ORD01369"/>
    <s v="2024-11-24"/>
    <x v="2"/>
    <x v="11"/>
    <s v="Lucknow"/>
    <x v="2"/>
    <x v="12"/>
    <x v="1"/>
    <s v="Debit Card"/>
    <n v="4"/>
    <n v="131700"/>
    <n v="92190"/>
    <n v="39510"/>
    <x v="6"/>
    <x v="0"/>
  </r>
  <r>
    <s v="ORD01370"/>
    <s v="2023-09-30"/>
    <x v="1"/>
    <x v="1"/>
    <s v="Ahmedabad"/>
    <x v="1"/>
    <x v="8"/>
    <x v="0"/>
    <s v="Debit Card"/>
    <n v="5"/>
    <n v="246385"/>
    <n v="172469.5"/>
    <n v="73915.5"/>
    <x v="10"/>
    <x v="1"/>
  </r>
  <r>
    <s v="ORD01371"/>
    <s v="2023-09-10"/>
    <x v="3"/>
    <x v="7"/>
    <s v="Chennai"/>
    <x v="1"/>
    <x v="5"/>
    <x v="2"/>
    <s v="Credit Card"/>
    <n v="1"/>
    <n v="10540"/>
    <n v="7377.9999999999991"/>
    <n v="3162.0000000000009"/>
    <x v="10"/>
    <x v="1"/>
  </r>
  <r>
    <s v="ORD01372"/>
    <s v="2023-09-20"/>
    <x v="2"/>
    <x v="11"/>
    <s v="Lucknow"/>
    <x v="3"/>
    <x v="13"/>
    <x v="2"/>
    <s v="Cash"/>
    <n v="1"/>
    <n v="43212"/>
    <n v="30248.399999999998"/>
    <n v="12963.600000000002"/>
    <x v="10"/>
    <x v="1"/>
  </r>
  <r>
    <s v="ORD01373"/>
    <s v="2023-12-15"/>
    <x v="3"/>
    <x v="5"/>
    <s v="Kochi"/>
    <x v="0"/>
    <x v="4"/>
    <x v="0"/>
    <s v="Net Banking"/>
    <n v="7"/>
    <n v="177002"/>
    <n v="123901.4"/>
    <n v="53100.600000000006"/>
    <x v="7"/>
    <x v="1"/>
  </r>
  <r>
    <s v="ORD01374"/>
    <s v="2024-03-19"/>
    <x v="1"/>
    <x v="9"/>
    <s v="Pune"/>
    <x v="0"/>
    <x v="0"/>
    <x v="1"/>
    <s v="Cash"/>
    <n v="2"/>
    <n v="74026"/>
    <n v="51818.2"/>
    <n v="22207.800000000003"/>
    <x v="2"/>
    <x v="0"/>
  </r>
  <r>
    <s v="ORD01375"/>
    <s v="2023-05-19"/>
    <x v="0"/>
    <x v="13"/>
    <s v="Kolkata"/>
    <x v="3"/>
    <x v="13"/>
    <x v="0"/>
    <s v="UPI"/>
    <n v="5"/>
    <n v="187035"/>
    <n v="130924.49999999999"/>
    <n v="56110.500000000015"/>
    <x v="9"/>
    <x v="1"/>
  </r>
  <r>
    <s v="ORD01376"/>
    <s v="2023-01-29"/>
    <x v="1"/>
    <x v="8"/>
    <s v="Panaji"/>
    <x v="1"/>
    <x v="7"/>
    <x v="1"/>
    <s v="Debit Card"/>
    <n v="9"/>
    <n v="321273"/>
    <n v="224891.09999999998"/>
    <n v="96381.900000000023"/>
    <x v="8"/>
    <x v="1"/>
  </r>
  <r>
    <s v="ORD01377"/>
    <s v="2023-06-06"/>
    <x v="2"/>
    <x v="3"/>
    <s v="Ludhiana"/>
    <x v="3"/>
    <x v="11"/>
    <x v="2"/>
    <s v="Net Banking"/>
    <n v="7"/>
    <n v="236068"/>
    <n v="165247.59999999998"/>
    <n v="70820.400000000023"/>
    <x v="3"/>
    <x v="1"/>
  </r>
  <r>
    <s v="ORD01378"/>
    <s v="2023-10-09"/>
    <x v="2"/>
    <x v="2"/>
    <s v="New Delhi"/>
    <x v="2"/>
    <x v="12"/>
    <x v="2"/>
    <s v="Cash"/>
    <n v="4"/>
    <n v="13460"/>
    <n v="9422"/>
    <n v="4038"/>
    <x v="5"/>
    <x v="1"/>
  </r>
  <r>
    <s v="ORD01379"/>
    <s v="2023-10-25"/>
    <x v="2"/>
    <x v="2"/>
    <s v="New Delhi"/>
    <x v="3"/>
    <x v="9"/>
    <x v="2"/>
    <s v="Cash"/>
    <n v="1"/>
    <n v="7259"/>
    <n v="5081.2999999999993"/>
    <n v="2177.7000000000007"/>
    <x v="5"/>
    <x v="1"/>
  </r>
  <r>
    <s v="ORD01380"/>
    <s v="2023-03-10"/>
    <x v="0"/>
    <x v="12"/>
    <s v="Patna"/>
    <x v="3"/>
    <x v="9"/>
    <x v="2"/>
    <s v="Cash"/>
    <n v="4"/>
    <n v="9164"/>
    <n v="6414.7999999999993"/>
    <n v="2749.2000000000007"/>
    <x v="2"/>
    <x v="1"/>
  </r>
  <r>
    <s v="ORD01381"/>
    <s v="2024-05-31"/>
    <x v="0"/>
    <x v="12"/>
    <s v="Patna"/>
    <x v="0"/>
    <x v="10"/>
    <x v="2"/>
    <s v="Debit Card"/>
    <n v="4"/>
    <n v="171656"/>
    <n v="120159.2"/>
    <n v="51496.800000000003"/>
    <x v="9"/>
    <x v="0"/>
  </r>
  <r>
    <s v="ORD01382"/>
    <s v="2023-11-25"/>
    <x v="2"/>
    <x v="11"/>
    <s v="Lucknow"/>
    <x v="0"/>
    <x v="0"/>
    <x v="0"/>
    <s v="Debit Card"/>
    <n v="4"/>
    <n v="33356"/>
    <n v="23349.199999999997"/>
    <n v="10006.800000000003"/>
    <x v="6"/>
    <x v="1"/>
  </r>
  <r>
    <s v="ORD01383"/>
    <s v="2023-12-27"/>
    <x v="0"/>
    <x v="0"/>
    <s v="Bhubaneswar"/>
    <x v="0"/>
    <x v="2"/>
    <x v="0"/>
    <s v="Credit Card"/>
    <n v="6"/>
    <n v="260202"/>
    <n v="182141.4"/>
    <n v="78060.600000000006"/>
    <x v="7"/>
    <x v="1"/>
  </r>
  <r>
    <s v="ORD01384"/>
    <s v="2023-02-28"/>
    <x v="2"/>
    <x v="3"/>
    <s v="Ludhiana"/>
    <x v="3"/>
    <x v="11"/>
    <x v="2"/>
    <s v="Net Banking"/>
    <n v="1"/>
    <n v="6338"/>
    <n v="4436.5999999999995"/>
    <n v="1901.4000000000005"/>
    <x v="1"/>
    <x v="1"/>
  </r>
  <r>
    <s v="ORD01385"/>
    <s v="2023-11-07"/>
    <x v="1"/>
    <x v="9"/>
    <s v="Pune"/>
    <x v="3"/>
    <x v="11"/>
    <x v="1"/>
    <s v="UPI"/>
    <n v="3"/>
    <n v="45654"/>
    <n v="31957.8"/>
    <n v="13696.2"/>
    <x v="6"/>
    <x v="1"/>
  </r>
  <r>
    <s v="ORD01386"/>
    <s v="2023-06-15"/>
    <x v="2"/>
    <x v="11"/>
    <s v="Lucknow"/>
    <x v="1"/>
    <x v="7"/>
    <x v="1"/>
    <s v="Cash"/>
    <n v="3"/>
    <n v="122505"/>
    <n v="85753.5"/>
    <n v="36751.5"/>
    <x v="3"/>
    <x v="1"/>
  </r>
  <r>
    <s v="ORD01387"/>
    <s v="2023-01-29"/>
    <x v="1"/>
    <x v="9"/>
    <s v="Pune"/>
    <x v="1"/>
    <x v="1"/>
    <x v="2"/>
    <s v="Cash"/>
    <n v="9"/>
    <n v="126279"/>
    <n v="88395.299999999988"/>
    <n v="37883.700000000012"/>
    <x v="8"/>
    <x v="1"/>
  </r>
  <r>
    <s v="ORD01388"/>
    <s v="2023-06-26"/>
    <x v="1"/>
    <x v="9"/>
    <s v="Kolhapur"/>
    <x v="3"/>
    <x v="6"/>
    <x v="1"/>
    <s v="Debit Card"/>
    <n v="9"/>
    <n v="93645"/>
    <n v="65551.5"/>
    <n v="28093.5"/>
    <x v="3"/>
    <x v="1"/>
  </r>
  <r>
    <s v="ORD01389"/>
    <s v="2024-11-27"/>
    <x v="3"/>
    <x v="7"/>
    <s v="Chennai"/>
    <x v="2"/>
    <x v="3"/>
    <x v="2"/>
    <s v="UPI"/>
    <n v="2"/>
    <n v="49350"/>
    <n v="34545"/>
    <n v="14805"/>
    <x v="6"/>
    <x v="0"/>
  </r>
  <r>
    <s v="ORD01390"/>
    <s v="2024-04-28"/>
    <x v="0"/>
    <x v="0"/>
    <s v="Bhubaneswar"/>
    <x v="1"/>
    <x v="5"/>
    <x v="2"/>
    <s v="Debit Card"/>
    <n v="7"/>
    <n v="131215"/>
    <n v="91850.5"/>
    <n v="39364.5"/>
    <x v="11"/>
    <x v="0"/>
  </r>
  <r>
    <s v="ORD01391"/>
    <s v="2023-08-25"/>
    <x v="1"/>
    <x v="9"/>
    <s v="Pune"/>
    <x v="2"/>
    <x v="15"/>
    <x v="2"/>
    <s v="Net Banking"/>
    <n v="1"/>
    <n v="38578"/>
    <n v="27004.6"/>
    <n v="11573.400000000001"/>
    <x v="4"/>
    <x v="1"/>
  </r>
  <r>
    <s v="ORD01392"/>
    <s v="2024-10-16"/>
    <x v="0"/>
    <x v="13"/>
    <s v="Kolkata"/>
    <x v="0"/>
    <x v="0"/>
    <x v="1"/>
    <s v="UPI"/>
    <n v="5"/>
    <n v="166370"/>
    <n v="116458.99999999999"/>
    <n v="49911.000000000015"/>
    <x v="5"/>
    <x v="0"/>
  </r>
  <r>
    <s v="ORD01393"/>
    <s v="2023-10-28"/>
    <x v="3"/>
    <x v="5"/>
    <s v="Kochi"/>
    <x v="1"/>
    <x v="7"/>
    <x v="1"/>
    <s v="Cash"/>
    <n v="8"/>
    <n v="330728"/>
    <n v="231509.59999999998"/>
    <n v="99218.400000000023"/>
    <x v="5"/>
    <x v="1"/>
  </r>
  <r>
    <s v="ORD01394"/>
    <s v="2024-02-12"/>
    <x v="3"/>
    <x v="7"/>
    <s v="Chennai"/>
    <x v="0"/>
    <x v="10"/>
    <x v="0"/>
    <s v="Net Banking"/>
    <n v="9"/>
    <n v="350865"/>
    <n v="245605.49999999997"/>
    <n v="105259.50000000003"/>
    <x v="1"/>
    <x v="0"/>
  </r>
  <r>
    <s v="ORD01395"/>
    <s v="2023-06-10"/>
    <x v="3"/>
    <x v="7"/>
    <s v="Chennai"/>
    <x v="2"/>
    <x v="3"/>
    <x v="0"/>
    <s v="UPI"/>
    <n v="7"/>
    <n v="281540"/>
    <n v="197078"/>
    <n v="84462"/>
    <x v="3"/>
    <x v="1"/>
  </r>
  <r>
    <s v="ORD01396"/>
    <s v="2023-05-17"/>
    <x v="0"/>
    <x v="12"/>
    <s v="Patna"/>
    <x v="2"/>
    <x v="14"/>
    <x v="2"/>
    <s v="Net Banking"/>
    <n v="5"/>
    <n v="191325"/>
    <n v="133927.5"/>
    <n v="57397.5"/>
    <x v="9"/>
    <x v="1"/>
  </r>
  <r>
    <s v="ORD01397"/>
    <s v="2023-02-03"/>
    <x v="3"/>
    <x v="10"/>
    <s v="Bangalore"/>
    <x v="3"/>
    <x v="11"/>
    <x v="1"/>
    <s v="Debit Card"/>
    <n v="3"/>
    <n v="59958"/>
    <n v="41970.6"/>
    <n v="17987.400000000001"/>
    <x v="1"/>
    <x v="1"/>
  </r>
  <r>
    <s v="ORD01398"/>
    <s v="2023-04-04"/>
    <x v="1"/>
    <x v="8"/>
    <s v="Panaji"/>
    <x v="1"/>
    <x v="1"/>
    <x v="1"/>
    <s v="Credit Card"/>
    <n v="8"/>
    <n v="143488"/>
    <n v="100441.59999999999"/>
    <n v="43046.400000000009"/>
    <x v="11"/>
    <x v="1"/>
  </r>
  <r>
    <s v="ORD01399"/>
    <s v="2024-08-07"/>
    <x v="1"/>
    <x v="9"/>
    <s v="Kolhapur"/>
    <x v="3"/>
    <x v="13"/>
    <x v="0"/>
    <s v="Debit Card"/>
    <n v="7"/>
    <n v="75838"/>
    <n v="53086.6"/>
    <n v="22751.4"/>
    <x v="4"/>
    <x v="0"/>
  </r>
  <r>
    <s v="ORD01400"/>
    <s v="2024-02-01"/>
    <x v="0"/>
    <x v="0"/>
    <s v="Bhubaneswar"/>
    <x v="1"/>
    <x v="7"/>
    <x v="1"/>
    <s v="Net Banking"/>
    <n v="4"/>
    <n v="83940"/>
    <n v="58757.999999999993"/>
    <n v="25182.000000000007"/>
    <x v="1"/>
    <x v="0"/>
  </r>
  <r>
    <s v="ORD01401"/>
    <s v="2024-06-28"/>
    <x v="1"/>
    <x v="1"/>
    <s v="Ahmedabad"/>
    <x v="2"/>
    <x v="15"/>
    <x v="0"/>
    <s v="Cash"/>
    <n v="2"/>
    <n v="30954"/>
    <n v="21667.8"/>
    <n v="9286.2000000000007"/>
    <x v="3"/>
    <x v="0"/>
  </r>
  <r>
    <s v="ORD01402"/>
    <s v="2023-05-20"/>
    <x v="1"/>
    <x v="9"/>
    <s v="Pune"/>
    <x v="2"/>
    <x v="15"/>
    <x v="0"/>
    <s v="UPI"/>
    <n v="5"/>
    <n v="195530"/>
    <n v="136871"/>
    <n v="58659"/>
    <x v="9"/>
    <x v="1"/>
  </r>
  <r>
    <s v="ORD01403"/>
    <s v="2023-06-18"/>
    <x v="1"/>
    <x v="9"/>
    <s v="Kolhapur"/>
    <x v="3"/>
    <x v="13"/>
    <x v="2"/>
    <s v="Net Banking"/>
    <n v="3"/>
    <n v="78321"/>
    <n v="54824.7"/>
    <n v="23496.300000000003"/>
    <x v="3"/>
    <x v="1"/>
  </r>
  <r>
    <s v="ORD01404"/>
    <s v="2024-02-11"/>
    <x v="0"/>
    <x v="13"/>
    <s v="Kolkata"/>
    <x v="0"/>
    <x v="0"/>
    <x v="1"/>
    <s v="UPI"/>
    <n v="8"/>
    <n v="98832"/>
    <n v="69182.399999999994"/>
    <n v="29649.600000000006"/>
    <x v="1"/>
    <x v="0"/>
  </r>
  <r>
    <s v="ORD01405"/>
    <s v="2023-03-24"/>
    <x v="0"/>
    <x v="14"/>
    <s v="Guwahati"/>
    <x v="3"/>
    <x v="11"/>
    <x v="0"/>
    <s v="Debit Card"/>
    <n v="6"/>
    <n v="250458"/>
    <n v="175320.59999999998"/>
    <n v="75137.400000000023"/>
    <x v="2"/>
    <x v="1"/>
  </r>
  <r>
    <s v="ORD01406"/>
    <s v="2023-02-23"/>
    <x v="2"/>
    <x v="3"/>
    <s v="Ludhiana"/>
    <x v="0"/>
    <x v="4"/>
    <x v="2"/>
    <s v="Credit Card"/>
    <n v="10"/>
    <n v="437860"/>
    <n v="306502"/>
    <n v="131358"/>
    <x v="1"/>
    <x v="1"/>
  </r>
  <r>
    <s v="ORD01407"/>
    <s v="2024-01-01"/>
    <x v="0"/>
    <x v="14"/>
    <s v="Guwahati"/>
    <x v="1"/>
    <x v="7"/>
    <x v="2"/>
    <s v="Net Banking"/>
    <n v="8"/>
    <n v="55192"/>
    <n v="38634.399999999994"/>
    <n v="16557.600000000006"/>
    <x v="8"/>
    <x v="0"/>
  </r>
  <r>
    <s v="ORD01408"/>
    <s v="2024-09-21"/>
    <x v="1"/>
    <x v="9"/>
    <s v="Kolhapur"/>
    <x v="0"/>
    <x v="2"/>
    <x v="0"/>
    <s v="Cash"/>
    <n v="4"/>
    <n v="19456"/>
    <n v="13619.199999999999"/>
    <n v="5836.8000000000011"/>
    <x v="10"/>
    <x v="0"/>
  </r>
  <r>
    <s v="ORD01409"/>
    <s v="2023-11-08"/>
    <x v="2"/>
    <x v="11"/>
    <s v="Lucknow"/>
    <x v="1"/>
    <x v="5"/>
    <x v="0"/>
    <s v="Debit Card"/>
    <n v="5"/>
    <n v="188895"/>
    <n v="132226.5"/>
    <n v="56668.5"/>
    <x v="6"/>
    <x v="1"/>
  </r>
  <r>
    <s v="ORD01410"/>
    <s v="2023-09-14"/>
    <x v="1"/>
    <x v="8"/>
    <s v="Panaji"/>
    <x v="1"/>
    <x v="1"/>
    <x v="2"/>
    <s v="Debit Card"/>
    <n v="8"/>
    <n v="147712"/>
    <n v="103398.39999999999"/>
    <n v="44313.600000000006"/>
    <x v="10"/>
    <x v="1"/>
  </r>
  <r>
    <s v="ORD01411"/>
    <s v="2024-05-01"/>
    <x v="1"/>
    <x v="9"/>
    <s v="Kolhapur"/>
    <x v="2"/>
    <x v="14"/>
    <x v="2"/>
    <s v="Debit Card"/>
    <n v="4"/>
    <n v="130092"/>
    <n v="91064.4"/>
    <n v="39027.600000000006"/>
    <x v="9"/>
    <x v="0"/>
  </r>
  <r>
    <s v="ORD01412"/>
    <s v="2023-11-15"/>
    <x v="1"/>
    <x v="1"/>
    <s v="Ahmedabad"/>
    <x v="0"/>
    <x v="10"/>
    <x v="2"/>
    <s v="Credit Card"/>
    <n v="7"/>
    <n v="332899"/>
    <n v="233029.3"/>
    <n v="99869.700000000012"/>
    <x v="6"/>
    <x v="1"/>
  </r>
  <r>
    <s v="ORD01413"/>
    <s v="2024-08-29"/>
    <x v="3"/>
    <x v="5"/>
    <s v="Kochi"/>
    <x v="1"/>
    <x v="1"/>
    <x v="0"/>
    <s v="Net Banking"/>
    <n v="9"/>
    <n v="60660"/>
    <n v="42462"/>
    <n v="18198"/>
    <x v="4"/>
    <x v="0"/>
  </r>
  <r>
    <s v="ORD01414"/>
    <s v="2023-02-12"/>
    <x v="2"/>
    <x v="2"/>
    <s v="New Delhi"/>
    <x v="2"/>
    <x v="15"/>
    <x v="1"/>
    <s v="Net Banking"/>
    <n v="5"/>
    <n v="10720"/>
    <n v="7503.9999999999991"/>
    <n v="3216.0000000000009"/>
    <x v="1"/>
    <x v="1"/>
  </r>
  <r>
    <s v="ORD01415"/>
    <s v="2024-10-11"/>
    <x v="0"/>
    <x v="13"/>
    <s v="Kolkata"/>
    <x v="0"/>
    <x v="0"/>
    <x v="1"/>
    <s v="Net Banking"/>
    <n v="5"/>
    <n v="2895"/>
    <n v="2026.4999999999998"/>
    <n v="868.50000000000023"/>
    <x v="5"/>
    <x v="0"/>
  </r>
  <r>
    <s v="ORD01416"/>
    <s v="2024-06-03"/>
    <x v="3"/>
    <x v="5"/>
    <s v="Kochi"/>
    <x v="1"/>
    <x v="7"/>
    <x v="0"/>
    <s v="UPI"/>
    <n v="1"/>
    <n v="21131"/>
    <n v="14791.699999999999"/>
    <n v="6339.3000000000011"/>
    <x v="3"/>
    <x v="0"/>
  </r>
  <r>
    <s v="ORD01417"/>
    <s v="2023-04-03"/>
    <x v="2"/>
    <x v="2"/>
    <s v="New Delhi"/>
    <x v="2"/>
    <x v="3"/>
    <x v="2"/>
    <s v="Debit Card"/>
    <n v="6"/>
    <n v="297432"/>
    <n v="208202.4"/>
    <n v="89229.6"/>
    <x v="11"/>
    <x v="1"/>
  </r>
  <r>
    <s v="ORD01418"/>
    <s v="2024-06-08"/>
    <x v="1"/>
    <x v="9"/>
    <s v="Pune"/>
    <x v="2"/>
    <x v="15"/>
    <x v="0"/>
    <s v="UPI"/>
    <n v="2"/>
    <n v="7386"/>
    <n v="5170.2"/>
    <n v="2215.8000000000002"/>
    <x v="3"/>
    <x v="0"/>
  </r>
  <r>
    <s v="ORD01419"/>
    <s v="2023-04-04"/>
    <x v="1"/>
    <x v="9"/>
    <s v="Kolhapur"/>
    <x v="2"/>
    <x v="12"/>
    <x v="2"/>
    <s v="UPI"/>
    <n v="9"/>
    <n v="240444"/>
    <n v="168310.8"/>
    <n v="72133.200000000012"/>
    <x v="11"/>
    <x v="1"/>
  </r>
  <r>
    <s v="ORD01420"/>
    <s v="2024-10-11"/>
    <x v="3"/>
    <x v="10"/>
    <s v="Bangalore"/>
    <x v="3"/>
    <x v="9"/>
    <x v="1"/>
    <s v="Cash"/>
    <n v="4"/>
    <n v="77552"/>
    <n v="54286.399999999994"/>
    <n v="23265.600000000006"/>
    <x v="5"/>
    <x v="0"/>
  </r>
  <r>
    <s v="ORD01421"/>
    <s v="2024-02-02"/>
    <x v="3"/>
    <x v="5"/>
    <s v="Kochi"/>
    <x v="1"/>
    <x v="8"/>
    <x v="1"/>
    <s v="Credit Card"/>
    <n v="5"/>
    <n v="221660"/>
    <n v="155162"/>
    <n v="66498"/>
    <x v="1"/>
    <x v="0"/>
  </r>
  <r>
    <s v="ORD01422"/>
    <s v="2023-05-23"/>
    <x v="3"/>
    <x v="6"/>
    <s v="Hyderabad"/>
    <x v="2"/>
    <x v="15"/>
    <x v="1"/>
    <s v="Net Banking"/>
    <n v="2"/>
    <n v="20048"/>
    <n v="14033.599999999999"/>
    <n v="6014.4000000000015"/>
    <x v="9"/>
    <x v="1"/>
  </r>
  <r>
    <s v="ORD01423"/>
    <s v="2024-09-25"/>
    <x v="2"/>
    <x v="2"/>
    <s v="New Delhi"/>
    <x v="1"/>
    <x v="7"/>
    <x v="0"/>
    <s v="Credit Card"/>
    <n v="4"/>
    <n v="74168"/>
    <n v="51917.599999999999"/>
    <n v="22250.400000000001"/>
    <x v="10"/>
    <x v="0"/>
  </r>
  <r>
    <s v="ORD01424"/>
    <s v="2024-10-02"/>
    <x v="2"/>
    <x v="3"/>
    <s v="Ludhiana"/>
    <x v="1"/>
    <x v="1"/>
    <x v="0"/>
    <s v="UPI"/>
    <n v="9"/>
    <n v="118782"/>
    <n v="83147.399999999994"/>
    <n v="35634.600000000006"/>
    <x v="5"/>
    <x v="0"/>
  </r>
  <r>
    <s v="ORD01425"/>
    <s v="2023-07-06"/>
    <x v="3"/>
    <x v="7"/>
    <s v="Chennai"/>
    <x v="0"/>
    <x v="10"/>
    <x v="2"/>
    <s v="Debit Card"/>
    <n v="5"/>
    <n v="52360"/>
    <n v="36652"/>
    <n v="15708"/>
    <x v="0"/>
    <x v="1"/>
  </r>
  <r>
    <s v="ORD01426"/>
    <s v="2024-05-08"/>
    <x v="1"/>
    <x v="1"/>
    <s v="Ahmedabad"/>
    <x v="3"/>
    <x v="13"/>
    <x v="1"/>
    <s v="Credit Card"/>
    <n v="6"/>
    <n v="243858"/>
    <n v="170700.59999999998"/>
    <n v="73157.400000000023"/>
    <x v="9"/>
    <x v="0"/>
  </r>
  <r>
    <s v="ORD01427"/>
    <s v="2024-02-05"/>
    <x v="3"/>
    <x v="6"/>
    <s v="Hyderabad"/>
    <x v="1"/>
    <x v="5"/>
    <x v="0"/>
    <s v="Cash"/>
    <n v="9"/>
    <n v="410166"/>
    <n v="287116.19999999995"/>
    <n v="123049.80000000005"/>
    <x v="1"/>
    <x v="0"/>
  </r>
  <r>
    <s v="ORD01428"/>
    <s v="2024-06-13"/>
    <x v="1"/>
    <x v="8"/>
    <s v="Panaji"/>
    <x v="0"/>
    <x v="4"/>
    <x v="2"/>
    <s v="Cash"/>
    <n v="9"/>
    <n v="194841"/>
    <n v="136388.69999999998"/>
    <n v="58452.300000000017"/>
    <x v="3"/>
    <x v="0"/>
  </r>
  <r>
    <s v="ORD01429"/>
    <s v="2023-06-04"/>
    <x v="2"/>
    <x v="4"/>
    <s v="Gurgaon"/>
    <x v="0"/>
    <x v="4"/>
    <x v="1"/>
    <s v="Net Banking"/>
    <n v="3"/>
    <n v="33999"/>
    <n v="23799.3"/>
    <n v="10199.700000000001"/>
    <x v="3"/>
    <x v="1"/>
  </r>
  <r>
    <s v="ORD01430"/>
    <s v="2023-07-26"/>
    <x v="1"/>
    <x v="1"/>
    <s v="Ahmedabad"/>
    <x v="3"/>
    <x v="6"/>
    <x v="1"/>
    <s v="Net Banking"/>
    <n v="3"/>
    <n v="76560"/>
    <n v="53592"/>
    <n v="22968"/>
    <x v="0"/>
    <x v="1"/>
  </r>
  <r>
    <s v="ORD01431"/>
    <s v="2023-07-14"/>
    <x v="1"/>
    <x v="9"/>
    <s v="Pune"/>
    <x v="3"/>
    <x v="13"/>
    <x v="0"/>
    <s v="Net Banking"/>
    <n v="9"/>
    <n v="242001"/>
    <n v="169400.69999999998"/>
    <n v="72600.300000000017"/>
    <x v="0"/>
    <x v="1"/>
  </r>
  <r>
    <s v="ORD01432"/>
    <s v="2024-10-15"/>
    <x v="1"/>
    <x v="8"/>
    <s v="Panaji"/>
    <x v="2"/>
    <x v="3"/>
    <x v="2"/>
    <s v="Cash"/>
    <n v="3"/>
    <n v="16116"/>
    <n v="11281.199999999999"/>
    <n v="4834.8000000000011"/>
    <x v="5"/>
    <x v="0"/>
  </r>
  <r>
    <s v="ORD01433"/>
    <s v="2024-01-26"/>
    <x v="1"/>
    <x v="1"/>
    <s v="Ahmedabad"/>
    <x v="1"/>
    <x v="8"/>
    <x v="2"/>
    <s v="Cash"/>
    <n v="10"/>
    <n v="27580"/>
    <n v="19306"/>
    <n v="8274"/>
    <x v="8"/>
    <x v="0"/>
  </r>
  <r>
    <s v="ORD01434"/>
    <s v="2023-09-16"/>
    <x v="1"/>
    <x v="9"/>
    <s v="Pune"/>
    <x v="0"/>
    <x v="0"/>
    <x v="2"/>
    <s v="UPI"/>
    <n v="2"/>
    <n v="36292"/>
    <n v="25404.399999999998"/>
    <n v="10887.600000000002"/>
    <x v="10"/>
    <x v="1"/>
  </r>
  <r>
    <s v="ORD01435"/>
    <s v="2023-06-07"/>
    <x v="2"/>
    <x v="11"/>
    <s v="Lucknow"/>
    <x v="0"/>
    <x v="0"/>
    <x v="2"/>
    <s v="Debit Card"/>
    <n v="8"/>
    <n v="180248"/>
    <n v="126173.59999999999"/>
    <n v="54074.400000000009"/>
    <x v="3"/>
    <x v="1"/>
  </r>
  <r>
    <s v="ORD01436"/>
    <s v="2024-01-25"/>
    <x v="2"/>
    <x v="2"/>
    <s v="New Delhi"/>
    <x v="3"/>
    <x v="13"/>
    <x v="1"/>
    <s v="Net Banking"/>
    <n v="5"/>
    <n v="240300"/>
    <n v="168210"/>
    <n v="72090"/>
    <x v="8"/>
    <x v="0"/>
  </r>
  <r>
    <s v="ORD01437"/>
    <s v="2023-11-11"/>
    <x v="2"/>
    <x v="2"/>
    <s v="New Delhi"/>
    <x v="3"/>
    <x v="11"/>
    <x v="2"/>
    <s v="Cash"/>
    <n v="4"/>
    <n v="75172"/>
    <n v="52620.399999999994"/>
    <n v="22551.600000000006"/>
    <x v="6"/>
    <x v="1"/>
  </r>
  <r>
    <s v="ORD01438"/>
    <s v="2023-09-05"/>
    <x v="0"/>
    <x v="12"/>
    <s v="Patna"/>
    <x v="1"/>
    <x v="8"/>
    <x v="2"/>
    <s v="Credit Card"/>
    <n v="2"/>
    <n v="35046"/>
    <n v="24532.199999999997"/>
    <n v="10513.800000000003"/>
    <x v="10"/>
    <x v="1"/>
  </r>
  <r>
    <s v="ORD01439"/>
    <s v="2024-04-29"/>
    <x v="2"/>
    <x v="4"/>
    <s v="Gurgaon"/>
    <x v="1"/>
    <x v="7"/>
    <x v="2"/>
    <s v="Debit Card"/>
    <n v="9"/>
    <n v="322200"/>
    <n v="225540"/>
    <n v="96660"/>
    <x v="11"/>
    <x v="0"/>
  </r>
  <r>
    <s v="ORD01440"/>
    <s v="2024-01-17"/>
    <x v="1"/>
    <x v="1"/>
    <s v="Ahmedabad"/>
    <x v="1"/>
    <x v="8"/>
    <x v="2"/>
    <s v="Cash"/>
    <n v="2"/>
    <n v="74320"/>
    <n v="52024"/>
    <n v="22296"/>
    <x v="8"/>
    <x v="0"/>
  </r>
  <r>
    <s v="ORD01441"/>
    <s v="2023-08-12"/>
    <x v="2"/>
    <x v="11"/>
    <s v="Lucknow"/>
    <x v="1"/>
    <x v="8"/>
    <x v="1"/>
    <s v="Net Banking"/>
    <n v="1"/>
    <n v="38936"/>
    <n v="27255.199999999997"/>
    <n v="11680.800000000003"/>
    <x v="4"/>
    <x v="1"/>
  </r>
  <r>
    <s v="ORD01442"/>
    <s v="2023-05-19"/>
    <x v="0"/>
    <x v="14"/>
    <s v="Guwahati"/>
    <x v="2"/>
    <x v="12"/>
    <x v="1"/>
    <s v="Credit Card"/>
    <n v="1"/>
    <n v="8036"/>
    <n v="5625.2"/>
    <n v="2410.8000000000002"/>
    <x v="9"/>
    <x v="1"/>
  </r>
  <r>
    <s v="ORD01443"/>
    <s v="2023-09-23"/>
    <x v="3"/>
    <x v="7"/>
    <s v="Chennai"/>
    <x v="0"/>
    <x v="2"/>
    <x v="1"/>
    <s v="Credit Card"/>
    <n v="4"/>
    <n v="95216"/>
    <n v="66651.199999999997"/>
    <n v="28564.800000000003"/>
    <x v="10"/>
    <x v="1"/>
  </r>
  <r>
    <s v="ORD01444"/>
    <s v="2024-06-30"/>
    <x v="0"/>
    <x v="14"/>
    <s v="Guwahati"/>
    <x v="1"/>
    <x v="5"/>
    <x v="0"/>
    <s v="Debit Card"/>
    <n v="4"/>
    <n v="88632"/>
    <n v="62042.399999999994"/>
    <n v="26589.600000000006"/>
    <x v="3"/>
    <x v="0"/>
  </r>
  <r>
    <s v="ORD01445"/>
    <s v="2024-11-18"/>
    <x v="3"/>
    <x v="10"/>
    <s v="Bangalore"/>
    <x v="2"/>
    <x v="14"/>
    <x v="0"/>
    <s v="Cash"/>
    <n v="2"/>
    <n v="62514"/>
    <n v="43759.799999999996"/>
    <n v="18754.200000000004"/>
    <x v="6"/>
    <x v="0"/>
  </r>
  <r>
    <s v="ORD01446"/>
    <s v="2023-10-30"/>
    <x v="2"/>
    <x v="11"/>
    <s v="Lucknow"/>
    <x v="3"/>
    <x v="13"/>
    <x v="1"/>
    <s v="Cash"/>
    <n v="2"/>
    <n v="41708"/>
    <n v="29195.599999999999"/>
    <n v="12512.400000000001"/>
    <x v="5"/>
    <x v="1"/>
  </r>
  <r>
    <s v="ORD01447"/>
    <s v="2024-09-19"/>
    <x v="1"/>
    <x v="8"/>
    <s v="Panaji"/>
    <x v="0"/>
    <x v="0"/>
    <x v="2"/>
    <s v="Net Banking"/>
    <n v="1"/>
    <n v="22511"/>
    <n v="15757.699999999999"/>
    <n v="6753.3000000000011"/>
    <x v="10"/>
    <x v="0"/>
  </r>
  <r>
    <s v="ORD01448"/>
    <s v="2023-07-28"/>
    <x v="0"/>
    <x v="0"/>
    <s v="Bhubaneswar"/>
    <x v="3"/>
    <x v="11"/>
    <x v="2"/>
    <s v="UPI"/>
    <n v="3"/>
    <n v="18009"/>
    <n v="12606.3"/>
    <n v="5402.7000000000007"/>
    <x v="0"/>
    <x v="1"/>
  </r>
  <r>
    <s v="ORD01449"/>
    <s v="2023-05-03"/>
    <x v="3"/>
    <x v="7"/>
    <s v="Chennai"/>
    <x v="3"/>
    <x v="11"/>
    <x v="0"/>
    <s v="Net Banking"/>
    <n v="9"/>
    <n v="131274"/>
    <n v="91891.799999999988"/>
    <n v="39382.200000000012"/>
    <x v="9"/>
    <x v="1"/>
  </r>
  <r>
    <s v="ORD01450"/>
    <s v="2023-08-22"/>
    <x v="0"/>
    <x v="12"/>
    <s v="Patna"/>
    <x v="2"/>
    <x v="15"/>
    <x v="0"/>
    <s v="UPI"/>
    <n v="7"/>
    <n v="63966"/>
    <n v="44776.2"/>
    <n v="19189.800000000003"/>
    <x v="4"/>
    <x v="1"/>
  </r>
  <r>
    <s v="ORD01451"/>
    <s v="2024-10-11"/>
    <x v="2"/>
    <x v="11"/>
    <s v="Lucknow"/>
    <x v="0"/>
    <x v="0"/>
    <x v="1"/>
    <s v="Debit Card"/>
    <n v="1"/>
    <n v="31862"/>
    <n v="22303.399999999998"/>
    <n v="9558.6000000000022"/>
    <x v="5"/>
    <x v="0"/>
  </r>
  <r>
    <s v="ORD01452"/>
    <s v="2024-02-16"/>
    <x v="3"/>
    <x v="5"/>
    <s v="Kochi"/>
    <x v="0"/>
    <x v="0"/>
    <x v="2"/>
    <s v="Net Banking"/>
    <n v="1"/>
    <n v="20503"/>
    <n v="14352.099999999999"/>
    <n v="6150.9000000000015"/>
    <x v="1"/>
    <x v="0"/>
  </r>
  <r>
    <s v="ORD01453"/>
    <s v="2023-03-24"/>
    <x v="1"/>
    <x v="1"/>
    <s v="Ahmedabad"/>
    <x v="1"/>
    <x v="7"/>
    <x v="2"/>
    <s v="Cash"/>
    <n v="8"/>
    <n v="32184"/>
    <n v="22528.799999999999"/>
    <n v="9655.2000000000007"/>
    <x v="2"/>
    <x v="1"/>
  </r>
  <r>
    <s v="ORD01454"/>
    <s v="2023-01-29"/>
    <x v="3"/>
    <x v="5"/>
    <s v="Kochi"/>
    <x v="2"/>
    <x v="15"/>
    <x v="1"/>
    <s v="Credit Card"/>
    <n v="8"/>
    <n v="33256"/>
    <n v="23279.199999999997"/>
    <n v="9976.8000000000029"/>
    <x v="8"/>
    <x v="1"/>
  </r>
  <r>
    <s v="ORD01455"/>
    <s v="2023-07-25"/>
    <x v="2"/>
    <x v="11"/>
    <s v="Lucknow"/>
    <x v="2"/>
    <x v="12"/>
    <x v="1"/>
    <s v="UPI"/>
    <n v="10"/>
    <n v="323440"/>
    <n v="226408"/>
    <n v="97032"/>
    <x v="0"/>
    <x v="1"/>
  </r>
  <r>
    <s v="ORD01456"/>
    <s v="2024-03-17"/>
    <x v="3"/>
    <x v="10"/>
    <s v="Bangalore"/>
    <x v="1"/>
    <x v="8"/>
    <x v="1"/>
    <s v="Debit Card"/>
    <n v="1"/>
    <n v="31700"/>
    <n v="22190"/>
    <n v="9510"/>
    <x v="2"/>
    <x v="0"/>
  </r>
  <r>
    <s v="ORD01457"/>
    <s v="2023-08-09"/>
    <x v="0"/>
    <x v="14"/>
    <s v="Guwahati"/>
    <x v="3"/>
    <x v="13"/>
    <x v="1"/>
    <s v="UPI"/>
    <n v="9"/>
    <n v="384552"/>
    <n v="269186.39999999997"/>
    <n v="115365.60000000003"/>
    <x v="4"/>
    <x v="1"/>
  </r>
  <r>
    <s v="ORD01458"/>
    <s v="2023-08-08"/>
    <x v="2"/>
    <x v="2"/>
    <s v="New Delhi"/>
    <x v="2"/>
    <x v="15"/>
    <x v="2"/>
    <s v="Net Banking"/>
    <n v="4"/>
    <n v="55912"/>
    <n v="39138.399999999994"/>
    <n v="16773.600000000006"/>
    <x v="4"/>
    <x v="1"/>
  </r>
  <r>
    <s v="ORD01459"/>
    <s v="2024-08-08"/>
    <x v="3"/>
    <x v="10"/>
    <s v="Bangalore"/>
    <x v="1"/>
    <x v="7"/>
    <x v="2"/>
    <s v="Net Banking"/>
    <n v="1"/>
    <n v="15829"/>
    <n v="11080.3"/>
    <n v="4748.7000000000007"/>
    <x v="4"/>
    <x v="0"/>
  </r>
  <r>
    <s v="ORD01460"/>
    <s v="2023-03-18"/>
    <x v="1"/>
    <x v="9"/>
    <s v="Kolhapur"/>
    <x v="1"/>
    <x v="8"/>
    <x v="2"/>
    <s v="Cash"/>
    <n v="1"/>
    <n v="26192"/>
    <n v="18334.399999999998"/>
    <n v="7857.6000000000022"/>
    <x v="2"/>
    <x v="1"/>
  </r>
  <r>
    <s v="ORD01461"/>
    <s v="2024-02-21"/>
    <x v="3"/>
    <x v="7"/>
    <s v="Chennai"/>
    <x v="2"/>
    <x v="15"/>
    <x v="2"/>
    <s v="Net Banking"/>
    <n v="6"/>
    <n v="298626"/>
    <n v="209038.19999999998"/>
    <n v="89587.800000000017"/>
    <x v="1"/>
    <x v="0"/>
  </r>
  <r>
    <s v="ORD01462"/>
    <s v="2023-06-10"/>
    <x v="1"/>
    <x v="9"/>
    <s v="Kolhapur"/>
    <x v="1"/>
    <x v="5"/>
    <x v="2"/>
    <s v="Net Banking"/>
    <n v="5"/>
    <n v="15495"/>
    <n v="10846.5"/>
    <n v="4648.5"/>
    <x v="3"/>
    <x v="1"/>
  </r>
  <r>
    <s v="ORD01463"/>
    <s v="2023-07-16"/>
    <x v="1"/>
    <x v="9"/>
    <s v="Pune"/>
    <x v="0"/>
    <x v="10"/>
    <x v="2"/>
    <s v="Credit Card"/>
    <n v="1"/>
    <n v="35005"/>
    <n v="24503.5"/>
    <n v="10501.5"/>
    <x v="0"/>
    <x v="1"/>
  </r>
  <r>
    <s v="ORD01464"/>
    <s v="2023-08-31"/>
    <x v="3"/>
    <x v="5"/>
    <s v="Kochi"/>
    <x v="0"/>
    <x v="10"/>
    <x v="2"/>
    <s v="Net Banking"/>
    <n v="6"/>
    <n v="292236"/>
    <n v="204565.19999999998"/>
    <n v="87670.800000000017"/>
    <x v="4"/>
    <x v="1"/>
  </r>
  <r>
    <s v="ORD01465"/>
    <s v="2024-09-10"/>
    <x v="2"/>
    <x v="3"/>
    <s v="Ludhiana"/>
    <x v="0"/>
    <x v="2"/>
    <x v="0"/>
    <s v="Cash"/>
    <n v="9"/>
    <n v="83052"/>
    <n v="58136.399999999994"/>
    <n v="24915.600000000006"/>
    <x v="10"/>
    <x v="0"/>
  </r>
  <r>
    <s v="ORD01466"/>
    <s v="2024-01-19"/>
    <x v="0"/>
    <x v="0"/>
    <s v="Bhubaneswar"/>
    <x v="1"/>
    <x v="1"/>
    <x v="2"/>
    <s v="Cash"/>
    <n v="6"/>
    <n v="135264"/>
    <n v="94684.799999999988"/>
    <n v="40579.200000000012"/>
    <x v="8"/>
    <x v="0"/>
  </r>
  <r>
    <s v="ORD01467"/>
    <s v="2024-06-09"/>
    <x v="0"/>
    <x v="12"/>
    <s v="Patna"/>
    <x v="2"/>
    <x v="15"/>
    <x v="0"/>
    <s v="Credit Card"/>
    <n v="10"/>
    <n v="319140"/>
    <n v="223398"/>
    <n v="95742"/>
    <x v="3"/>
    <x v="0"/>
  </r>
  <r>
    <s v="ORD01468"/>
    <s v="2023-02-05"/>
    <x v="3"/>
    <x v="10"/>
    <s v="Bangalore"/>
    <x v="0"/>
    <x v="2"/>
    <x v="2"/>
    <s v="Credit Card"/>
    <n v="4"/>
    <n v="99696"/>
    <n v="69787.199999999997"/>
    <n v="29908.800000000003"/>
    <x v="1"/>
    <x v="1"/>
  </r>
  <r>
    <s v="ORD01469"/>
    <s v="2023-07-19"/>
    <x v="1"/>
    <x v="1"/>
    <s v="Ahmedabad"/>
    <x v="2"/>
    <x v="3"/>
    <x v="2"/>
    <s v="Credit Card"/>
    <n v="8"/>
    <n v="393352"/>
    <n v="275346.39999999997"/>
    <n v="118005.60000000003"/>
    <x v="0"/>
    <x v="1"/>
  </r>
  <r>
    <s v="ORD01470"/>
    <s v="2023-08-12"/>
    <x v="1"/>
    <x v="1"/>
    <s v="Ahmedabad"/>
    <x v="0"/>
    <x v="4"/>
    <x v="0"/>
    <s v="Credit Card"/>
    <n v="9"/>
    <n v="40032"/>
    <n v="28022.399999999998"/>
    <n v="12009.600000000002"/>
    <x v="4"/>
    <x v="1"/>
  </r>
  <r>
    <s v="ORD01471"/>
    <s v="2023-12-26"/>
    <x v="3"/>
    <x v="7"/>
    <s v="Chennai"/>
    <x v="2"/>
    <x v="3"/>
    <x v="0"/>
    <s v="UPI"/>
    <n v="10"/>
    <n v="72840"/>
    <n v="50988"/>
    <n v="21852"/>
    <x v="7"/>
    <x v="1"/>
  </r>
  <r>
    <s v="ORD01472"/>
    <s v="2023-07-04"/>
    <x v="2"/>
    <x v="4"/>
    <s v="Gurgaon"/>
    <x v="3"/>
    <x v="13"/>
    <x v="0"/>
    <s v="Net Banking"/>
    <n v="6"/>
    <n v="198870"/>
    <n v="139209"/>
    <n v="59661"/>
    <x v="0"/>
    <x v="1"/>
  </r>
  <r>
    <s v="ORD01473"/>
    <s v="2023-11-22"/>
    <x v="3"/>
    <x v="10"/>
    <s v="Bangalore"/>
    <x v="0"/>
    <x v="0"/>
    <x v="1"/>
    <s v="UPI"/>
    <n v="9"/>
    <n v="114399"/>
    <n v="80079.299999999988"/>
    <n v="34319.700000000012"/>
    <x v="6"/>
    <x v="1"/>
  </r>
  <r>
    <s v="ORD01474"/>
    <s v="2024-02-03"/>
    <x v="0"/>
    <x v="12"/>
    <s v="Patna"/>
    <x v="0"/>
    <x v="2"/>
    <x v="0"/>
    <s v="Debit Card"/>
    <n v="2"/>
    <n v="16418"/>
    <n v="11492.599999999999"/>
    <n v="4925.4000000000015"/>
    <x v="1"/>
    <x v="0"/>
  </r>
  <r>
    <s v="ORD01475"/>
    <s v="2024-11-18"/>
    <x v="0"/>
    <x v="12"/>
    <s v="Patna"/>
    <x v="0"/>
    <x v="2"/>
    <x v="0"/>
    <s v="Credit Card"/>
    <n v="2"/>
    <n v="18398"/>
    <n v="12878.599999999999"/>
    <n v="5519.4000000000015"/>
    <x v="6"/>
    <x v="0"/>
  </r>
  <r>
    <s v="ORD01476"/>
    <s v="2023-08-15"/>
    <x v="1"/>
    <x v="9"/>
    <s v="Pune"/>
    <x v="0"/>
    <x v="0"/>
    <x v="1"/>
    <s v="UPI"/>
    <n v="5"/>
    <n v="31785"/>
    <n v="22249.5"/>
    <n v="9535.5"/>
    <x v="4"/>
    <x v="1"/>
  </r>
  <r>
    <s v="ORD01477"/>
    <s v="2023-04-20"/>
    <x v="3"/>
    <x v="5"/>
    <s v="Kochi"/>
    <x v="0"/>
    <x v="4"/>
    <x v="2"/>
    <s v="Cash"/>
    <n v="8"/>
    <n v="5168"/>
    <n v="3617.6"/>
    <n v="1550.4"/>
    <x v="11"/>
    <x v="1"/>
  </r>
  <r>
    <s v="ORD01478"/>
    <s v="2023-12-28"/>
    <x v="1"/>
    <x v="9"/>
    <s v="Kolhapur"/>
    <x v="1"/>
    <x v="5"/>
    <x v="0"/>
    <s v="Net Banking"/>
    <n v="5"/>
    <n v="208150"/>
    <n v="145705"/>
    <n v="62445"/>
    <x v="7"/>
    <x v="1"/>
  </r>
  <r>
    <s v="ORD01479"/>
    <s v="2024-10-16"/>
    <x v="1"/>
    <x v="1"/>
    <s v="Ahmedabad"/>
    <x v="0"/>
    <x v="10"/>
    <x v="0"/>
    <s v="Debit Card"/>
    <n v="9"/>
    <n v="39807"/>
    <n v="27864.899999999998"/>
    <n v="11942.100000000002"/>
    <x v="5"/>
    <x v="0"/>
  </r>
  <r>
    <s v="ORD01480"/>
    <s v="2023-08-27"/>
    <x v="3"/>
    <x v="7"/>
    <s v="Chennai"/>
    <x v="2"/>
    <x v="15"/>
    <x v="0"/>
    <s v="Cash"/>
    <n v="10"/>
    <n v="214440"/>
    <n v="150108"/>
    <n v="64332"/>
    <x v="4"/>
    <x v="1"/>
  </r>
  <r>
    <s v="ORD01481"/>
    <s v="2023-12-16"/>
    <x v="0"/>
    <x v="14"/>
    <s v="Guwahati"/>
    <x v="3"/>
    <x v="13"/>
    <x v="1"/>
    <s v="Debit Card"/>
    <n v="7"/>
    <n v="159719"/>
    <n v="111803.29999999999"/>
    <n v="47915.700000000012"/>
    <x v="7"/>
    <x v="1"/>
  </r>
  <r>
    <s v="ORD01482"/>
    <s v="2023-10-15"/>
    <x v="3"/>
    <x v="6"/>
    <s v="Hyderabad"/>
    <x v="0"/>
    <x v="10"/>
    <x v="0"/>
    <s v="Debit Card"/>
    <n v="3"/>
    <n v="48291"/>
    <n v="33803.699999999997"/>
    <n v="14487.300000000003"/>
    <x v="5"/>
    <x v="1"/>
  </r>
  <r>
    <s v="ORD01483"/>
    <s v="2024-02-11"/>
    <x v="3"/>
    <x v="6"/>
    <s v="Hyderabad"/>
    <x v="1"/>
    <x v="1"/>
    <x v="2"/>
    <s v="Credit Card"/>
    <n v="9"/>
    <n v="355365"/>
    <n v="248755.49999999997"/>
    <n v="106609.50000000003"/>
    <x v="1"/>
    <x v="0"/>
  </r>
  <r>
    <s v="ORD01484"/>
    <s v="2023-09-11"/>
    <x v="1"/>
    <x v="9"/>
    <s v="Pune"/>
    <x v="0"/>
    <x v="10"/>
    <x v="1"/>
    <s v="Debit Card"/>
    <n v="9"/>
    <n v="441216"/>
    <n v="308851.19999999995"/>
    <n v="132364.80000000005"/>
    <x v="10"/>
    <x v="1"/>
  </r>
  <r>
    <s v="ORD01485"/>
    <s v="2023-02-08"/>
    <x v="3"/>
    <x v="5"/>
    <s v="Kochi"/>
    <x v="2"/>
    <x v="14"/>
    <x v="2"/>
    <s v="Credit Card"/>
    <n v="7"/>
    <n v="204078"/>
    <n v="142854.59999999998"/>
    <n v="61223.400000000023"/>
    <x v="1"/>
    <x v="1"/>
  </r>
  <r>
    <s v="ORD01486"/>
    <s v="2024-10-11"/>
    <x v="0"/>
    <x v="12"/>
    <s v="Patna"/>
    <x v="0"/>
    <x v="4"/>
    <x v="2"/>
    <s v="UPI"/>
    <n v="6"/>
    <n v="177174"/>
    <n v="124021.79999999999"/>
    <n v="53152.200000000012"/>
    <x v="5"/>
    <x v="0"/>
  </r>
  <r>
    <s v="ORD01487"/>
    <s v="2023-08-09"/>
    <x v="1"/>
    <x v="1"/>
    <s v="Ahmedabad"/>
    <x v="1"/>
    <x v="8"/>
    <x v="0"/>
    <s v="Debit Card"/>
    <n v="10"/>
    <n v="92100"/>
    <n v="64469.999999999993"/>
    <n v="27630.000000000007"/>
    <x v="4"/>
    <x v="1"/>
  </r>
  <r>
    <s v="ORD01488"/>
    <s v="2024-04-03"/>
    <x v="3"/>
    <x v="7"/>
    <s v="Chennai"/>
    <x v="0"/>
    <x v="4"/>
    <x v="2"/>
    <s v="Credit Card"/>
    <n v="4"/>
    <n v="124796"/>
    <n v="87357.2"/>
    <n v="37438.800000000003"/>
    <x v="11"/>
    <x v="0"/>
  </r>
  <r>
    <s v="ORD01489"/>
    <s v="2024-03-16"/>
    <x v="3"/>
    <x v="7"/>
    <s v="Chennai"/>
    <x v="0"/>
    <x v="4"/>
    <x v="0"/>
    <s v="Cash"/>
    <n v="2"/>
    <n v="76418"/>
    <n v="53492.6"/>
    <n v="22925.4"/>
    <x v="2"/>
    <x v="0"/>
  </r>
  <r>
    <s v="ORD01490"/>
    <s v="2023-10-04"/>
    <x v="1"/>
    <x v="9"/>
    <s v="Kolhapur"/>
    <x v="3"/>
    <x v="6"/>
    <x v="0"/>
    <s v="Debit Card"/>
    <n v="4"/>
    <n v="116948"/>
    <n v="81863.599999999991"/>
    <n v="35084.400000000009"/>
    <x v="5"/>
    <x v="1"/>
  </r>
  <r>
    <s v="ORD01491"/>
    <s v="2024-03-17"/>
    <x v="3"/>
    <x v="10"/>
    <s v="Bangalore"/>
    <x v="1"/>
    <x v="7"/>
    <x v="0"/>
    <s v="Net Banking"/>
    <n v="9"/>
    <n v="18225"/>
    <n v="12757.5"/>
    <n v="5467.5"/>
    <x v="2"/>
    <x v="0"/>
  </r>
  <r>
    <s v="ORD01492"/>
    <s v="2023-09-24"/>
    <x v="2"/>
    <x v="11"/>
    <s v="Lucknow"/>
    <x v="3"/>
    <x v="13"/>
    <x v="2"/>
    <s v="Credit Card"/>
    <n v="9"/>
    <n v="100260"/>
    <n v="70182"/>
    <n v="30078"/>
    <x v="10"/>
    <x v="1"/>
  </r>
  <r>
    <s v="ORD01493"/>
    <s v="2024-08-05"/>
    <x v="3"/>
    <x v="7"/>
    <s v="Chennai"/>
    <x v="2"/>
    <x v="3"/>
    <x v="1"/>
    <s v="Credit Card"/>
    <n v="3"/>
    <n v="142170"/>
    <n v="99519"/>
    <n v="42651"/>
    <x v="4"/>
    <x v="0"/>
  </r>
  <r>
    <s v="ORD01494"/>
    <s v="2023-02-17"/>
    <x v="0"/>
    <x v="14"/>
    <s v="Guwahati"/>
    <x v="2"/>
    <x v="14"/>
    <x v="2"/>
    <s v="Cash"/>
    <n v="9"/>
    <n v="120393"/>
    <n v="84275.099999999991"/>
    <n v="36117.900000000009"/>
    <x v="1"/>
    <x v="1"/>
  </r>
  <r>
    <s v="ORD01495"/>
    <s v="2023-10-25"/>
    <x v="2"/>
    <x v="11"/>
    <s v="Lucknow"/>
    <x v="2"/>
    <x v="12"/>
    <x v="2"/>
    <s v="Net Banking"/>
    <n v="7"/>
    <n v="326291"/>
    <n v="228403.69999999998"/>
    <n v="97887.300000000017"/>
    <x v="5"/>
    <x v="1"/>
  </r>
  <r>
    <s v="ORD01496"/>
    <s v="2023-11-04"/>
    <x v="0"/>
    <x v="13"/>
    <s v="Kolkata"/>
    <x v="0"/>
    <x v="4"/>
    <x v="0"/>
    <s v="Credit Card"/>
    <n v="2"/>
    <n v="31010"/>
    <n v="21707"/>
    <n v="9303"/>
    <x v="6"/>
    <x v="1"/>
  </r>
  <r>
    <s v="ORD01497"/>
    <s v="2023-07-23"/>
    <x v="0"/>
    <x v="12"/>
    <s v="Patna"/>
    <x v="2"/>
    <x v="15"/>
    <x v="1"/>
    <s v="Debit Card"/>
    <n v="10"/>
    <n v="189620"/>
    <n v="132734"/>
    <n v="56886"/>
    <x v="0"/>
    <x v="1"/>
  </r>
  <r>
    <s v="ORD01498"/>
    <s v="2023-10-29"/>
    <x v="1"/>
    <x v="9"/>
    <s v="Kolhapur"/>
    <x v="3"/>
    <x v="6"/>
    <x v="1"/>
    <s v="UPI"/>
    <n v="4"/>
    <n v="131760"/>
    <n v="92232"/>
    <n v="39528"/>
    <x v="5"/>
    <x v="1"/>
  </r>
  <r>
    <s v="ORD01499"/>
    <s v="2023-09-11"/>
    <x v="3"/>
    <x v="10"/>
    <s v="Bangalore"/>
    <x v="2"/>
    <x v="12"/>
    <x v="1"/>
    <s v="Cash"/>
    <n v="9"/>
    <n v="379107"/>
    <n v="265374.89999999997"/>
    <n v="113732.10000000003"/>
    <x v="10"/>
    <x v="1"/>
  </r>
  <r>
    <s v="ORD01500"/>
    <s v="2024-10-31"/>
    <x v="3"/>
    <x v="5"/>
    <s v="Kochi"/>
    <x v="0"/>
    <x v="10"/>
    <x v="2"/>
    <s v="Debit Card"/>
    <n v="9"/>
    <n v="398475"/>
    <n v="278932.5"/>
    <n v="119542.5"/>
    <x v="5"/>
    <x v="0"/>
  </r>
  <r>
    <s v="ORD01501"/>
    <s v="2024-09-21"/>
    <x v="0"/>
    <x v="14"/>
    <s v="Guwahati"/>
    <x v="1"/>
    <x v="7"/>
    <x v="0"/>
    <s v="Cash"/>
    <n v="3"/>
    <n v="8118"/>
    <n v="5682.5999999999995"/>
    <n v="2435.4000000000005"/>
    <x v="10"/>
    <x v="0"/>
  </r>
  <r>
    <s v="ORD01502"/>
    <s v="2024-02-12"/>
    <x v="3"/>
    <x v="5"/>
    <s v="Kochi"/>
    <x v="2"/>
    <x v="3"/>
    <x v="0"/>
    <s v="UPI"/>
    <n v="7"/>
    <n v="42196"/>
    <n v="29537.199999999997"/>
    <n v="12658.800000000003"/>
    <x v="1"/>
    <x v="0"/>
  </r>
  <r>
    <s v="ORD01503"/>
    <s v="2023-05-21"/>
    <x v="3"/>
    <x v="10"/>
    <s v="Bangalore"/>
    <x v="1"/>
    <x v="8"/>
    <x v="2"/>
    <s v="Net Banking"/>
    <n v="3"/>
    <n v="111495"/>
    <n v="78046.5"/>
    <n v="33448.5"/>
    <x v="9"/>
    <x v="1"/>
  </r>
  <r>
    <s v="ORD01504"/>
    <s v="2024-03-12"/>
    <x v="3"/>
    <x v="7"/>
    <s v="Chennai"/>
    <x v="3"/>
    <x v="13"/>
    <x v="0"/>
    <s v="Cash"/>
    <n v="10"/>
    <n v="397890"/>
    <n v="278523"/>
    <n v="119367"/>
    <x v="2"/>
    <x v="0"/>
  </r>
  <r>
    <s v="ORD01505"/>
    <s v="2024-10-02"/>
    <x v="3"/>
    <x v="5"/>
    <s v="Kochi"/>
    <x v="3"/>
    <x v="11"/>
    <x v="2"/>
    <s v="Net Banking"/>
    <n v="4"/>
    <n v="121080"/>
    <n v="84756"/>
    <n v="36324"/>
    <x v="5"/>
    <x v="0"/>
  </r>
  <r>
    <s v="ORD01506"/>
    <s v="2024-05-06"/>
    <x v="2"/>
    <x v="2"/>
    <s v="New Delhi"/>
    <x v="1"/>
    <x v="5"/>
    <x v="1"/>
    <s v="Debit Card"/>
    <n v="10"/>
    <n v="69960"/>
    <n v="48972"/>
    <n v="20988"/>
    <x v="9"/>
    <x v="0"/>
  </r>
  <r>
    <s v="ORD01507"/>
    <s v="2024-06-06"/>
    <x v="0"/>
    <x v="14"/>
    <s v="Guwahati"/>
    <x v="3"/>
    <x v="9"/>
    <x v="1"/>
    <s v="UPI"/>
    <n v="1"/>
    <n v="45572"/>
    <n v="31900.399999999998"/>
    <n v="13671.600000000002"/>
    <x v="3"/>
    <x v="0"/>
  </r>
  <r>
    <s v="ORD01508"/>
    <s v="2024-09-25"/>
    <x v="0"/>
    <x v="12"/>
    <s v="Patna"/>
    <x v="1"/>
    <x v="8"/>
    <x v="2"/>
    <s v="Debit Card"/>
    <n v="10"/>
    <n v="98630"/>
    <n v="69041"/>
    <n v="29589"/>
    <x v="10"/>
    <x v="0"/>
  </r>
  <r>
    <s v="ORD01509"/>
    <s v="2023-07-11"/>
    <x v="0"/>
    <x v="0"/>
    <s v="Bhubaneswar"/>
    <x v="1"/>
    <x v="1"/>
    <x v="0"/>
    <s v="Credit Card"/>
    <n v="4"/>
    <n v="123432"/>
    <n v="86402.4"/>
    <n v="37029.600000000006"/>
    <x v="0"/>
    <x v="1"/>
  </r>
  <r>
    <s v="ORD01510"/>
    <s v="2024-03-13"/>
    <x v="3"/>
    <x v="10"/>
    <s v="Bangalore"/>
    <x v="1"/>
    <x v="1"/>
    <x v="2"/>
    <s v="Credit Card"/>
    <n v="9"/>
    <n v="200466"/>
    <n v="140326.19999999998"/>
    <n v="60139.800000000017"/>
    <x v="2"/>
    <x v="0"/>
  </r>
  <r>
    <s v="ORD01511"/>
    <s v="2024-05-14"/>
    <x v="2"/>
    <x v="3"/>
    <s v="Ludhiana"/>
    <x v="0"/>
    <x v="10"/>
    <x v="1"/>
    <s v="Cash"/>
    <n v="4"/>
    <n v="33920"/>
    <n v="23744"/>
    <n v="10176"/>
    <x v="9"/>
    <x v="0"/>
  </r>
  <r>
    <s v="ORD01512"/>
    <s v="2024-02-03"/>
    <x v="0"/>
    <x v="0"/>
    <s v="Bhubaneswar"/>
    <x v="2"/>
    <x v="3"/>
    <x v="2"/>
    <s v="Credit Card"/>
    <n v="2"/>
    <n v="28752"/>
    <n v="20126.399999999998"/>
    <n v="8625.6000000000022"/>
    <x v="1"/>
    <x v="0"/>
  </r>
  <r>
    <s v="ORD01513"/>
    <s v="2023-12-23"/>
    <x v="0"/>
    <x v="12"/>
    <s v="Patna"/>
    <x v="1"/>
    <x v="8"/>
    <x v="0"/>
    <s v="UPI"/>
    <n v="5"/>
    <n v="48905"/>
    <n v="34233.5"/>
    <n v="14671.5"/>
    <x v="7"/>
    <x v="1"/>
  </r>
  <r>
    <s v="ORD01514"/>
    <s v="2023-10-26"/>
    <x v="2"/>
    <x v="11"/>
    <s v="Lucknow"/>
    <x v="2"/>
    <x v="3"/>
    <x v="1"/>
    <s v="Debit Card"/>
    <n v="9"/>
    <n v="73638"/>
    <n v="51546.6"/>
    <n v="22091.4"/>
    <x v="5"/>
    <x v="1"/>
  </r>
  <r>
    <s v="ORD01515"/>
    <s v="2023-03-08"/>
    <x v="3"/>
    <x v="10"/>
    <s v="Bangalore"/>
    <x v="0"/>
    <x v="0"/>
    <x v="2"/>
    <s v="Debit Card"/>
    <n v="8"/>
    <n v="244568"/>
    <n v="171197.59999999998"/>
    <n v="73370.400000000023"/>
    <x v="2"/>
    <x v="1"/>
  </r>
  <r>
    <s v="ORD01516"/>
    <s v="2024-10-02"/>
    <x v="0"/>
    <x v="14"/>
    <s v="Guwahati"/>
    <x v="2"/>
    <x v="14"/>
    <x v="2"/>
    <s v="Net Banking"/>
    <n v="5"/>
    <n v="30790"/>
    <n v="21553"/>
    <n v="9237"/>
    <x v="5"/>
    <x v="0"/>
  </r>
  <r>
    <s v="ORD01517"/>
    <s v="2024-09-12"/>
    <x v="2"/>
    <x v="11"/>
    <s v="Lucknow"/>
    <x v="3"/>
    <x v="11"/>
    <x v="1"/>
    <s v="Net Banking"/>
    <n v="10"/>
    <n v="77140"/>
    <n v="53998"/>
    <n v="23142"/>
    <x v="10"/>
    <x v="0"/>
  </r>
  <r>
    <s v="ORD01518"/>
    <s v="2024-07-29"/>
    <x v="3"/>
    <x v="10"/>
    <s v="Bangalore"/>
    <x v="2"/>
    <x v="15"/>
    <x v="2"/>
    <s v="Cash"/>
    <n v="5"/>
    <n v="189105"/>
    <n v="132373.5"/>
    <n v="56731.5"/>
    <x v="0"/>
    <x v="0"/>
  </r>
  <r>
    <s v="ORD01519"/>
    <s v="2024-09-17"/>
    <x v="1"/>
    <x v="1"/>
    <s v="Ahmedabad"/>
    <x v="3"/>
    <x v="6"/>
    <x v="2"/>
    <s v="Debit Card"/>
    <n v="7"/>
    <n v="266091"/>
    <n v="186263.69999999998"/>
    <n v="79827.300000000017"/>
    <x v="10"/>
    <x v="0"/>
  </r>
  <r>
    <s v="ORD01520"/>
    <s v="2023-04-28"/>
    <x v="3"/>
    <x v="5"/>
    <s v="Kochi"/>
    <x v="2"/>
    <x v="12"/>
    <x v="0"/>
    <s v="UPI"/>
    <n v="3"/>
    <n v="12156"/>
    <n v="8509.1999999999989"/>
    <n v="3646.8000000000011"/>
    <x v="11"/>
    <x v="1"/>
  </r>
  <r>
    <s v="ORD01521"/>
    <s v="2024-08-12"/>
    <x v="3"/>
    <x v="10"/>
    <s v="Bangalore"/>
    <x v="3"/>
    <x v="11"/>
    <x v="1"/>
    <s v="Net Banking"/>
    <n v="8"/>
    <n v="29280"/>
    <n v="20496"/>
    <n v="8784"/>
    <x v="4"/>
    <x v="0"/>
  </r>
  <r>
    <s v="ORD01522"/>
    <s v="2024-08-13"/>
    <x v="0"/>
    <x v="14"/>
    <s v="Guwahati"/>
    <x v="0"/>
    <x v="2"/>
    <x v="2"/>
    <s v="Cash"/>
    <n v="1"/>
    <n v="17690"/>
    <n v="12383"/>
    <n v="5307"/>
    <x v="4"/>
    <x v="0"/>
  </r>
  <r>
    <s v="ORD01523"/>
    <s v="2023-05-22"/>
    <x v="2"/>
    <x v="3"/>
    <s v="Ludhiana"/>
    <x v="1"/>
    <x v="1"/>
    <x v="1"/>
    <s v="Cash"/>
    <n v="3"/>
    <n v="87444"/>
    <n v="61210.799999999996"/>
    <n v="26233.200000000004"/>
    <x v="9"/>
    <x v="1"/>
  </r>
  <r>
    <s v="ORD01524"/>
    <s v="2024-06-08"/>
    <x v="2"/>
    <x v="4"/>
    <s v="Gurgaon"/>
    <x v="2"/>
    <x v="3"/>
    <x v="0"/>
    <s v="Debit Card"/>
    <n v="3"/>
    <n v="112425"/>
    <n v="78697.5"/>
    <n v="33727.5"/>
    <x v="3"/>
    <x v="0"/>
  </r>
  <r>
    <s v="ORD01525"/>
    <s v="2024-10-19"/>
    <x v="2"/>
    <x v="11"/>
    <s v="Lucknow"/>
    <x v="2"/>
    <x v="3"/>
    <x v="0"/>
    <s v="Credit Card"/>
    <n v="3"/>
    <n v="137832"/>
    <n v="96482.4"/>
    <n v="41349.600000000006"/>
    <x v="5"/>
    <x v="0"/>
  </r>
  <r>
    <s v="ORD01526"/>
    <s v="2023-01-29"/>
    <x v="2"/>
    <x v="4"/>
    <s v="Gurgaon"/>
    <x v="0"/>
    <x v="0"/>
    <x v="1"/>
    <s v="Debit Card"/>
    <n v="5"/>
    <n v="16730"/>
    <n v="11711"/>
    <n v="5019"/>
    <x v="8"/>
    <x v="1"/>
  </r>
  <r>
    <s v="ORD01527"/>
    <s v="2023-06-21"/>
    <x v="0"/>
    <x v="12"/>
    <s v="Patna"/>
    <x v="0"/>
    <x v="2"/>
    <x v="1"/>
    <s v="UPI"/>
    <n v="5"/>
    <n v="147775"/>
    <n v="103442.5"/>
    <n v="44332.5"/>
    <x v="3"/>
    <x v="1"/>
  </r>
  <r>
    <s v="ORD01528"/>
    <s v="2024-01-12"/>
    <x v="1"/>
    <x v="9"/>
    <s v="Pune"/>
    <x v="2"/>
    <x v="14"/>
    <x v="1"/>
    <s v="Net Banking"/>
    <n v="1"/>
    <n v="7035"/>
    <n v="4924.5"/>
    <n v="2110.5"/>
    <x v="8"/>
    <x v="0"/>
  </r>
  <r>
    <s v="ORD01529"/>
    <s v="2024-10-27"/>
    <x v="3"/>
    <x v="5"/>
    <s v="Kochi"/>
    <x v="3"/>
    <x v="9"/>
    <x v="2"/>
    <s v="Credit Card"/>
    <n v="4"/>
    <n v="115260"/>
    <n v="80682"/>
    <n v="34578"/>
    <x v="5"/>
    <x v="0"/>
  </r>
  <r>
    <s v="ORD01530"/>
    <s v="2024-11-24"/>
    <x v="2"/>
    <x v="2"/>
    <s v="New Delhi"/>
    <x v="2"/>
    <x v="12"/>
    <x v="1"/>
    <s v="Net Banking"/>
    <n v="6"/>
    <n v="51378"/>
    <n v="35964.6"/>
    <n v="15413.400000000001"/>
    <x v="6"/>
    <x v="0"/>
  </r>
  <r>
    <s v="ORD01531"/>
    <s v="2024-07-19"/>
    <x v="0"/>
    <x v="14"/>
    <s v="Guwahati"/>
    <x v="2"/>
    <x v="12"/>
    <x v="1"/>
    <s v="Debit Card"/>
    <n v="4"/>
    <n v="144536"/>
    <n v="101175.2"/>
    <n v="43360.800000000003"/>
    <x v="0"/>
    <x v="0"/>
  </r>
  <r>
    <s v="ORD01532"/>
    <s v="2024-01-30"/>
    <x v="0"/>
    <x v="14"/>
    <s v="Guwahati"/>
    <x v="2"/>
    <x v="12"/>
    <x v="2"/>
    <s v="Net Banking"/>
    <n v="7"/>
    <n v="235816"/>
    <n v="165071.19999999998"/>
    <n v="70744.800000000017"/>
    <x v="8"/>
    <x v="0"/>
  </r>
  <r>
    <s v="ORD01533"/>
    <s v="2023-09-07"/>
    <x v="3"/>
    <x v="6"/>
    <s v="Hyderabad"/>
    <x v="3"/>
    <x v="11"/>
    <x v="2"/>
    <s v="Debit Card"/>
    <n v="9"/>
    <n v="272403"/>
    <n v="190682.09999999998"/>
    <n v="81720.900000000023"/>
    <x v="10"/>
    <x v="1"/>
  </r>
  <r>
    <s v="ORD01534"/>
    <s v="2024-07-03"/>
    <x v="3"/>
    <x v="6"/>
    <s v="Hyderabad"/>
    <x v="2"/>
    <x v="12"/>
    <x v="0"/>
    <s v="Debit Card"/>
    <n v="4"/>
    <n v="107112"/>
    <n v="74978.399999999994"/>
    <n v="32133.600000000006"/>
    <x v="0"/>
    <x v="0"/>
  </r>
  <r>
    <s v="ORD01535"/>
    <s v="2024-03-08"/>
    <x v="0"/>
    <x v="12"/>
    <s v="Patna"/>
    <x v="1"/>
    <x v="1"/>
    <x v="2"/>
    <s v="Debit Card"/>
    <n v="6"/>
    <n v="259212"/>
    <n v="181448.4"/>
    <n v="77763.600000000006"/>
    <x v="2"/>
    <x v="0"/>
  </r>
  <r>
    <s v="ORD01536"/>
    <s v="2024-07-15"/>
    <x v="3"/>
    <x v="10"/>
    <s v="Bangalore"/>
    <x v="1"/>
    <x v="7"/>
    <x v="0"/>
    <s v="Debit Card"/>
    <n v="9"/>
    <n v="375264"/>
    <n v="262684.79999999999"/>
    <n v="112579.20000000001"/>
    <x v="0"/>
    <x v="0"/>
  </r>
  <r>
    <s v="ORD01537"/>
    <s v="2024-04-29"/>
    <x v="3"/>
    <x v="6"/>
    <s v="Hyderabad"/>
    <x v="0"/>
    <x v="2"/>
    <x v="0"/>
    <s v="Net Banking"/>
    <n v="8"/>
    <n v="146696"/>
    <n v="102687.2"/>
    <n v="44008.800000000003"/>
    <x v="11"/>
    <x v="0"/>
  </r>
  <r>
    <s v="ORD01538"/>
    <s v="2024-01-13"/>
    <x v="0"/>
    <x v="13"/>
    <s v="Kolkata"/>
    <x v="1"/>
    <x v="8"/>
    <x v="0"/>
    <s v="Debit Card"/>
    <n v="5"/>
    <n v="103745"/>
    <n v="72621.5"/>
    <n v="31123.5"/>
    <x v="8"/>
    <x v="0"/>
  </r>
  <r>
    <s v="ORD01539"/>
    <s v="2023-04-16"/>
    <x v="3"/>
    <x v="10"/>
    <s v="Bangalore"/>
    <x v="3"/>
    <x v="9"/>
    <x v="1"/>
    <s v="UPI"/>
    <n v="5"/>
    <n v="106880"/>
    <n v="74816"/>
    <n v="32064"/>
    <x v="11"/>
    <x v="1"/>
  </r>
  <r>
    <s v="ORD01540"/>
    <s v="2023-08-07"/>
    <x v="1"/>
    <x v="8"/>
    <s v="Panaji"/>
    <x v="2"/>
    <x v="15"/>
    <x v="0"/>
    <s v="Net Banking"/>
    <n v="9"/>
    <n v="263682"/>
    <n v="184577.4"/>
    <n v="79104.600000000006"/>
    <x v="4"/>
    <x v="1"/>
  </r>
  <r>
    <s v="ORD01541"/>
    <s v="2024-06-02"/>
    <x v="3"/>
    <x v="10"/>
    <s v="Bangalore"/>
    <x v="1"/>
    <x v="7"/>
    <x v="1"/>
    <s v="Cash"/>
    <n v="6"/>
    <n v="205662"/>
    <n v="143963.4"/>
    <n v="61698.600000000006"/>
    <x v="3"/>
    <x v="0"/>
  </r>
  <r>
    <s v="ORD01542"/>
    <s v="2023-01-19"/>
    <x v="1"/>
    <x v="9"/>
    <s v="Kolhapur"/>
    <x v="0"/>
    <x v="4"/>
    <x v="2"/>
    <s v="Debit Card"/>
    <n v="8"/>
    <n v="153520"/>
    <n v="107464"/>
    <n v="46056"/>
    <x v="8"/>
    <x v="1"/>
  </r>
  <r>
    <s v="ORD01543"/>
    <s v="2023-07-20"/>
    <x v="3"/>
    <x v="10"/>
    <s v="Bangalore"/>
    <x v="0"/>
    <x v="2"/>
    <x v="2"/>
    <s v="UPI"/>
    <n v="2"/>
    <n v="74708"/>
    <n v="52295.6"/>
    <n v="22412.400000000001"/>
    <x v="0"/>
    <x v="1"/>
  </r>
  <r>
    <s v="ORD01544"/>
    <s v="2024-02-26"/>
    <x v="3"/>
    <x v="6"/>
    <s v="Hyderabad"/>
    <x v="3"/>
    <x v="13"/>
    <x v="0"/>
    <s v="Debit Card"/>
    <n v="10"/>
    <n v="220900"/>
    <n v="154630"/>
    <n v="66270"/>
    <x v="1"/>
    <x v="0"/>
  </r>
  <r>
    <s v="ORD01545"/>
    <s v="2024-11-08"/>
    <x v="3"/>
    <x v="10"/>
    <s v="Bangalore"/>
    <x v="3"/>
    <x v="13"/>
    <x v="1"/>
    <s v="Debit Card"/>
    <n v="3"/>
    <n v="98823"/>
    <n v="69176.099999999991"/>
    <n v="29646.900000000009"/>
    <x v="6"/>
    <x v="0"/>
  </r>
  <r>
    <s v="ORD01546"/>
    <s v="2024-01-28"/>
    <x v="1"/>
    <x v="1"/>
    <s v="Ahmedabad"/>
    <x v="3"/>
    <x v="11"/>
    <x v="0"/>
    <s v="Credit Card"/>
    <n v="1"/>
    <n v="26718"/>
    <n v="18702.599999999999"/>
    <n v="8015.4000000000015"/>
    <x v="8"/>
    <x v="0"/>
  </r>
  <r>
    <s v="ORD01547"/>
    <s v="2024-07-24"/>
    <x v="0"/>
    <x v="0"/>
    <s v="Bhubaneswar"/>
    <x v="2"/>
    <x v="12"/>
    <x v="0"/>
    <s v="UPI"/>
    <n v="3"/>
    <n v="48867"/>
    <n v="34206.9"/>
    <n v="14660.099999999999"/>
    <x v="0"/>
    <x v="0"/>
  </r>
  <r>
    <s v="ORD01548"/>
    <s v="2024-03-19"/>
    <x v="3"/>
    <x v="5"/>
    <s v="Kochi"/>
    <x v="2"/>
    <x v="3"/>
    <x v="0"/>
    <s v="Credit Card"/>
    <n v="2"/>
    <n v="56096"/>
    <n v="39267.199999999997"/>
    <n v="16828.800000000003"/>
    <x v="2"/>
    <x v="0"/>
  </r>
  <r>
    <s v="ORD01549"/>
    <s v="2024-09-21"/>
    <x v="0"/>
    <x v="0"/>
    <s v="Bhubaneswar"/>
    <x v="2"/>
    <x v="3"/>
    <x v="1"/>
    <s v="Credit Card"/>
    <n v="1"/>
    <n v="6229"/>
    <n v="4360.2999999999993"/>
    <n v="1868.7000000000007"/>
    <x v="10"/>
    <x v="0"/>
  </r>
  <r>
    <s v="ORD01550"/>
    <s v="2024-10-02"/>
    <x v="1"/>
    <x v="8"/>
    <s v="Panaji"/>
    <x v="3"/>
    <x v="11"/>
    <x v="0"/>
    <s v="Credit Card"/>
    <n v="1"/>
    <n v="28462"/>
    <n v="19923.399999999998"/>
    <n v="8538.6000000000022"/>
    <x v="5"/>
    <x v="0"/>
  </r>
  <r>
    <s v="ORD01551"/>
    <s v="2024-08-09"/>
    <x v="0"/>
    <x v="0"/>
    <s v="Bhubaneswar"/>
    <x v="1"/>
    <x v="7"/>
    <x v="1"/>
    <s v="Cash"/>
    <n v="6"/>
    <n v="150906"/>
    <n v="105634.2"/>
    <n v="45271.8"/>
    <x v="4"/>
    <x v="0"/>
  </r>
  <r>
    <s v="ORD01552"/>
    <s v="2023-02-25"/>
    <x v="1"/>
    <x v="9"/>
    <s v="Kolhapur"/>
    <x v="0"/>
    <x v="10"/>
    <x v="0"/>
    <s v="Debit Card"/>
    <n v="7"/>
    <n v="248850"/>
    <n v="174195"/>
    <n v="74655"/>
    <x v="1"/>
    <x v="1"/>
  </r>
  <r>
    <s v="ORD01553"/>
    <s v="2023-08-18"/>
    <x v="2"/>
    <x v="2"/>
    <s v="New Delhi"/>
    <x v="1"/>
    <x v="7"/>
    <x v="2"/>
    <s v="UPI"/>
    <n v="9"/>
    <n v="158949"/>
    <n v="111264.29999999999"/>
    <n v="47684.700000000012"/>
    <x v="4"/>
    <x v="1"/>
  </r>
  <r>
    <s v="ORD01554"/>
    <s v="2023-11-22"/>
    <x v="2"/>
    <x v="2"/>
    <s v="New Delhi"/>
    <x v="2"/>
    <x v="3"/>
    <x v="0"/>
    <s v="Cash"/>
    <n v="8"/>
    <n v="249136"/>
    <n v="174395.19999999998"/>
    <n v="74740.800000000017"/>
    <x v="6"/>
    <x v="1"/>
  </r>
  <r>
    <s v="ORD01555"/>
    <s v="2024-10-23"/>
    <x v="1"/>
    <x v="8"/>
    <s v="Panaji"/>
    <x v="1"/>
    <x v="1"/>
    <x v="2"/>
    <s v="Cash"/>
    <n v="10"/>
    <n v="15630"/>
    <n v="10941"/>
    <n v="4689"/>
    <x v="5"/>
    <x v="0"/>
  </r>
  <r>
    <s v="ORD01556"/>
    <s v="2024-07-23"/>
    <x v="1"/>
    <x v="1"/>
    <s v="Ahmedabad"/>
    <x v="2"/>
    <x v="15"/>
    <x v="0"/>
    <s v="Debit Card"/>
    <n v="7"/>
    <n v="103796"/>
    <n v="72657.2"/>
    <n v="31138.800000000003"/>
    <x v="0"/>
    <x v="0"/>
  </r>
  <r>
    <s v="ORD01557"/>
    <s v="2024-09-14"/>
    <x v="3"/>
    <x v="7"/>
    <s v="Chennai"/>
    <x v="2"/>
    <x v="12"/>
    <x v="1"/>
    <s v="Net Banking"/>
    <n v="7"/>
    <n v="162148"/>
    <n v="113503.59999999999"/>
    <n v="48644.400000000009"/>
    <x v="10"/>
    <x v="0"/>
  </r>
  <r>
    <s v="ORD01558"/>
    <s v="2023-09-14"/>
    <x v="1"/>
    <x v="9"/>
    <s v="Pune"/>
    <x v="1"/>
    <x v="1"/>
    <x v="0"/>
    <s v="Net Banking"/>
    <n v="2"/>
    <n v="15228"/>
    <n v="10659.599999999999"/>
    <n v="4568.4000000000015"/>
    <x v="10"/>
    <x v="1"/>
  </r>
  <r>
    <s v="ORD01559"/>
    <s v="2024-02-28"/>
    <x v="2"/>
    <x v="2"/>
    <s v="New Delhi"/>
    <x v="1"/>
    <x v="5"/>
    <x v="0"/>
    <s v="UPI"/>
    <n v="10"/>
    <n v="464720"/>
    <n v="325304"/>
    <n v="139416"/>
    <x v="1"/>
    <x v="0"/>
  </r>
  <r>
    <s v="ORD01560"/>
    <s v="2023-05-16"/>
    <x v="2"/>
    <x v="3"/>
    <s v="Ludhiana"/>
    <x v="3"/>
    <x v="11"/>
    <x v="2"/>
    <s v="Credit Card"/>
    <n v="8"/>
    <n v="83768"/>
    <n v="58637.599999999999"/>
    <n v="25130.400000000001"/>
    <x v="9"/>
    <x v="1"/>
  </r>
  <r>
    <s v="ORD01561"/>
    <s v="2023-09-01"/>
    <x v="3"/>
    <x v="5"/>
    <s v="Kochi"/>
    <x v="2"/>
    <x v="3"/>
    <x v="2"/>
    <s v="Credit Card"/>
    <n v="10"/>
    <n v="184210"/>
    <n v="128946.99999999999"/>
    <n v="55263.000000000015"/>
    <x v="10"/>
    <x v="1"/>
  </r>
  <r>
    <s v="ORD01562"/>
    <s v="2024-11-16"/>
    <x v="1"/>
    <x v="1"/>
    <s v="Ahmedabad"/>
    <x v="1"/>
    <x v="5"/>
    <x v="2"/>
    <s v="UPI"/>
    <n v="4"/>
    <n v="164904"/>
    <n v="115432.79999999999"/>
    <n v="49471.200000000012"/>
    <x v="6"/>
    <x v="0"/>
  </r>
  <r>
    <s v="ORD01563"/>
    <s v="2023-05-12"/>
    <x v="2"/>
    <x v="2"/>
    <s v="New Delhi"/>
    <x v="0"/>
    <x v="2"/>
    <x v="0"/>
    <s v="Net Banking"/>
    <n v="5"/>
    <n v="74685"/>
    <n v="52279.5"/>
    <n v="22405.5"/>
    <x v="9"/>
    <x v="1"/>
  </r>
  <r>
    <s v="ORD01564"/>
    <s v="2024-09-20"/>
    <x v="2"/>
    <x v="4"/>
    <s v="Gurgaon"/>
    <x v="3"/>
    <x v="13"/>
    <x v="2"/>
    <s v="Credit Card"/>
    <n v="7"/>
    <n v="312032"/>
    <n v="218422.39999999999"/>
    <n v="93609.600000000006"/>
    <x v="10"/>
    <x v="0"/>
  </r>
  <r>
    <s v="ORD01565"/>
    <s v="2023-06-13"/>
    <x v="3"/>
    <x v="5"/>
    <s v="Kochi"/>
    <x v="3"/>
    <x v="9"/>
    <x v="2"/>
    <s v="UPI"/>
    <n v="7"/>
    <n v="277333"/>
    <n v="194133.09999999998"/>
    <n v="83199.900000000023"/>
    <x v="3"/>
    <x v="1"/>
  </r>
  <r>
    <s v="ORD01566"/>
    <s v="2023-09-09"/>
    <x v="3"/>
    <x v="10"/>
    <s v="Bangalore"/>
    <x v="0"/>
    <x v="2"/>
    <x v="0"/>
    <s v="Cash"/>
    <n v="4"/>
    <n v="191732"/>
    <n v="134212.4"/>
    <n v="57519.600000000006"/>
    <x v="10"/>
    <x v="1"/>
  </r>
  <r>
    <s v="ORD01567"/>
    <s v="2023-10-12"/>
    <x v="3"/>
    <x v="7"/>
    <s v="Chennai"/>
    <x v="0"/>
    <x v="4"/>
    <x v="2"/>
    <s v="Debit Card"/>
    <n v="2"/>
    <n v="56050"/>
    <n v="39235"/>
    <n v="16815"/>
    <x v="5"/>
    <x v="1"/>
  </r>
  <r>
    <s v="ORD01568"/>
    <s v="2024-01-08"/>
    <x v="2"/>
    <x v="2"/>
    <s v="New Delhi"/>
    <x v="2"/>
    <x v="14"/>
    <x v="2"/>
    <s v="Cash"/>
    <n v="10"/>
    <n v="148130"/>
    <n v="103691"/>
    <n v="44439"/>
    <x v="8"/>
    <x v="0"/>
  </r>
  <r>
    <s v="ORD01569"/>
    <s v="2023-09-01"/>
    <x v="2"/>
    <x v="4"/>
    <s v="Gurgaon"/>
    <x v="1"/>
    <x v="7"/>
    <x v="2"/>
    <s v="Net Banking"/>
    <n v="8"/>
    <n v="108288"/>
    <n v="75801.599999999991"/>
    <n v="32486.400000000009"/>
    <x v="10"/>
    <x v="1"/>
  </r>
  <r>
    <s v="ORD01570"/>
    <s v="2023-08-31"/>
    <x v="3"/>
    <x v="7"/>
    <s v="Chennai"/>
    <x v="2"/>
    <x v="3"/>
    <x v="1"/>
    <s v="Credit Card"/>
    <n v="2"/>
    <n v="41120"/>
    <n v="28783.999999999996"/>
    <n v="12336.000000000004"/>
    <x v="4"/>
    <x v="1"/>
  </r>
  <r>
    <s v="ORD01571"/>
    <s v="2023-10-17"/>
    <x v="2"/>
    <x v="11"/>
    <s v="Lucknow"/>
    <x v="3"/>
    <x v="9"/>
    <x v="1"/>
    <s v="Credit Card"/>
    <n v="9"/>
    <n v="27549"/>
    <n v="19284.3"/>
    <n v="8264.7000000000007"/>
    <x v="5"/>
    <x v="1"/>
  </r>
  <r>
    <s v="ORD01572"/>
    <s v="2024-05-26"/>
    <x v="3"/>
    <x v="5"/>
    <s v="Kochi"/>
    <x v="1"/>
    <x v="5"/>
    <x v="1"/>
    <s v="Credit Card"/>
    <n v="2"/>
    <n v="9938"/>
    <n v="6956.5999999999995"/>
    <n v="2981.4000000000005"/>
    <x v="9"/>
    <x v="0"/>
  </r>
  <r>
    <s v="ORD01573"/>
    <s v="2024-02-29"/>
    <x v="3"/>
    <x v="5"/>
    <s v="Kochi"/>
    <x v="0"/>
    <x v="0"/>
    <x v="2"/>
    <s v="Debit Card"/>
    <n v="4"/>
    <n v="171332"/>
    <n v="119932.4"/>
    <n v="51399.600000000006"/>
    <x v="1"/>
    <x v="0"/>
  </r>
  <r>
    <s v="ORD01574"/>
    <s v="2024-11-27"/>
    <x v="1"/>
    <x v="1"/>
    <s v="Ahmedabad"/>
    <x v="2"/>
    <x v="3"/>
    <x v="0"/>
    <s v="Net Banking"/>
    <n v="9"/>
    <n v="121770"/>
    <n v="85239"/>
    <n v="36531"/>
    <x v="6"/>
    <x v="0"/>
  </r>
  <r>
    <s v="ORD01575"/>
    <s v="2023-01-17"/>
    <x v="3"/>
    <x v="7"/>
    <s v="Chennai"/>
    <x v="2"/>
    <x v="14"/>
    <x v="0"/>
    <s v="Net Banking"/>
    <n v="6"/>
    <n v="247200"/>
    <n v="173040"/>
    <n v="74160"/>
    <x v="8"/>
    <x v="1"/>
  </r>
  <r>
    <s v="ORD01576"/>
    <s v="2023-08-20"/>
    <x v="3"/>
    <x v="10"/>
    <s v="Bangalore"/>
    <x v="2"/>
    <x v="14"/>
    <x v="0"/>
    <s v="Net Banking"/>
    <n v="6"/>
    <n v="299604"/>
    <n v="209722.8"/>
    <n v="89881.200000000012"/>
    <x v="4"/>
    <x v="1"/>
  </r>
  <r>
    <s v="ORD01577"/>
    <s v="2023-04-26"/>
    <x v="0"/>
    <x v="13"/>
    <s v="Kolkata"/>
    <x v="2"/>
    <x v="15"/>
    <x v="1"/>
    <s v="UPI"/>
    <n v="8"/>
    <n v="50168"/>
    <n v="35117.599999999999"/>
    <n v="15050.400000000001"/>
    <x v="11"/>
    <x v="1"/>
  </r>
  <r>
    <s v="ORD01578"/>
    <s v="2023-03-14"/>
    <x v="0"/>
    <x v="0"/>
    <s v="Bhubaneswar"/>
    <x v="0"/>
    <x v="0"/>
    <x v="0"/>
    <s v="UPI"/>
    <n v="1"/>
    <n v="9305"/>
    <n v="6513.5"/>
    <n v="2791.5"/>
    <x v="2"/>
    <x v="1"/>
  </r>
  <r>
    <s v="ORD01579"/>
    <s v="2024-05-23"/>
    <x v="0"/>
    <x v="14"/>
    <s v="Guwahati"/>
    <x v="1"/>
    <x v="8"/>
    <x v="0"/>
    <s v="Credit Card"/>
    <n v="7"/>
    <n v="121177"/>
    <n v="84823.9"/>
    <n v="36353.100000000006"/>
    <x v="9"/>
    <x v="0"/>
  </r>
  <r>
    <s v="ORD01580"/>
    <s v="2023-10-30"/>
    <x v="1"/>
    <x v="9"/>
    <s v="Pune"/>
    <x v="3"/>
    <x v="13"/>
    <x v="1"/>
    <s v="Cash"/>
    <n v="10"/>
    <n v="175120"/>
    <n v="122583.99999999999"/>
    <n v="52536.000000000015"/>
    <x v="5"/>
    <x v="1"/>
  </r>
  <r>
    <s v="ORD01581"/>
    <s v="2023-08-19"/>
    <x v="2"/>
    <x v="3"/>
    <s v="Ludhiana"/>
    <x v="2"/>
    <x v="14"/>
    <x v="2"/>
    <s v="Net Banking"/>
    <n v="2"/>
    <n v="55396"/>
    <n v="38777.199999999997"/>
    <n v="16618.800000000003"/>
    <x v="4"/>
    <x v="1"/>
  </r>
  <r>
    <s v="ORD01582"/>
    <s v="2024-01-10"/>
    <x v="0"/>
    <x v="0"/>
    <s v="Bhubaneswar"/>
    <x v="0"/>
    <x v="10"/>
    <x v="1"/>
    <s v="Debit Card"/>
    <n v="10"/>
    <n v="213520"/>
    <n v="149464"/>
    <n v="64056"/>
    <x v="8"/>
    <x v="0"/>
  </r>
  <r>
    <s v="ORD01583"/>
    <s v="2023-04-02"/>
    <x v="1"/>
    <x v="9"/>
    <s v="Pune"/>
    <x v="0"/>
    <x v="0"/>
    <x v="2"/>
    <s v="Credit Card"/>
    <n v="5"/>
    <n v="30775"/>
    <n v="21542.5"/>
    <n v="9232.5"/>
    <x v="11"/>
    <x v="1"/>
  </r>
  <r>
    <s v="ORD01584"/>
    <s v="2023-10-19"/>
    <x v="0"/>
    <x v="14"/>
    <s v="Guwahati"/>
    <x v="2"/>
    <x v="3"/>
    <x v="1"/>
    <s v="UPI"/>
    <n v="3"/>
    <n v="125574"/>
    <n v="87901.799999999988"/>
    <n v="37672.200000000012"/>
    <x v="5"/>
    <x v="1"/>
  </r>
  <r>
    <s v="ORD01585"/>
    <s v="2024-07-28"/>
    <x v="3"/>
    <x v="6"/>
    <s v="Hyderabad"/>
    <x v="2"/>
    <x v="15"/>
    <x v="0"/>
    <s v="Cash"/>
    <n v="6"/>
    <n v="148686"/>
    <n v="104080.2"/>
    <n v="44605.8"/>
    <x v="0"/>
    <x v="0"/>
  </r>
  <r>
    <s v="ORD01586"/>
    <s v="2024-05-21"/>
    <x v="0"/>
    <x v="0"/>
    <s v="Bhubaneswar"/>
    <x v="1"/>
    <x v="5"/>
    <x v="0"/>
    <s v="Cash"/>
    <n v="9"/>
    <n v="28593"/>
    <n v="20015.099999999999"/>
    <n v="8577.9000000000015"/>
    <x v="9"/>
    <x v="0"/>
  </r>
  <r>
    <s v="ORD01587"/>
    <s v="2023-08-28"/>
    <x v="1"/>
    <x v="9"/>
    <s v="Pune"/>
    <x v="0"/>
    <x v="2"/>
    <x v="2"/>
    <s v="Net Banking"/>
    <n v="5"/>
    <n v="120440"/>
    <n v="84308"/>
    <n v="36132"/>
    <x v="4"/>
    <x v="1"/>
  </r>
  <r>
    <s v="ORD01588"/>
    <s v="2024-02-22"/>
    <x v="0"/>
    <x v="13"/>
    <s v="Kolkata"/>
    <x v="1"/>
    <x v="8"/>
    <x v="1"/>
    <s v="Credit Card"/>
    <n v="4"/>
    <n v="87272"/>
    <n v="61090.399999999994"/>
    <n v="26181.600000000006"/>
    <x v="1"/>
    <x v="0"/>
  </r>
  <r>
    <s v="ORD01589"/>
    <s v="2023-07-01"/>
    <x v="3"/>
    <x v="6"/>
    <s v="Hyderabad"/>
    <x v="2"/>
    <x v="12"/>
    <x v="2"/>
    <s v="Cash"/>
    <n v="5"/>
    <n v="108155"/>
    <n v="75708.5"/>
    <n v="32446.5"/>
    <x v="0"/>
    <x v="1"/>
  </r>
  <r>
    <s v="ORD01590"/>
    <s v="2023-10-12"/>
    <x v="3"/>
    <x v="5"/>
    <s v="Kochi"/>
    <x v="3"/>
    <x v="9"/>
    <x v="0"/>
    <s v="Credit Card"/>
    <n v="10"/>
    <n v="446890"/>
    <n v="312823"/>
    <n v="134067"/>
    <x v="5"/>
    <x v="1"/>
  </r>
  <r>
    <s v="ORD01591"/>
    <s v="2024-07-18"/>
    <x v="1"/>
    <x v="8"/>
    <s v="Panaji"/>
    <x v="0"/>
    <x v="2"/>
    <x v="2"/>
    <s v="Credit Card"/>
    <n v="6"/>
    <n v="4644"/>
    <n v="3250.7999999999997"/>
    <n v="1393.2000000000003"/>
    <x v="0"/>
    <x v="0"/>
  </r>
  <r>
    <s v="ORD01592"/>
    <s v="2024-08-03"/>
    <x v="3"/>
    <x v="5"/>
    <s v="Kochi"/>
    <x v="2"/>
    <x v="14"/>
    <x v="1"/>
    <s v="Debit Card"/>
    <n v="5"/>
    <n v="152665"/>
    <n v="106865.5"/>
    <n v="45799.5"/>
    <x v="4"/>
    <x v="0"/>
  </r>
  <r>
    <s v="ORD01593"/>
    <s v="2023-03-04"/>
    <x v="3"/>
    <x v="6"/>
    <s v="Hyderabad"/>
    <x v="2"/>
    <x v="14"/>
    <x v="2"/>
    <s v="Cash"/>
    <n v="8"/>
    <n v="116160"/>
    <n v="81312"/>
    <n v="34848"/>
    <x v="2"/>
    <x v="1"/>
  </r>
  <r>
    <s v="ORD01594"/>
    <s v="2024-04-16"/>
    <x v="3"/>
    <x v="7"/>
    <s v="Chennai"/>
    <x v="3"/>
    <x v="6"/>
    <x v="0"/>
    <s v="Net Banking"/>
    <n v="6"/>
    <n v="172968"/>
    <n v="121077.59999999999"/>
    <n v="51890.400000000009"/>
    <x v="11"/>
    <x v="0"/>
  </r>
  <r>
    <s v="ORD01595"/>
    <s v="2023-06-16"/>
    <x v="3"/>
    <x v="6"/>
    <s v="Hyderabad"/>
    <x v="3"/>
    <x v="6"/>
    <x v="0"/>
    <s v="Net Banking"/>
    <n v="6"/>
    <n v="248268"/>
    <n v="173787.59999999998"/>
    <n v="74480.400000000023"/>
    <x v="3"/>
    <x v="1"/>
  </r>
  <r>
    <s v="ORD01596"/>
    <s v="2023-01-30"/>
    <x v="3"/>
    <x v="10"/>
    <s v="Bangalore"/>
    <x v="3"/>
    <x v="11"/>
    <x v="1"/>
    <s v="Cash"/>
    <n v="6"/>
    <n v="150336"/>
    <n v="105235.2"/>
    <n v="45100.800000000003"/>
    <x v="8"/>
    <x v="1"/>
  </r>
  <r>
    <s v="ORD01597"/>
    <s v="2024-06-07"/>
    <x v="2"/>
    <x v="2"/>
    <s v="New Delhi"/>
    <x v="0"/>
    <x v="4"/>
    <x v="1"/>
    <s v="Net Banking"/>
    <n v="3"/>
    <n v="83169"/>
    <n v="58218.299999999996"/>
    <n v="24950.700000000004"/>
    <x v="3"/>
    <x v="0"/>
  </r>
  <r>
    <s v="ORD01598"/>
    <s v="2024-04-01"/>
    <x v="1"/>
    <x v="9"/>
    <s v="Pune"/>
    <x v="1"/>
    <x v="1"/>
    <x v="2"/>
    <s v="Net Banking"/>
    <n v="3"/>
    <n v="30882"/>
    <n v="21617.399999999998"/>
    <n v="9264.6000000000022"/>
    <x v="11"/>
    <x v="0"/>
  </r>
  <r>
    <s v="ORD01599"/>
    <s v="2023-08-20"/>
    <x v="0"/>
    <x v="14"/>
    <s v="Guwahati"/>
    <x v="0"/>
    <x v="4"/>
    <x v="1"/>
    <s v="Credit Card"/>
    <n v="3"/>
    <n v="35418"/>
    <n v="24792.6"/>
    <n v="10625.400000000001"/>
    <x v="4"/>
    <x v="1"/>
  </r>
  <r>
    <s v="ORD01600"/>
    <s v="2023-04-29"/>
    <x v="1"/>
    <x v="9"/>
    <s v="Pune"/>
    <x v="2"/>
    <x v="15"/>
    <x v="1"/>
    <s v="UPI"/>
    <n v="4"/>
    <n v="197284"/>
    <n v="138098.79999999999"/>
    <n v="59185.200000000012"/>
    <x v="11"/>
    <x v="1"/>
  </r>
  <r>
    <s v="ORD01601"/>
    <s v="2023-04-22"/>
    <x v="2"/>
    <x v="11"/>
    <s v="Lucknow"/>
    <x v="1"/>
    <x v="8"/>
    <x v="0"/>
    <s v="Debit Card"/>
    <n v="3"/>
    <n v="39720"/>
    <n v="27804"/>
    <n v="11916"/>
    <x v="11"/>
    <x v="1"/>
  </r>
  <r>
    <s v="ORD01602"/>
    <s v="2024-08-18"/>
    <x v="0"/>
    <x v="14"/>
    <s v="Guwahati"/>
    <x v="0"/>
    <x v="0"/>
    <x v="1"/>
    <s v="Cash"/>
    <n v="5"/>
    <n v="81840"/>
    <n v="57288"/>
    <n v="24552"/>
    <x v="4"/>
    <x v="0"/>
  </r>
  <r>
    <s v="ORD01603"/>
    <s v="2024-07-03"/>
    <x v="2"/>
    <x v="3"/>
    <s v="Ludhiana"/>
    <x v="0"/>
    <x v="2"/>
    <x v="1"/>
    <s v="Net Banking"/>
    <n v="5"/>
    <n v="159315"/>
    <n v="111520.5"/>
    <n v="47794.5"/>
    <x v="0"/>
    <x v="0"/>
  </r>
  <r>
    <s v="ORD01604"/>
    <s v="2024-04-12"/>
    <x v="3"/>
    <x v="6"/>
    <s v="Hyderabad"/>
    <x v="1"/>
    <x v="7"/>
    <x v="0"/>
    <s v="Net Banking"/>
    <n v="8"/>
    <n v="125672"/>
    <n v="87970.4"/>
    <n v="37701.600000000006"/>
    <x v="11"/>
    <x v="0"/>
  </r>
  <r>
    <s v="ORD01605"/>
    <s v="2023-06-04"/>
    <x v="3"/>
    <x v="10"/>
    <s v="Bangalore"/>
    <x v="2"/>
    <x v="14"/>
    <x v="0"/>
    <s v="UPI"/>
    <n v="4"/>
    <n v="137168"/>
    <n v="96017.599999999991"/>
    <n v="41150.400000000009"/>
    <x v="3"/>
    <x v="1"/>
  </r>
  <r>
    <s v="ORD01606"/>
    <s v="2023-10-29"/>
    <x v="2"/>
    <x v="11"/>
    <s v="Lucknow"/>
    <x v="3"/>
    <x v="11"/>
    <x v="1"/>
    <s v="Net Banking"/>
    <n v="6"/>
    <n v="277806"/>
    <n v="194464.19999999998"/>
    <n v="83341.800000000017"/>
    <x v="5"/>
    <x v="1"/>
  </r>
  <r>
    <s v="ORD01607"/>
    <s v="2023-12-24"/>
    <x v="2"/>
    <x v="2"/>
    <s v="New Delhi"/>
    <x v="3"/>
    <x v="9"/>
    <x v="2"/>
    <s v="Net Banking"/>
    <n v="6"/>
    <n v="265440"/>
    <n v="185808"/>
    <n v="79632"/>
    <x v="7"/>
    <x v="1"/>
  </r>
  <r>
    <s v="ORD01608"/>
    <s v="2024-04-18"/>
    <x v="1"/>
    <x v="1"/>
    <s v="Ahmedabad"/>
    <x v="1"/>
    <x v="7"/>
    <x v="2"/>
    <s v="Cash"/>
    <n v="4"/>
    <n v="58440"/>
    <n v="40908"/>
    <n v="17532"/>
    <x v="11"/>
    <x v="0"/>
  </r>
  <r>
    <s v="ORD01609"/>
    <s v="2023-08-23"/>
    <x v="2"/>
    <x v="3"/>
    <s v="Ludhiana"/>
    <x v="2"/>
    <x v="14"/>
    <x v="0"/>
    <s v="Debit Card"/>
    <n v="8"/>
    <n v="280040"/>
    <n v="196028"/>
    <n v="84012"/>
    <x v="4"/>
    <x v="1"/>
  </r>
  <r>
    <s v="ORD01610"/>
    <s v="2024-03-14"/>
    <x v="2"/>
    <x v="11"/>
    <s v="Lucknow"/>
    <x v="1"/>
    <x v="1"/>
    <x v="2"/>
    <s v="Cash"/>
    <n v="5"/>
    <n v="188015"/>
    <n v="131610.5"/>
    <n v="56404.5"/>
    <x v="2"/>
    <x v="0"/>
  </r>
  <r>
    <s v="ORD01611"/>
    <s v="2023-02-21"/>
    <x v="3"/>
    <x v="5"/>
    <s v="Kochi"/>
    <x v="1"/>
    <x v="1"/>
    <x v="1"/>
    <s v="UPI"/>
    <n v="8"/>
    <n v="37784"/>
    <n v="26448.799999999999"/>
    <n v="11335.2"/>
    <x v="1"/>
    <x v="1"/>
  </r>
  <r>
    <s v="ORD01612"/>
    <s v="2024-08-22"/>
    <x v="2"/>
    <x v="11"/>
    <s v="Lucknow"/>
    <x v="2"/>
    <x v="3"/>
    <x v="0"/>
    <s v="Cash"/>
    <n v="6"/>
    <n v="215274"/>
    <n v="150691.79999999999"/>
    <n v="64582.200000000012"/>
    <x v="4"/>
    <x v="0"/>
  </r>
  <r>
    <s v="ORD01613"/>
    <s v="2024-07-18"/>
    <x v="3"/>
    <x v="7"/>
    <s v="Chennai"/>
    <x v="1"/>
    <x v="8"/>
    <x v="0"/>
    <s v="UPI"/>
    <n v="9"/>
    <n v="312255"/>
    <n v="218578.5"/>
    <n v="93676.5"/>
    <x v="0"/>
    <x v="0"/>
  </r>
  <r>
    <s v="ORD01614"/>
    <s v="2024-11-21"/>
    <x v="0"/>
    <x v="0"/>
    <s v="Bhubaneswar"/>
    <x v="1"/>
    <x v="7"/>
    <x v="1"/>
    <s v="UPI"/>
    <n v="8"/>
    <n v="398312"/>
    <n v="278818.39999999997"/>
    <n v="119493.60000000003"/>
    <x v="6"/>
    <x v="0"/>
  </r>
  <r>
    <s v="ORD01615"/>
    <s v="2023-05-23"/>
    <x v="2"/>
    <x v="4"/>
    <s v="Gurgaon"/>
    <x v="2"/>
    <x v="3"/>
    <x v="1"/>
    <s v="Credit Card"/>
    <n v="4"/>
    <n v="67184"/>
    <n v="47028.799999999996"/>
    <n v="20155.200000000004"/>
    <x v="9"/>
    <x v="1"/>
  </r>
  <r>
    <s v="ORD01616"/>
    <s v="2023-08-24"/>
    <x v="0"/>
    <x v="12"/>
    <s v="Patna"/>
    <x v="1"/>
    <x v="8"/>
    <x v="1"/>
    <s v="Credit Card"/>
    <n v="10"/>
    <n v="102610"/>
    <n v="71827"/>
    <n v="30783"/>
    <x v="4"/>
    <x v="1"/>
  </r>
  <r>
    <s v="ORD01617"/>
    <s v="2024-08-22"/>
    <x v="1"/>
    <x v="9"/>
    <s v="Kolhapur"/>
    <x v="0"/>
    <x v="4"/>
    <x v="0"/>
    <s v="Debit Card"/>
    <n v="9"/>
    <n v="445311"/>
    <n v="311717.69999999995"/>
    <n v="133593.30000000005"/>
    <x v="4"/>
    <x v="0"/>
  </r>
  <r>
    <s v="ORD01618"/>
    <s v="2024-06-27"/>
    <x v="0"/>
    <x v="14"/>
    <s v="Guwahati"/>
    <x v="2"/>
    <x v="15"/>
    <x v="1"/>
    <s v="UPI"/>
    <n v="7"/>
    <n v="206297"/>
    <n v="144407.9"/>
    <n v="61889.100000000006"/>
    <x v="3"/>
    <x v="0"/>
  </r>
  <r>
    <s v="ORD01619"/>
    <s v="2023-09-03"/>
    <x v="2"/>
    <x v="2"/>
    <s v="New Delhi"/>
    <x v="0"/>
    <x v="4"/>
    <x v="2"/>
    <s v="UPI"/>
    <n v="2"/>
    <n v="47750"/>
    <n v="33425"/>
    <n v="14325"/>
    <x v="10"/>
    <x v="1"/>
  </r>
  <r>
    <s v="ORD01620"/>
    <s v="2023-10-02"/>
    <x v="1"/>
    <x v="9"/>
    <s v="Pune"/>
    <x v="1"/>
    <x v="7"/>
    <x v="2"/>
    <s v="Credit Card"/>
    <n v="2"/>
    <n v="9032"/>
    <n v="6322.4"/>
    <n v="2709.6000000000004"/>
    <x v="5"/>
    <x v="1"/>
  </r>
  <r>
    <s v="ORD01621"/>
    <s v="2023-12-05"/>
    <x v="0"/>
    <x v="12"/>
    <s v="Patna"/>
    <x v="2"/>
    <x v="15"/>
    <x v="2"/>
    <s v="Cash"/>
    <n v="5"/>
    <n v="173960"/>
    <n v="121771.99999999999"/>
    <n v="52188.000000000015"/>
    <x v="7"/>
    <x v="1"/>
  </r>
  <r>
    <s v="ORD01622"/>
    <s v="2023-09-08"/>
    <x v="0"/>
    <x v="14"/>
    <s v="Guwahati"/>
    <x v="2"/>
    <x v="12"/>
    <x v="1"/>
    <s v="UPI"/>
    <n v="10"/>
    <n v="39240"/>
    <n v="27468"/>
    <n v="11772"/>
    <x v="10"/>
    <x v="1"/>
  </r>
  <r>
    <s v="ORD01623"/>
    <s v="2023-05-24"/>
    <x v="0"/>
    <x v="14"/>
    <s v="Guwahati"/>
    <x v="1"/>
    <x v="8"/>
    <x v="2"/>
    <s v="Debit Card"/>
    <n v="7"/>
    <n v="216328"/>
    <n v="151429.59999999998"/>
    <n v="64898.400000000023"/>
    <x v="9"/>
    <x v="1"/>
  </r>
  <r>
    <s v="ORD01624"/>
    <s v="2024-11-21"/>
    <x v="3"/>
    <x v="7"/>
    <s v="Chennai"/>
    <x v="1"/>
    <x v="1"/>
    <x v="0"/>
    <s v="Credit Card"/>
    <n v="6"/>
    <n v="61434"/>
    <n v="43003.799999999996"/>
    <n v="18430.200000000004"/>
    <x v="6"/>
    <x v="0"/>
  </r>
  <r>
    <s v="ORD01625"/>
    <s v="2024-02-11"/>
    <x v="0"/>
    <x v="12"/>
    <s v="Patna"/>
    <x v="3"/>
    <x v="11"/>
    <x v="0"/>
    <s v="UPI"/>
    <n v="4"/>
    <n v="23756"/>
    <n v="16629.2"/>
    <n v="7126.7999999999993"/>
    <x v="1"/>
    <x v="0"/>
  </r>
  <r>
    <s v="ORD01626"/>
    <s v="2024-06-03"/>
    <x v="2"/>
    <x v="4"/>
    <s v="Gurgaon"/>
    <x v="0"/>
    <x v="10"/>
    <x v="2"/>
    <s v="Net Banking"/>
    <n v="8"/>
    <n v="205152"/>
    <n v="143606.39999999999"/>
    <n v="61545.600000000006"/>
    <x v="3"/>
    <x v="0"/>
  </r>
  <r>
    <s v="ORD01627"/>
    <s v="2023-05-21"/>
    <x v="0"/>
    <x v="13"/>
    <s v="Kolkata"/>
    <x v="2"/>
    <x v="12"/>
    <x v="2"/>
    <s v="Cash"/>
    <n v="9"/>
    <n v="240966"/>
    <n v="168676.19999999998"/>
    <n v="72289.800000000017"/>
    <x v="9"/>
    <x v="1"/>
  </r>
  <r>
    <s v="ORD01628"/>
    <s v="2023-11-16"/>
    <x v="1"/>
    <x v="9"/>
    <s v="Pune"/>
    <x v="3"/>
    <x v="11"/>
    <x v="2"/>
    <s v="UPI"/>
    <n v="5"/>
    <n v="147610"/>
    <n v="103327"/>
    <n v="44283"/>
    <x v="6"/>
    <x v="1"/>
  </r>
  <r>
    <s v="ORD01629"/>
    <s v="2024-06-04"/>
    <x v="3"/>
    <x v="6"/>
    <s v="Hyderabad"/>
    <x v="0"/>
    <x v="10"/>
    <x v="2"/>
    <s v="UPI"/>
    <n v="5"/>
    <n v="14975"/>
    <n v="10482.5"/>
    <n v="4492.5"/>
    <x v="3"/>
    <x v="0"/>
  </r>
  <r>
    <s v="ORD01630"/>
    <s v="2023-11-01"/>
    <x v="2"/>
    <x v="3"/>
    <s v="Ludhiana"/>
    <x v="2"/>
    <x v="14"/>
    <x v="2"/>
    <s v="Credit Card"/>
    <n v="4"/>
    <n v="123004"/>
    <n v="86102.799999999988"/>
    <n v="36901.200000000012"/>
    <x v="6"/>
    <x v="1"/>
  </r>
  <r>
    <s v="ORD01631"/>
    <s v="2023-01-15"/>
    <x v="2"/>
    <x v="4"/>
    <s v="Gurgaon"/>
    <x v="0"/>
    <x v="4"/>
    <x v="2"/>
    <s v="Net Banking"/>
    <n v="3"/>
    <n v="23346"/>
    <n v="16342.199999999999"/>
    <n v="7003.8000000000011"/>
    <x v="8"/>
    <x v="1"/>
  </r>
  <r>
    <s v="ORD01632"/>
    <s v="2023-04-16"/>
    <x v="0"/>
    <x v="13"/>
    <s v="Kolkata"/>
    <x v="0"/>
    <x v="4"/>
    <x v="1"/>
    <s v="UPI"/>
    <n v="7"/>
    <n v="150801"/>
    <n v="105560.7"/>
    <n v="45240.3"/>
    <x v="11"/>
    <x v="1"/>
  </r>
  <r>
    <s v="ORD01633"/>
    <s v="2024-04-02"/>
    <x v="3"/>
    <x v="6"/>
    <s v="Hyderabad"/>
    <x v="2"/>
    <x v="3"/>
    <x v="0"/>
    <s v="Debit Card"/>
    <n v="5"/>
    <n v="172595"/>
    <n v="120816.49999999999"/>
    <n v="51778.500000000015"/>
    <x v="11"/>
    <x v="0"/>
  </r>
  <r>
    <s v="ORD01634"/>
    <s v="2023-06-01"/>
    <x v="2"/>
    <x v="11"/>
    <s v="Lucknow"/>
    <x v="1"/>
    <x v="8"/>
    <x v="2"/>
    <s v="Debit Card"/>
    <n v="2"/>
    <n v="62320"/>
    <n v="43624"/>
    <n v="18696"/>
    <x v="3"/>
    <x v="1"/>
  </r>
  <r>
    <s v="ORD01635"/>
    <s v="2023-03-10"/>
    <x v="2"/>
    <x v="4"/>
    <s v="Gurgaon"/>
    <x v="0"/>
    <x v="4"/>
    <x v="1"/>
    <s v="Cash"/>
    <n v="2"/>
    <n v="16220"/>
    <n v="11354"/>
    <n v="4866"/>
    <x v="2"/>
    <x v="1"/>
  </r>
  <r>
    <s v="ORD01636"/>
    <s v="2024-11-13"/>
    <x v="3"/>
    <x v="5"/>
    <s v="Kochi"/>
    <x v="1"/>
    <x v="1"/>
    <x v="2"/>
    <s v="Net Banking"/>
    <n v="8"/>
    <n v="295544"/>
    <n v="206880.8"/>
    <n v="88663.200000000012"/>
    <x v="6"/>
    <x v="0"/>
  </r>
  <r>
    <s v="ORD01637"/>
    <s v="2023-01-26"/>
    <x v="3"/>
    <x v="10"/>
    <s v="Bangalore"/>
    <x v="3"/>
    <x v="9"/>
    <x v="1"/>
    <s v="Net Banking"/>
    <n v="2"/>
    <n v="28440"/>
    <n v="19908"/>
    <n v="8532"/>
    <x v="8"/>
    <x v="1"/>
  </r>
  <r>
    <s v="ORD01638"/>
    <s v="2024-10-05"/>
    <x v="2"/>
    <x v="2"/>
    <s v="New Delhi"/>
    <x v="1"/>
    <x v="7"/>
    <x v="0"/>
    <s v="Net Banking"/>
    <n v="9"/>
    <n v="355977"/>
    <n v="249183.9"/>
    <n v="106793.1"/>
    <x v="5"/>
    <x v="0"/>
  </r>
  <r>
    <s v="ORD01639"/>
    <s v="2023-08-14"/>
    <x v="0"/>
    <x v="13"/>
    <s v="Kolkata"/>
    <x v="3"/>
    <x v="6"/>
    <x v="0"/>
    <s v="Cash"/>
    <n v="3"/>
    <n v="45015"/>
    <n v="31510.499999999996"/>
    <n v="13504.500000000004"/>
    <x v="4"/>
    <x v="1"/>
  </r>
  <r>
    <s v="ORD01640"/>
    <s v="2023-09-05"/>
    <x v="3"/>
    <x v="6"/>
    <s v="Hyderabad"/>
    <x v="0"/>
    <x v="2"/>
    <x v="2"/>
    <s v="Debit Card"/>
    <n v="10"/>
    <n v="466340"/>
    <n v="326438"/>
    <n v="139902"/>
    <x v="10"/>
    <x v="1"/>
  </r>
  <r>
    <s v="ORD01641"/>
    <s v="2024-03-07"/>
    <x v="2"/>
    <x v="2"/>
    <s v="New Delhi"/>
    <x v="1"/>
    <x v="8"/>
    <x v="1"/>
    <s v="Cash"/>
    <n v="6"/>
    <n v="91266"/>
    <n v="63886.2"/>
    <n v="27379.800000000003"/>
    <x v="2"/>
    <x v="0"/>
  </r>
  <r>
    <s v="ORD01642"/>
    <s v="2024-06-23"/>
    <x v="1"/>
    <x v="8"/>
    <s v="Panaji"/>
    <x v="2"/>
    <x v="15"/>
    <x v="2"/>
    <s v="UPI"/>
    <n v="2"/>
    <n v="12142"/>
    <n v="8499.4"/>
    <n v="3642.6000000000004"/>
    <x v="3"/>
    <x v="0"/>
  </r>
  <r>
    <s v="ORD01643"/>
    <s v="2023-05-05"/>
    <x v="3"/>
    <x v="7"/>
    <s v="Chennai"/>
    <x v="0"/>
    <x v="2"/>
    <x v="2"/>
    <s v="Debit Card"/>
    <n v="7"/>
    <n v="222670"/>
    <n v="155869"/>
    <n v="66801"/>
    <x v="9"/>
    <x v="1"/>
  </r>
  <r>
    <s v="ORD01644"/>
    <s v="2024-03-06"/>
    <x v="1"/>
    <x v="8"/>
    <s v="Panaji"/>
    <x v="2"/>
    <x v="14"/>
    <x v="2"/>
    <s v="Cash"/>
    <n v="7"/>
    <n v="80696"/>
    <n v="56487.199999999997"/>
    <n v="24208.800000000003"/>
    <x v="2"/>
    <x v="0"/>
  </r>
  <r>
    <s v="ORD01645"/>
    <s v="2024-08-15"/>
    <x v="0"/>
    <x v="13"/>
    <s v="Kolkata"/>
    <x v="1"/>
    <x v="8"/>
    <x v="1"/>
    <s v="Cash"/>
    <n v="1"/>
    <n v="30078"/>
    <n v="21054.6"/>
    <n v="9023.4000000000015"/>
    <x v="4"/>
    <x v="0"/>
  </r>
  <r>
    <s v="ORD01646"/>
    <s v="2024-09-26"/>
    <x v="1"/>
    <x v="1"/>
    <s v="Ahmedabad"/>
    <x v="1"/>
    <x v="7"/>
    <x v="0"/>
    <s v="Net Banking"/>
    <n v="2"/>
    <n v="6742"/>
    <n v="4719.3999999999996"/>
    <n v="2022.6000000000004"/>
    <x v="10"/>
    <x v="0"/>
  </r>
  <r>
    <s v="ORD01647"/>
    <s v="2024-07-21"/>
    <x v="1"/>
    <x v="9"/>
    <s v="Pune"/>
    <x v="0"/>
    <x v="0"/>
    <x v="0"/>
    <s v="Credit Card"/>
    <n v="5"/>
    <n v="165390"/>
    <n v="115772.99999999999"/>
    <n v="49617.000000000015"/>
    <x v="0"/>
    <x v="0"/>
  </r>
  <r>
    <s v="ORD01648"/>
    <s v="2024-08-15"/>
    <x v="2"/>
    <x v="4"/>
    <s v="Gurgaon"/>
    <x v="1"/>
    <x v="1"/>
    <x v="0"/>
    <s v="Credit Card"/>
    <n v="5"/>
    <n v="151505"/>
    <n v="106053.5"/>
    <n v="45451.5"/>
    <x v="4"/>
    <x v="0"/>
  </r>
  <r>
    <s v="ORD01649"/>
    <s v="2023-09-17"/>
    <x v="1"/>
    <x v="9"/>
    <s v="Pune"/>
    <x v="0"/>
    <x v="10"/>
    <x v="1"/>
    <s v="Net Banking"/>
    <n v="4"/>
    <n v="192844"/>
    <n v="134990.79999999999"/>
    <n v="57853.200000000012"/>
    <x v="10"/>
    <x v="1"/>
  </r>
  <r>
    <s v="ORD01650"/>
    <s v="2024-02-26"/>
    <x v="0"/>
    <x v="12"/>
    <s v="Patna"/>
    <x v="2"/>
    <x v="15"/>
    <x v="2"/>
    <s v="Net Banking"/>
    <n v="8"/>
    <n v="334776"/>
    <n v="234343.19999999998"/>
    <n v="100432.80000000002"/>
    <x v="1"/>
    <x v="0"/>
  </r>
  <r>
    <s v="ORD01651"/>
    <s v="2024-10-11"/>
    <x v="0"/>
    <x v="14"/>
    <s v="Guwahati"/>
    <x v="1"/>
    <x v="7"/>
    <x v="0"/>
    <s v="Cash"/>
    <n v="8"/>
    <n v="299832"/>
    <n v="209882.4"/>
    <n v="89949.6"/>
    <x v="5"/>
    <x v="0"/>
  </r>
  <r>
    <s v="ORD01652"/>
    <s v="2024-06-04"/>
    <x v="2"/>
    <x v="3"/>
    <s v="Ludhiana"/>
    <x v="2"/>
    <x v="15"/>
    <x v="0"/>
    <s v="UPI"/>
    <n v="6"/>
    <n v="110082"/>
    <n v="77057.399999999994"/>
    <n v="33024.600000000006"/>
    <x v="3"/>
    <x v="0"/>
  </r>
  <r>
    <s v="ORD01653"/>
    <s v="2024-05-21"/>
    <x v="1"/>
    <x v="8"/>
    <s v="Panaji"/>
    <x v="2"/>
    <x v="15"/>
    <x v="2"/>
    <s v="Net Banking"/>
    <n v="2"/>
    <n v="7700"/>
    <n v="5390"/>
    <n v="2310"/>
    <x v="9"/>
    <x v="0"/>
  </r>
  <r>
    <s v="ORD01654"/>
    <s v="2023-05-07"/>
    <x v="1"/>
    <x v="8"/>
    <s v="Panaji"/>
    <x v="2"/>
    <x v="14"/>
    <x v="0"/>
    <s v="Net Banking"/>
    <n v="10"/>
    <n v="269380"/>
    <n v="188566"/>
    <n v="80814"/>
    <x v="9"/>
    <x v="1"/>
  </r>
  <r>
    <s v="ORD01655"/>
    <s v="2023-01-10"/>
    <x v="3"/>
    <x v="7"/>
    <s v="Chennai"/>
    <x v="3"/>
    <x v="13"/>
    <x v="0"/>
    <s v="UPI"/>
    <n v="10"/>
    <n v="359220"/>
    <n v="251453.99999999997"/>
    <n v="107766.00000000003"/>
    <x v="8"/>
    <x v="1"/>
  </r>
  <r>
    <s v="ORD01656"/>
    <s v="2023-11-13"/>
    <x v="1"/>
    <x v="9"/>
    <s v="Kolhapur"/>
    <x v="0"/>
    <x v="4"/>
    <x v="0"/>
    <s v="Net Banking"/>
    <n v="2"/>
    <n v="7972"/>
    <n v="5580.4"/>
    <n v="2391.6000000000004"/>
    <x v="6"/>
    <x v="1"/>
  </r>
  <r>
    <s v="ORD01657"/>
    <s v="2023-01-06"/>
    <x v="2"/>
    <x v="4"/>
    <s v="Gurgaon"/>
    <x v="1"/>
    <x v="1"/>
    <x v="0"/>
    <s v="Cash"/>
    <n v="4"/>
    <n v="101876"/>
    <n v="71313.2"/>
    <n v="30562.800000000003"/>
    <x v="8"/>
    <x v="1"/>
  </r>
  <r>
    <s v="ORD01658"/>
    <s v="2024-06-10"/>
    <x v="3"/>
    <x v="6"/>
    <s v="Hyderabad"/>
    <x v="0"/>
    <x v="0"/>
    <x v="2"/>
    <s v="Credit Card"/>
    <n v="6"/>
    <n v="111504"/>
    <n v="78052.799999999988"/>
    <n v="33451.200000000012"/>
    <x v="3"/>
    <x v="0"/>
  </r>
  <r>
    <s v="ORD01659"/>
    <s v="2023-11-27"/>
    <x v="0"/>
    <x v="0"/>
    <s v="Bhubaneswar"/>
    <x v="1"/>
    <x v="5"/>
    <x v="0"/>
    <s v="Net Banking"/>
    <n v="2"/>
    <n v="69350"/>
    <n v="48545"/>
    <n v="20805"/>
    <x v="6"/>
    <x v="1"/>
  </r>
  <r>
    <s v="ORD01660"/>
    <s v="2023-08-24"/>
    <x v="2"/>
    <x v="4"/>
    <s v="Gurgaon"/>
    <x v="1"/>
    <x v="8"/>
    <x v="1"/>
    <s v="Net Banking"/>
    <n v="4"/>
    <n v="162604"/>
    <n v="113822.79999999999"/>
    <n v="48781.200000000012"/>
    <x v="4"/>
    <x v="1"/>
  </r>
  <r>
    <s v="ORD01661"/>
    <s v="2024-07-03"/>
    <x v="1"/>
    <x v="1"/>
    <s v="Ahmedabad"/>
    <x v="0"/>
    <x v="2"/>
    <x v="2"/>
    <s v="Credit Card"/>
    <n v="5"/>
    <n v="8525"/>
    <n v="5967.5"/>
    <n v="2557.5"/>
    <x v="0"/>
    <x v="0"/>
  </r>
  <r>
    <s v="ORD01662"/>
    <s v="2024-02-29"/>
    <x v="2"/>
    <x v="2"/>
    <s v="New Delhi"/>
    <x v="3"/>
    <x v="13"/>
    <x v="2"/>
    <s v="Debit Card"/>
    <n v="6"/>
    <n v="293436"/>
    <n v="205405.19999999998"/>
    <n v="88030.800000000017"/>
    <x v="1"/>
    <x v="0"/>
  </r>
  <r>
    <s v="ORD01663"/>
    <s v="2024-05-09"/>
    <x v="3"/>
    <x v="5"/>
    <s v="Kochi"/>
    <x v="3"/>
    <x v="6"/>
    <x v="0"/>
    <s v="Credit Card"/>
    <n v="3"/>
    <n v="138429"/>
    <n v="96900.299999999988"/>
    <n v="41528.700000000012"/>
    <x v="9"/>
    <x v="0"/>
  </r>
  <r>
    <s v="ORD01664"/>
    <s v="2024-07-19"/>
    <x v="1"/>
    <x v="8"/>
    <s v="Panaji"/>
    <x v="1"/>
    <x v="8"/>
    <x v="1"/>
    <s v="UPI"/>
    <n v="2"/>
    <n v="7092"/>
    <n v="4964.3999999999996"/>
    <n v="2127.6000000000004"/>
    <x v="0"/>
    <x v="0"/>
  </r>
  <r>
    <s v="ORD01665"/>
    <s v="2023-01-01"/>
    <x v="2"/>
    <x v="3"/>
    <s v="Ludhiana"/>
    <x v="2"/>
    <x v="15"/>
    <x v="1"/>
    <s v="UPI"/>
    <n v="2"/>
    <n v="37244"/>
    <n v="26070.799999999999"/>
    <n v="11173.2"/>
    <x v="8"/>
    <x v="1"/>
  </r>
  <r>
    <s v="ORD01666"/>
    <s v="2023-12-14"/>
    <x v="0"/>
    <x v="12"/>
    <s v="Patna"/>
    <x v="0"/>
    <x v="2"/>
    <x v="0"/>
    <s v="Cash"/>
    <n v="1"/>
    <n v="19047"/>
    <n v="13332.9"/>
    <n v="5714.1"/>
    <x v="7"/>
    <x v="1"/>
  </r>
  <r>
    <s v="ORD01667"/>
    <s v="2024-06-11"/>
    <x v="2"/>
    <x v="11"/>
    <s v="Lucknow"/>
    <x v="1"/>
    <x v="1"/>
    <x v="2"/>
    <s v="UPI"/>
    <n v="7"/>
    <n v="178115"/>
    <n v="124680.49999999999"/>
    <n v="53434.500000000015"/>
    <x v="3"/>
    <x v="0"/>
  </r>
  <r>
    <s v="ORD01668"/>
    <s v="2023-08-24"/>
    <x v="3"/>
    <x v="5"/>
    <s v="Kochi"/>
    <x v="0"/>
    <x v="0"/>
    <x v="2"/>
    <s v="Credit Card"/>
    <n v="9"/>
    <n v="273933"/>
    <n v="191753.09999999998"/>
    <n v="82179.900000000023"/>
    <x v="4"/>
    <x v="1"/>
  </r>
  <r>
    <s v="ORD01669"/>
    <s v="2023-04-25"/>
    <x v="0"/>
    <x v="12"/>
    <s v="Patna"/>
    <x v="0"/>
    <x v="10"/>
    <x v="0"/>
    <s v="UPI"/>
    <n v="9"/>
    <n v="381222"/>
    <n v="266855.39999999997"/>
    <n v="114366.60000000003"/>
    <x v="11"/>
    <x v="1"/>
  </r>
  <r>
    <s v="ORD01670"/>
    <s v="2023-11-09"/>
    <x v="1"/>
    <x v="9"/>
    <s v="Pune"/>
    <x v="2"/>
    <x v="15"/>
    <x v="1"/>
    <s v="Credit Card"/>
    <n v="7"/>
    <n v="334390"/>
    <n v="234072.99999999997"/>
    <n v="100317.00000000003"/>
    <x v="6"/>
    <x v="1"/>
  </r>
  <r>
    <s v="ORD01671"/>
    <s v="2024-09-19"/>
    <x v="1"/>
    <x v="9"/>
    <s v="Pune"/>
    <x v="0"/>
    <x v="2"/>
    <x v="2"/>
    <s v="Net Banking"/>
    <n v="6"/>
    <n v="253494"/>
    <n v="177445.8"/>
    <n v="76048.200000000012"/>
    <x v="10"/>
    <x v="0"/>
  </r>
  <r>
    <s v="ORD01672"/>
    <s v="2023-03-30"/>
    <x v="2"/>
    <x v="4"/>
    <s v="Gurgaon"/>
    <x v="1"/>
    <x v="7"/>
    <x v="0"/>
    <s v="Credit Card"/>
    <n v="2"/>
    <n v="3696"/>
    <n v="2587.1999999999998"/>
    <n v="1108.8000000000002"/>
    <x v="2"/>
    <x v="1"/>
  </r>
  <r>
    <s v="ORD01673"/>
    <s v="2023-09-12"/>
    <x v="3"/>
    <x v="6"/>
    <s v="Hyderabad"/>
    <x v="0"/>
    <x v="4"/>
    <x v="0"/>
    <s v="Credit Card"/>
    <n v="2"/>
    <n v="95966"/>
    <n v="67176.2"/>
    <n v="28789.800000000003"/>
    <x v="10"/>
    <x v="1"/>
  </r>
  <r>
    <s v="ORD01674"/>
    <s v="2024-02-02"/>
    <x v="1"/>
    <x v="1"/>
    <s v="Ahmedabad"/>
    <x v="1"/>
    <x v="7"/>
    <x v="1"/>
    <s v="Cash"/>
    <n v="2"/>
    <n v="40094"/>
    <n v="28065.8"/>
    <n v="12028.2"/>
    <x v="1"/>
    <x v="0"/>
  </r>
  <r>
    <s v="ORD01675"/>
    <s v="2024-05-23"/>
    <x v="0"/>
    <x v="0"/>
    <s v="Bhubaneswar"/>
    <x v="1"/>
    <x v="7"/>
    <x v="1"/>
    <s v="Cash"/>
    <n v="1"/>
    <n v="6787"/>
    <n v="4750.8999999999996"/>
    <n v="2036.1000000000004"/>
    <x v="9"/>
    <x v="0"/>
  </r>
  <r>
    <s v="ORD01676"/>
    <s v="2024-05-15"/>
    <x v="0"/>
    <x v="0"/>
    <s v="Bhubaneswar"/>
    <x v="2"/>
    <x v="12"/>
    <x v="0"/>
    <s v="Credit Card"/>
    <n v="1"/>
    <n v="44432"/>
    <n v="31102.399999999998"/>
    <n v="13329.600000000002"/>
    <x v="9"/>
    <x v="0"/>
  </r>
  <r>
    <s v="ORD01677"/>
    <s v="2024-11-09"/>
    <x v="0"/>
    <x v="13"/>
    <s v="Kolkata"/>
    <x v="0"/>
    <x v="0"/>
    <x v="1"/>
    <s v="Net Banking"/>
    <n v="9"/>
    <n v="337059"/>
    <n v="235941.3"/>
    <n v="101117.70000000001"/>
    <x v="6"/>
    <x v="0"/>
  </r>
  <r>
    <s v="ORD01678"/>
    <s v="2023-08-17"/>
    <x v="1"/>
    <x v="1"/>
    <s v="Ahmedabad"/>
    <x v="2"/>
    <x v="3"/>
    <x v="1"/>
    <s v="Cash"/>
    <n v="9"/>
    <n v="252054"/>
    <n v="176437.8"/>
    <n v="75616.200000000012"/>
    <x v="4"/>
    <x v="1"/>
  </r>
  <r>
    <s v="ORD01679"/>
    <s v="2023-11-04"/>
    <x v="0"/>
    <x v="13"/>
    <s v="Kolkata"/>
    <x v="2"/>
    <x v="14"/>
    <x v="1"/>
    <s v="Credit Card"/>
    <n v="6"/>
    <n v="225162"/>
    <n v="157613.4"/>
    <n v="67548.600000000006"/>
    <x v="6"/>
    <x v="1"/>
  </r>
  <r>
    <s v="ORD01680"/>
    <s v="2024-10-17"/>
    <x v="3"/>
    <x v="5"/>
    <s v="Kochi"/>
    <x v="2"/>
    <x v="3"/>
    <x v="1"/>
    <s v="Debit Card"/>
    <n v="3"/>
    <n v="140166"/>
    <n v="98116.2"/>
    <n v="42049.8"/>
    <x v="5"/>
    <x v="0"/>
  </r>
  <r>
    <s v="ORD01681"/>
    <s v="2024-07-06"/>
    <x v="3"/>
    <x v="10"/>
    <s v="Bangalore"/>
    <x v="0"/>
    <x v="0"/>
    <x v="1"/>
    <s v="Debit Card"/>
    <n v="3"/>
    <n v="104970"/>
    <n v="73479"/>
    <n v="31491"/>
    <x v="0"/>
    <x v="0"/>
  </r>
  <r>
    <s v="ORD01682"/>
    <s v="2023-07-30"/>
    <x v="2"/>
    <x v="2"/>
    <s v="New Delhi"/>
    <x v="1"/>
    <x v="1"/>
    <x v="1"/>
    <s v="Cash"/>
    <n v="9"/>
    <n v="129627"/>
    <n v="90738.9"/>
    <n v="38888.100000000006"/>
    <x v="0"/>
    <x v="1"/>
  </r>
  <r>
    <s v="ORD01683"/>
    <s v="2023-01-21"/>
    <x v="1"/>
    <x v="1"/>
    <s v="Ahmedabad"/>
    <x v="2"/>
    <x v="14"/>
    <x v="0"/>
    <s v="UPI"/>
    <n v="2"/>
    <n v="87078"/>
    <n v="60954.6"/>
    <n v="26123.4"/>
    <x v="8"/>
    <x v="1"/>
  </r>
  <r>
    <s v="ORD01684"/>
    <s v="2023-05-04"/>
    <x v="0"/>
    <x v="14"/>
    <s v="Guwahati"/>
    <x v="1"/>
    <x v="5"/>
    <x v="1"/>
    <s v="Cash"/>
    <n v="8"/>
    <n v="394984"/>
    <n v="276488.8"/>
    <n v="118495.20000000001"/>
    <x v="9"/>
    <x v="1"/>
  </r>
  <r>
    <s v="ORD01685"/>
    <s v="2024-05-03"/>
    <x v="1"/>
    <x v="8"/>
    <s v="Panaji"/>
    <x v="3"/>
    <x v="9"/>
    <x v="1"/>
    <s v="Credit Card"/>
    <n v="7"/>
    <n v="44499"/>
    <n v="31149.3"/>
    <n v="13349.7"/>
    <x v="9"/>
    <x v="0"/>
  </r>
  <r>
    <s v="ORD01686"/>
    <s v="2023-09-04"/>
    <x v="0"/>
    <x v="0"/>
    <s v="Bhubaneswar"/>
    <x v="3"/>
    <x v="13"/>
    <x v="0"/>
    <s v="Debit Card"/>
    <n v="10"/>
    <n v="236910"/>
    <n v="165837"/>
    <n v="71073"/>
    <x v="10"/>
    <x v="1"/>
  </r>
  <r>
    <s v="ORD01687"/>
    <s v="2024-06-19"/>
    <x v="1"/>
    <x v="8"/>
    <s v="Panaji"/>
    <x v="3"/>
    <x v="9"/>
    <x v="2"/>
    <s v="Debit Card"/>
    <n v="2"/>
    <n v="47494"/>
    <n v="33245.799999999996"/>
    <n v="14248.200000000004"/>
    <x v="3"/>
    <x v="0"/>
  </r>
  <r>
    <s v="ORD01688"/>
    <s v="2023-06-26"/>
    <x v="1"/>
    <x v="9"/>
    <s v="Kolhapur"/>
    <x v="2"/>
    <x v="14"/>
    <x v="1"/>
    <s v="Cash"/>
    <n v="3"/>
    <n v="101820"/>
    <n v="71274"/>
    <n v="30546"/>
    <x v="3"/>
    <x v="1"/>
  </r>
  <r>
    <s v="ORD01689"/>
    <s v="2023-06-07"/>
    <x v="1"/>
    <x v="9"/>
    <s v="Kolhapur"/>
    <x v="3"/>
    <x v="11"/>
    <x v="0"/>
    <s v="Cash"/>
    <n v="4"/>
    <n v="36272"/>
    <n v="25390.399999999998"/>
    <n v="10881.600000000002"/>
    <x v="3"/>
    <x v="1"/>
  </r>
  <r>
    <s v="ORD01690"/>
    <s v="2023-10-16"/>
    <x v="1"/>
    <x v="9"/>
    <s v="Pune"/>
    <x v="3"/>
    <x v="6"/>
    <x v="1"/>
    <s v="Cash"/>
    <n v="2"/>
    <n v="38390"/>
    <n v="26873"/>
    <n v="11517"/>
    <x v="5"/>
    <x v="1"/>
  </r>
  <r>
    <s v="ORD01691"/>
    <s v="2024-07-12"/>
    <x v="2"/>
    <x v="4"/>
    <s v="Gurgaon"/>
    <x v="2"/>
    <x v="15"/>
    <x v="1"/>
    <s v="Debit Card"/>
    <n v="2"/>
    <n v="77718"/>
    <n v="54402.6"/>
    <n v="23315.4"/>
    <x v="0"/>
    <x v="0"/>
  </r>
  <r>
    <s v="ORD01692"/>
    <s v="2024-10-22"/>
    <x v="3"/>
    <x v="7"/>
    <s v="Chennai"/>
    <x v="3"/>
    <x v="6"/>
    <x v="0"/>
    <s v="Debit Card"/>
    <n v="10"/>
    <n v="300720"/>
    <n v="210504"/>
    <n v="90216"/>
    <x v="5"/>
    <x v="0"/>
  </r>
  <r>
    <s v="ORD01693"/>
    <s v="2024-01-07"/>
    <x v="0"/>
    <x v="14"/>
    <s v="Guwahati"/>
    <x v="3"/>
    <x v="6"/>
    <x v="1"/>
    <s v="Debit Card"/>
    <n v="8"/>
    <n v="189232"/>
    <n v="132462.39999999999"/>
    <n v="56769.600000000006"/>
    <x v="8"/>
    <x v="0"/>
  </r>
  <r>
    <s v="ORD01694"/>
    <s v="2024-09-18"/>
    <x v="1"/>
    <x v="9"/>
    <s v="Pune"/>
    <x v="2"/>
    <x v="12"/>
    <x v="0"/>
    <s v="Cash"/>
    <n v="2"/>
    <n v="33704"/>
    <n v="23592.799999999999"/>
    <n v="10111.200000000001"/>
    <x v="10"/>
    <x v="0"/>
  </r>
  <r>
    <s v="ORD01695"/>
    <s v="2023-10-26"/>
    <x v="0"/>
    <x v="12"/>
    <s v="Patna"/>
    <x v="2"/>
    <x v="12"/>
    <x v="0"/>
    <s v="UPI"/>
    <n v="4"/>
    <n v="164384"/>
    <n v="115068.79999999999"/>
    <n v="49315.200000000012"/>
    <x v="5"/>
    <x v="1"/>
  </r>
  <r>
    <s v="ORD01696"/>
    <s v="2023-12-18"/>
    <x v="2"/>
    <x v="11"/>
    <s v="Lucknow"/>
    <x v="3"/>
    <x v="9"/>
    <x v="1"/>
    <s v="Cash"/>
    <n v="4"/>
    <n v="97472"/>
    <n v="68230.399999999994"/>
    <n v="29241.600000000006"/>
    <x v="7"/>
    <x v="1"/>
  </r>
  <r>
    <s v="ORD01697"/>
    <s v="2023-12-03"/>
    <x v="2"/>
    <x v="11"/>
    <s v="Lucknow"/>
    <x v="2"/>
    <x v="12"/>
    <x v="0"/>
    <s v="Credit Card"/>
    <n v="3"/>
    <n v="55059"/>
    <n v="38541.299999999996"/>
    <n v="16517.700000000004"/>
    <x v="7"/>
    <x v="1"/>
  </r>
  <r>
    <s v="ORD01698"/>
    <s v="2023-10-03"/>
    <x v="0"/>
    <x v="14"/>
    <s v="Guwahati"/>
    <x v="1"/>
    <x v="7"/>
    <x v="1"/>
    <s v="UPI"/>
    <n v="6"/>
    <n v="160674"/>
    <n v="112471.79999999999"/>
    <n v="48202.200000000012"/>
    <x v="5"/>
    <x v="1"/>
  </r>
  <r>
    <s v="ORD01699"/>
    <s v="2023-05-02"/>
    <x v="2"/>
    <x v="4"/>
    <s v="Gurgaon"/>
    <x v="3"/>
    <x v="13"/>
    <x v="0"/>
    <s v="UPI"/>
    <n v="4"/>
    <n v="143812"/>
    <n v="100668.4"/>
    <n v="43143.600000000006"/>
    <x v="9"/>
    <x v="1"/>
  </r>
  <r>
    <s v="ORD01700"/>
    <s v="2024-04-30"/>
    <x v="1"/>
    <x v="1"/>
    <s v="Ahmedabad"/>
    <x v="0"/>
    <x v="2"/>
    <x v="0"/>
    <s v="Net Banking"/>
    <n v="10"/>
    <n v="208980"/>
    <n v="146286"/>
    <n v="62694"/>
    <x v="11"/>
    <x v="0"/>
  </r>
  <r>
    <s v="ORD01701"/>
    <s v="2024-04-26"/>
    <x v="1"/>
    <x v="9"/>
    <s v="Kolhapur"/>
    <x v="3"/>
    <x v="11"/>
    <x v="0"/>
    <s v="Debit Card"/>
    <n v="6"/>
    <n v="96024"/>
    <n v="67216.800000000003"/>
    <n v="28807.199999999997"/>
    <x v="11"/>
    <x v="0"/>
  </r>
  <r>
    <s v="ORD01702"/>
    <s v="2024-09-07"/>
    <x v="0"/>
    <x v="13"/>
    <s v="Kolkata"/>
    <x v="2"/>
    <x v="15"/>
    <x v="1"/>
    <s v="Debit Card"/>
    <n v="1"/>
    <n v="36424"/>
    <n v="25496.799999999999"/>
    <n v="10927.2"/>
    <x v="10"/>
    <x v="0"/>
  </r>
  <r>
    <s v="ORD01703"/>
    <s v="2024-06-23"/>
    <x v="2"/>
    <x v="11"/>
    <s v="Lucknow"/>
    <x v="2"/>
    <x v="3"/>
    <x v="1"/>
    <s v="UPI"/>
    <n v="1"/>
    <n v="23453"/>
    <n v="16417.099999999999"/>
    <n v="7035.9000000000015"/>
    <x v="3"/>
    <x v="0"/>
  </r>
  <r>
    <s v="ORD01704"/>
    <s v="2024-04-25"/>
    <x v="2"/>
    <x v="2"/>
    <s v="New Delhi"/>
    <x v="0"/>
    <x v="0"/>
    <x v="0"/>
    <s v="Net Banking"/>
    <n v="7"/>
    <n v="245105"/>
    <n v="171573.5"/>
    <n v="73531.5"/>
    <x v="11"/>
    <x v="0"/>
  </r>
  <r>
    <s v="ORD01705"/>
    <s v="2023-01-26"/>
    <x v="1"/>
    <x v="9"/>
    <s v="Kolhapur"/>
    <x v="3"/>
    <x v="13"/>
    <x v="1"/>
    <s v="UPI"/>
    <n v="9"/>
    <n v="213840"/>
    <n v="149688"/>
    <n v="64152"/>
    <x v="8"/>
    <x v="1"/>
  </r>
  <r>
    <s v="ORD01706"/>
    <s v="2024-02-04"/>
    <x v="2"/>
    <x v="2"/>
    <s v="New Delhi"/>
    <x v="0"/>
    <x v="2"/>
    <x v="2"/>
    <s v="Debit Card"/>
    <n v="7"/>
    <n v="333865"/>
    <n v="233705.49999999997"/>
    <n v="100159.50000000003"/>
    <x v="1"/>
    <x v="0"/>
  </r>
  <r>
    <s v="ORD01707"/>
    <s v="2023-08-12"/>
    <x v="0"/>
    <x v="0"/>
    <s v="Bhubaneswar"/>
    <x v="1"/>
    <x v="8"/>
    <x v="0"/>
    <s v="Cash"/>
    <n v="1"/>
    <n v="18819"/>
    <n v="13173.3"/>
    <n v="5645.7000000000007"/>
    <x v="4"/>
    <x v="1"/>
  </r>
  <r>
    <s v="ORD01708"/>
    <s v="2023-07-05"/>
    <x v="2"/>
    <x v="3"/>
    <s v="Ludhiana"/>
    <x v="1"/>
    <x v="7"/>
    <x v="1"/>
    <s v="Credit Card"/>
    <n v="7"/>
    <n v="53984"/>
    <n v="37788.799999999996"/>
    <n v="16195.200000000004"/>
    <x v="0"/>
    <x v="1"/>
  </r>
  <r>
    <s v="ORD01709"/>
    <s v="2023-02-01"/>
    <x v="2"/>
    <x v="11"/>
    <s v="Lucknow"/>
    <x v="0"/>
    <x v="0"/>
    <x v="2"/>
    <s v="Cash"/>
    <n v="3"/>
    <n v="20550"/>
    <n v="14384.999999999998"/>
    <n v="6165.0000000000018"/>
    <x v="1"/>
    <x v="1"/>
  </r>
  <r>
    <s v="ORD01710"/>
    <s v="2024-04-13"/>
    <x v="2"/>
    <x v="3"/>
    <s v="Ludhiana"/>
    <x v="3"/>
    <x v="9"/>
    <x v="2"/>
    <s v="UPI"/>
    <n v="3"/>
    <n v="82761"/>
    <n v="57932.7"/>
    <n v="24828.300000000003"/>
    <x v="11"/>
    <x v="0"/>
  </r>
  <r>
    <s v="ORD01711"/>
    <s v="2024-03-07"/>
    <x v="2"/>
    <x v="11"/>
    <s v="Lucknow"/>
    <x v="0"/>
    <x v="2"/>
    <x v="2"/>
    <s v="Cash"/>
    <n v="9"/>
    <n v="300348"/>
    <n v="210243.59999999998"/>
    <n v="90104.400000000023"/>
    <x v="2"/>
    <x v="0"/>
  </r>
  <r>
    <s v="ORD01712"/>
    <s v="2023-04-03"/>
    <x v="1"/>
    <x v="1"/>
    <s v="Ahmedabad"/>
    <x v="2"/>
    <x v="12"/>
    <x v="2"/>
    <s v="Debit Card"/>
    <n v="5"/>
    <n v="92315"/>
    <n v="64620.499999999993"/>
    <n v="27694.500000000007"/>
    <x v="11"/>
    <x v="1"/>
  </r>
  <r>
    <s v="ORD01713"/>
    <s v="2024-03-04"/>
    <x v="0"/>
    <x v="14"/>
    <s v="Guwahati"/>
    <x v="3"/>
    <x v="6"/>
    <x v="1"/>
    <s v="Net Banking"/>
    <n v="3"/>
    <n v="18546"/>
    <n v="12982.199999999999"/>
    <n v="5563.8000000000011"/>
    <x v="2"/>
    <x v="0"/>
  </r>
  <r>
    <s v="ORD01714"/>
    <s v="2024-01-18"/>
    <x v="1"/>
    <x v="9"/>
    <s v="Kolhapur"/>
    <x v="2"/>
    <x v="12"/>
    <x v="1"/>
    <s v="Credit Card"/>
    <n v="10"/>
    <n v="42880"/>
    <n v="30015.999999999996"/>
    <n v="12864.000000000004"/>
    <x v="8"/>
    <x v="0"/>
  </r>
  <r>
    <s v="ORD01715"/>
    <s v="2023-08-09"/>
    <x v="1"/>
    <x v="1"/>
    <s v="Ahmedabad"/>
    <x v="0"/>
    <x v="2"/>
    <x v="2"/>
    <s v="UPI"/>
    <n v="7"/>
    <n v="220948"/>
    <n v="154663.59999999998"/>
    <n v="66284.400000000023"/>
    <x v="4"/>
    <x v="1"/>
  </r>
  <r>
    <s v="ORD01716"/>
    <s v="2024-04-05"/>
    <x v="2"/>
    <x v="4"/>
    <s v="Gurgaon"/>
    <x v="2"/>
    <x v="3"/>
    <x v="2"/>
    <s v="Debit Card"/>
    <n v="7"/>
    <n v="283843"/>
    <n v="198690.09999999998"/>
    <n v="85152.900000000023"/>
    <x v="11"/>
    <x v="0"/>
  </r>
  <r>
    <s v="ORD01717"/>
    <s v="2024-10-17"/>
    <x v="2"/>
    <x v="11"/>
    <s v="Lucknow"/>
    <x v="1"/>
    <x v="1"/>
    <x v="1"/>
    <s v="Cash"/>
    <n v="10"/>
    <n v="296740"/>
    <n v="207718"/>
    <n v="89022"/>
    <x v="5"/>
    <x v="0"/>
  </r>
  <r>
    <s v="ORD01718"/>
    <s v="2024-02-06"/>
    <x v="1"/>
    <x v="9"/>
    <s v="Kolhapur"/>
    <x v="2"/>
    <x v="15"/>
    <x v="1"/>
    <s v="Credit Card"/>
    <n v="5"/>
    <n v="62685"/>
    <n v="43879.5"/>
    <n v="18805.5"/>
    <x v="1"/>
    <x v="0"/>
  </r>
  <r>
    <s v="ORD01719"/>
    <s v="2024-06-09"/>
    <x v="1"/>
    <x v="9"/>
    <s v="Kolhapur"/>
    <x v="2"/>
    <x v="15"/>
    <x v="1"/>
    <s v="Credit Card"/>
    <n v="5"/>
    <n v="107440"/>
    <n v="75208"/>
    <n v="32232"/>
    <x v="3"/>
    <x v="0"/>
  </r>
  <r>
    <s v="ORD01720"/>
    <s v="2023-07-15"/>
    <x v="2"/>
    <x v="2"/>
    <s v="New Delhi"/>
    <x v="3"/>
    <x v="6"/>
    <x v="1"/>
    <s v="Credit Card"/>
    <n v="8"/>
    <n v="25496"/>
    <n v="17847.199999999997"/>
    <n v="7648.8000000000029"/>
    <x v="0"/>
    <x v="1"/>
  </r>
  <r>
    <s v="ORD01721"/>
    <s v="2023-09-27"/>
    <x v="0"/>
    <x v="12"/>
    <s v="Patna"/>
    <x v="1"/>
    <x v="7"/>
    <x v="2"/>
    <s v="Net Banking"/>
    <n v="4"/>
    <n v="151888"/>
    <n v="106321.59999999999"/>
    <n v="45566.400000000009"/>
    <x v="10"/>
    <x v="1"/>
  </r>
  <r>
    <s v="ORD01722"/>
    <s v="2024-03-26"/>
    <x v="1"/>
    <x v="9"/>
    <s v="Pune"/>
    <x v="0"/>
    <x v="4"/>
    <x v="2"/>
    <s v="UPI"/>
    <n v="10"/>
    <n v="234320"/>
    <n v="164024"/>
    <n v="70296"/>
    <x v="2"/>
    <x v="0"/>
  </r>
  <r>
    <s v="ORD01723"/>
    <s v="2023-02-19"/>
    <x v="2"/>
    <x v="3"/>
    <s v="Ludhiana"/>
    <x v="1"/>
    <x v="7"/>
    <x v="2"/>
    <s v="UPI"/>
    <n v="8"/>
    <n v="61168"/>
    <n v="42817.599999999999"/>
    <n v="18350.400000000001"/>
    <x v="1"/>
    <x v="1"/>
  </r>
  <r>
    <s v="ORD01724"/>
    <s v="2024-10-26"/>
    <x v="3"/>
    <x v="6"/>
    <s v="Hyderabad"/>
    <x v="3"/>
    <x v="11"/>
    <x v="0"/>
    <s v="Net Banking"/>
    <n v="3"/>
    <n v="122409"/>
    <n v="85686.299999999988"/>
    <n v="36722.700000000012"/>
    <x v="5"/>
    <x v="0"/>
  </r>
  <r>
    <s v="ORD01725"/>
    <s v="2023-12-10"/>
    <x v="1"/>
    <x v="9"/>
    <s v="Kolhapur"/>
    <x v="1"/>
    <x v="8"/>
    <x v="1"/>
    <s v="Debit Card"/>
    <n v="3"/>
    <n v="44277"/>
    <n v="30993.899999999998"/>
    <n v="13283.100000000002"/>
    <x v="7"/>
    <x v="1"/>
  </r>
  <r>
    <s v="ORD01726"/>
    <s v="2023-03-14"/>
    <x v="2"/>
    <x v="2"/>
    <s v="New Delhi"/>
    <x v="3"/>
    <x v="6"/>
    <x v="0"/>
    <s v="Net Banking"/>
    <n v="7"/>
    <n v="70413"/>
    <n v="49289.1"/>
    <n v="21123.9"/>
    <x v="2"/>
    <x v="1"/>
  </r>
  <r>
    <s v="ORD01727"/>
    <s v="2024-10-12"/>
    <x v="2"/>
    <x v="2"/>
    <s v="New Delhi"/>
    <x v="2"/>
    <x v="3"/>
    <x v="2"/>
    <s v="Credit Card"/>
    <n v="3"/>
    <n v="85311"/>
    <n v="59717.7"/>
    <n v="25593.300000000003"/>
    <x v="5"/>
    <x v="0"/>
  </r>
  <r>
    <s v="ORD01728"/>
    <s v="2023-03-12"/>
    <x v="3"/>
    <x v="6"/>
    <s v="Hyderabad"/>
    <x v="3"/>
    <x v="11"/>
    <x v="2"/>
    <s v="Net Banking"/>
    <n v="8"/>
    <n v="398744"/>
    <n v="279120.8"/>
    <n v="119623.20000000001"/>
    <x v="2"/>
    <x v="1"/>
  </r>
  <r>
    <s v="ORD01729"/>
    <s v="2024-05-29"/>
    <x v="0"/>
    <x v="13"/>
    <s v="Kolkata"/>
    <x v="3"/>
    <x v="9"/>
    <x v="0"/>
    <s v="Credit Card"/>
    <n v="8"/>
    <n v="319200"/>
    <n v="223440"/>
    <n v="95760"/>
    <x v="9"/>
    <x v="0"/>
  </r>
  <r>
    <s v="ORD01730"/>
    <s v="2024-08-27"/>
    <x v="3"/>
    <x v="5"/>
    <s v="Kochi"/>
    <x v="2"/>
    <x v="3"/>
    <x v="1"/>
    <s v="Cash"/>
    <n v="8"/>
    <n v="333240"/>
    <n v="233267.99999999997"/>
    <n v="99972.000000000029"/>
    <x v="4"/>
    <x v="0"/>
  </r>
  <r>
    <s v="ORD01731"/>
    <s v="2024-05-16"/>
    <x v="0"/>
    <x v="12"/>
    <s v="Patna"/>
    <x v="1"/>
    <x v="5"/>
    <x v="0"/>
    <s v="Debit Card"/>
    <n v="3"/>
    <n v="13308"/>
    <n v="9315.5999999999985"/>
    <n v="3992.4000000000015"/>
    <x v="9"/>
    <x v="0"/>
  </r>
  <r>
    <s v="ORD01732"/>
    <s v="2023-03-02"/>
    <x v="2"/>
    <x v="3"/>
    <s v="Ludhiana"/>
    <x v="3"/>
    <x v="11"/>
    <x v="2"/>
    <s v="Credit Card"/>
    <n v="3"/>
    <n v="75246"/>
    <n v="52672.2"/>
    <n v="22573.800000000003"/>
    <x v="2"/>
    <x v="1"/>
  </r>
  <r>
    <s v="ORD01733"/>
    <s v="2023-03-12"/>
    <x v="3"/>
    <x v="7"/>
    <s v="Chennai"/>
    <x v="3"/>
    <x v="9"/>
    <x v="0"/>
    <s v="Cash"/>
    <n v="3"/>
    <n v="18090"/>
    <n v="12663"/>
    <n v="5427"/>
    <x v="2"/>
    <x v="1"/>
  </r>
  <r>
    <s v="ORD01734"/>
    <s v="2024-04-28"/>
    <x v="0"/>
    <x v="12"/>
    <s v="Patna"/>
    <x v="3"/>
    <x v="9"/>
    <x v="1"/>
    <s v="Debit Card"/>
    <n v="8"/>
    <n v="387616"/>
    <n v="271331.20000000001"/>
    <n v="116284.79999999999"/>
    <x v="11"/>
    <x v="0"/>
  </r>
  <r>
    <s v="ORD01735"/>
    <s v="2024-01-30"/>
    <x v="1"/>
    <x v="9"/>
    <s v="Kolhapur"/>
    <x v="3"/>
    <x v="9"/>
    <x v="1"/>
    <s v="Net Banking"/>
    <n v="7"/>
    <n v="214606"/>
    <n v="150224.19999999998"/>
    <n v="64381.800000000017"/>
    <x v="8"/>
    <x v="0"/>
  </r>
  <r>
    <s v="ORD01736"/>
    <s v="2024-07-01"/>
    <x v="2"/>
    <x v="3"/>
    <s v="Ludhiana"/>
    <x v="3"/>
    <x v="9"/>
    <x v="0"/>
    <s v="UPI"/>
    <n v="1"/>
    <n v="44468"/>
    <n v="31127.599999999999"/>
    <n v="13340.400000000001"/>
    <x v="0"/>
    <x v="0"/>
  </r>
  <r>
    <s v="ORD01737"/>
    <s v="2024-02-14"/>
    <x v="0"/>
    <x v="14"/>
    <s v="Guwahati"/>
    <x v="0"/>
    <x v="2"/>
    <x v="1"/>
    <s v="Debit Card"/>
    <n v="9"/>
    <n v="308565"/>
    <n v="215995.5"/>
    <n v="92569.5"/>
    <x v="1"/>
    <x v="0"/>
  </r>
  <r>
    <s v="ORD01738"/>
    <s v="2024-09-22"/>
    <x v="0"/>
    <x v="12"/>
    <s v="Patna"/>
    <x v="1"/>
    <x v="1"/>
    <x v="1"/>
    <s v="Debit Card"/>
    <n v="5"/>
    <n v="53145"/>
    <n v="37201.5"/>
    <n v="15943.5"/>
    <x v="10"/>
    <x v="0"/>
  </r>
  <r>
    <s v="ORD01739"/>
    <s v="2024-01-03"/>
    <x v="2"/>
    <x v="2"/>
    <s v="New Delhi"/>
    <x v="0"/>
    <x v="10"/>
    <x v="0"/>
    <s v="Net Banking"/>
    <n v="3"/>
    <n v="129075"/>
    <n v="90352.5"/>
    <n v="38722.5"/>
    <x v="8"/>
    <x v="0"/>
  </r>
  <r>
    <s v="ORD01740"/>
    <s v="2023-08-29"/>
    <x v="0"/>
    <x v="14"/>
    <s v="Guwahati"/>
    <x v="1"/>
    <x v="8"/>
    <x v="2"/>
    <s v="Credit Card"/>
    <n v="4"/>
    <n v="127624"/>
    <n v="89336.799999999988"/>
    <n v="38287.200000000012"/>
    <x v="4"/>
    <x v="1"/>
  </r>
  <r>
    <s v="ORD01741"/>
    <s v="2023-10-22"/>
    <x v="1"/>
    <x v="9"/>
    <s v="Pune"/>
    <x v="2"/>
    <x v="15"/>
    <x v="2"/>
    <s v="UPI"/>
    <n v="3"/>
    <n v="130932"/>
    <n v="91652.4"/>
    <n v="39279.600000000006"/>
    <x v="5"/>
    <x v="1"/>
  </r>
  <r>
    <s v="ORD01742"/>
    <s v="2023-07-05"/>
    <x v="3"/>
    <x v="5"/>
    <s v="Kochi"/>
    <x v="3"/>
    <x v="13"/>
    <x v="1"/>
    <s v="Net Banking"/>
    <n v="5"/>
    <n v="200680"/>
    <n v="140476"/>
    <n v="60204"/>
    <x v="0"/>
    <x v="1"/>
  </r>
  <r>
    <s v="ORD01743"/>
    <s v="2023-06-08"/>
    <x v="1"/>
    <x v="9"/>
    <s v="Kolhapur"/>
    <x v="3"/>
    <x v="6"/>
    <x v="2"/>
    <s v="Net Banking"/>
    <n v="7"/>
    <n v="253253"/>
    <n v="177277.09999999998"/>
    <n v="75975.900000000023"/>
    <x v="3"/>
    <x v="1"/>
  </r>
  <r>
    <s v="ORD01744"/>
    <s v="2023-09-27"/>
    <x v="3"/>
    <x v="7"/>
    <s v="Chennai"/>
    <x v="2"/>
    <x v="3"/>
    <x v="1"/>
    <s v="Cash"/>
    <n v="9"/>
    <n v="142236"/>
    <n v="99565.2"/>
    <n v="42670.8"/>
    <x v="10"/>
    <x v="1"/>
  </r>
  <r>
    <s v="ORD01745"/>
    <s v="2024-05-23"/>
    <x v="1"/>
    <x v="1"/>
    <s v="Ahmedabad"/>
    <x v="2"/>
    <x v="12"/>
    <x v="0"/>
    <s v="Debit Card"/>
    <n v="6"/>
    <n v="113478"/>
    <n v="79434.599999999991"/>
    <n v="34043.400000000009"/>
    <x v="9"/>
    <x v="0"/>
  </r>
  <r>
    <s v="ORD01746"/>
    <s v="2024-04-30"/>
    <x v="0"/>
    <x v="13"/>
    <s v="Kolkata"/>
    <x v="3"/>
    <x v="13"/>
    <x v="2"/>
    <s v="Debit Card"/>
    <n v="6"/>
    <n v="286656"/>
    <n v="200659.19999999998"/>
    <n v="85996.800000000017"/>
    <x v="11"/>
    <x v="0"/>
  </r>
  <r>
    <s v="ORD01747"/>
    <s v="2023-11-26"/>
    <x v="3"/>
    <x v="10"/>
    <s v="Bangalore"/>
    <x v="0"/>
    <x v="0"/>
    <x v="2"/>
    <s v="Credit Card"/>
    <n v="7"/>
    <n v="209181"/>
    <n v="146426.69999999998"/>
    <n v="62754.300000000017"/>
    <x v="6"/>
    <x v="1"/>
  </r>
  <r>
    <s v="ORD01748"/>
    <s v="2024-11-06"/>
    <x v="3"/>
    <x v="5"/>
    <s v="Kochi"/>
    <x v="1"/>
    <x v="5"/>
    <x v="0"/>
    <s v="Credit Card"/>
    <n v="2"/>
    <n v="70470"/>
    <n v="49329"/>
    <n v="21141"/>
    <x v="6"/>
    <x v="0"/>
  </r>
  <r>
    <s v="ORD01749"/>
    <s v="2024-01-28"/>
    <x v="1"/>
    <x v="9"/>
    <s v="Pune"/>
    <x v="3"/>
    <x v="11"/>
    <x v="2"/>
    <s v="Net Banking"/>
    <n v="6"/>
    <n v="87564"/>
    <n v="61294.799999999996"/>
    <n v="26269.200000000004"/>
    <x v="8"/>
    <x v="0"/>
  </r>
  <r>
    <s v="ORD01750"/>
    <s v="2024-07-11"/>
    <x v="0"/>
    <x v="0"/>
    <s v="Bhubaneswar"/>
    <x v="2"/>
    <x v="12"/>
    <x v="0"/>
    <s v="Cash"/>
    <n v="8"/>
    <n v="37992"/>
    <n v="26594.399999999998"/>
    <n v="11397.600000000002"/>
    <x v="0"/>
    <x v="0"/>
  </r>
  <r>
    <s v="ORD01751"/>
    <s v="2024-01-04"/>
    <x v="1"/>
    <x v="8"/>
    <s v="Panaji"/>
    <x v="2"/>
    <x v="12"/>
    <x v="1"/>
    <s v="UPI"/>
    <n v="4"/>
    <n v="105156"/>
    <n v="73609.2"/>
    <n v="31546.800000000003"/>
    <x v="8"/>
    <x v="0"/>
  </r>
  <r>
    <s v="ORD01752"/>
    <s v="2023-07-26"/>
    <x v="0"/>
    <x v="14"/>
    <s v="Guwahati"/>
    <x v="1"/>
    <x v="5"/>
    <x v="0"/>
    <s v="Debit Card"/>
    <n v="1"/>
    <n v="1475"/>
    <n v="1032.5"/>
    <n v="442.5"/>
    <x v="0"/>
    <x v="1"/>
  </r>
  <r>
    <s v="ORD01753"/>
    <s v="2023-12-20"/>
    <x v="2"/>
    <x v="2"/>
    <s v="New Delhi"/>
    <x v="3"/>
    <x v="13"/>
    <x v="0"/>
    <s v="Cash"/>
    <n v="10"/>
    <n v="263860"/>
    <n v="184702"/>
    <n v="79158"/>
    <x v="7"/>
    <x v="1"/>
  </r>
  <r>
    <s v="ORD01754"/>
    <s v="2024-10-23"/>
    <x v="1"/>
    <x v="9"/>
    <s v="Kolhapur"/>
    <x v="0"/>
    <x v="2"/>
    <x v="0"/>
    <s v="Debit Card"/>
    <n v="8"/>
    <n v="252040"/>
    <n v="176428"/>
    <n v="75612"/>
    <x v="5"/>
    <x v="0"/>
  </r>
  <r>
    <s v="ORD01755"/>
    <s v="2023-03-31"/>
    <x v="3"/>
    <x v="6"/>
    <s v="Hyderabad"/>
    <x v="0"/>
    <x v="2"/>
    <x v="1"/>
    <s v="Credit Card"/>
    <n v="4"/>
    <n v="130756"/>
    <n v="91529.2"/>
    <n v="39226.800000000003"/>
    <x v="2"/>
    <x v="1"/>
  </r>
  <r>
    <s v="ORD01756"/>
    <s v="2024-06-05"/>
    <x v="1"/>
    <x v="8"/>
    <s v="Panaji"/>
    <x v="0"/>
    <x v="2"/>
    <x v="0"/>
    <s v="Cash"/>
    <n v="7"/>
    <n v="287098"/>
    <n v="200968.59999999998"/>
    <n v="86129.400000000023"/>
    <x v="3"/>
    <x v="0"/>
  </r>
  <r>
    <s v="ORD01757"/>
    <s v="2024-08-30"/>
    <x v="1"/>
    <x v="1"/>
    <s v="Ahmedabad"/>
    <x v="2"/>
    <x v="14"/>
    <x v="1"/>
    <s v="Cash"/>
    <n v="5"/>
    <n v="146740"/>
    <n v="102718"/>
    <n v="44022"/>
    <x v="4"/>
    <x v="0"/>
  </r>
  <r>
    <s v="ORD01758"/>
    <s v="2023-02-19"/>
    <x v="0"/>
    <x v="14"/>
    <s v="Guwahati"/>
    <x v="3"/>
    <x v="11"/>
    <x v="2"/>
    <s v="Cash"/>
    <n v="5"/>
    <n v="29580"/>
    <n v="20706"/>
    <n v="8874"/>
    <x v="1"/>
    <x v="1"/>
  </r>
  <r>
    <s v="ORD01759"/>
    <s v="2024-10-12"/>
    <x v="1"/>
    <x v="8"/>
    <s v="Panaji"/>
    <x v="1"/>
    <x v="5"/>
    <x v="2"/>
    <s v="Debit Card"/>
    <n v="4"/>
    <n v="95560"/>
    <n v="66892"/>
    <n v="28668"/>
    <x v="5"/>
    <x v="0"/>
  </r>
  <r>
    <s v="ORD01760"/>
    <s v="2024-05-25"/>
    <x v="1"/>
    <x v="1"/>
    <s v="Ahmedabad"/>
    <x v="2"/>
    <x v="15"/>
    <x v="0"/>
    <s v="Credit Card"/>
    <n v="3"/>
    <n v="137145"/>
    <n v="96001.5"/>
    <n v="41143.5"/>
    <x v="9"/>
    <x v="0"/>
  </r>
  <r>
    <s v="ORD01761"/>
    <s v="2023-12-23"/>
    <x v="3"/>
    <x v="10"/>
    <s v="Bangalore"/>
    <x v="1"/>
    <x v="1"/>
    <x v="0"/>
    <s v="Credit Card"/>
    <n v="9"/>
    <n v="283230"/>
    <n v="198261"/>
    <n v="84969"/>
    <x v="7"/>
    <x v="1"/>
  </r>
  <r>
    <s v="ORD01762"/>
    <s v="2024-01-19"/>
    <x v="0"/>
    <x v="12"/>
    <s v="Patna"/>
    <x v="2"/>
    <x v="3"/>
    <x v="1"/>
    <s v="UPI"/>
    <n v="10"/>
    <n v="184330"/>
    <n v="129030.99999999999"/>
    <n v="55299.000000000015"/>
    <x v="8"/>
    <x v="0"/>
  </r>
  <r>
    <s v="ORD01763"/>
    <s v="2023-07-18"/>
    <x v="3"/>
    <x v="7"/>
    <s v="Chennai"/>
    <x v="1"/>
    <x v="1"/>
    <x v="2"/>
    <s v="UPI"/>
    <n v="1"/>
    <n v="28644"/>
    <n v="20050.8"/>
    <n v="8593.2000000000007"/>
    <x v="0"/>
    <x v="1"/>
  </r>
  <r>
    <s v="ORD01764"/>
    <s v="2023-09-19"/>
    <x v="1"/>
    <x v="9"/>
    <s v="Pune"/>
    <x v="0"/>
    <x v="0"/>
    <x v="0"/>
    <s v="Credit Card"/>
    <n v="6"/>
    <n v="257748"/>
    <n v="180423.59999999998"/>
    <n v="77324.400000000023"/>
    <x v="10"/>
    <x v="1"/>
  </r>
  <r>
    <s v="ORD01765"/>
    <s v="2023-07-08"/>
    <x v="3"/>
    <x v="7"/>
    <s v="Chennai"/>
    <x v="0"/>
    <x v="10"/>
    <x v="0"/>
    <s v="Credit Card"/>
    <n v="2"/>
    <n v="80442"/>
    <n v="56309.399999999994"/>
    <n v="24132.600000000006"/>
    <x v="0"/>
    <x v="1"/>
  </r>
  <r>
    <s v="ORD01766"/>
    <s v="2024-05-24"/>
    <x v="3"/>
    <x v="5"/>
    <s v="Kochi"/>
    <x v="1"/>
    <x v="8"/>
    <x v="0"/>
    <s v="Net Banking"/>
    <n v="4"/>
    <n v="99156"/>
    <n v="69409.2"/>
    <n v="29746.800000000003"/>
    <x v="9"/>
    <x v="0"/>
  </r>
  <r>
    <s v="ORD01767"/>
    <s v="2023-01-11"/>
    <x v="2"/>
    <x v="11"/>
    <s v="Lucknow"/>
    <x v="1"/>
    <x v="5"/>
    <x v="1"/>
    <s v="UPI"/>
    <n v="7"/>
    <n v="102270"/>
    <n v="71589"/>
    <n v="30681"/>
    <x v="8"/>
    <x v="1"/>
  </r>
  <r>
    <s v="ORD01768"/>
    <s v="2023-01-12"/>
    <x v="2"/>
    <x v="11"/>
    <s v="Lucknow"/>
    <x v="2"/>
    <x v="14"/>
    <x v="0"/>
    <s v="Credit Card"/>
    <n v="7"/>
    <n v="299453"/>
    <n v="209617.09999999998"/>
    <n v="89835.900000000023"/>
    <x v="8"/>
    <x v="1"/>
  </r>
  <r>
    <s v="ORD01769"/>
    <s v="2024-01-22"/>
    <x v="3"/>
    <x v="10"/>
    <s v="Bangalore"/>
    <x v="2"/>
    <x v="12"/>
    <x v="2"/>
    <s v="UPI"/>
    <n v="3"/>
    <n v="101586"/>
    <n v="71110.2"/>
    <n v="30475.800000000003"/>
    <x v="8"/>
    <x v="0"/>
  </r>
  <r>
    <s v="ORD01770"/>
    <s v="2023-11-19"/>
    <x v="3"/>
    <x v="5"/>
    <s v="Kochi"/>
    <x v="1"/>
    <x v="7"/>
    <x v="1"/>
    <s v="Net Banking"/>
    <n v="3"/>
    <n v="108639"/>
    <n v="76047.299999999988"/>
    <n v="32591.700000000012"/>
    <x v="6"/>
    <x v="1"/>
  </r>
  <r>
    <s v="ORD01771"/>
    <s v="2024-06-24"/>
    <x v="2"/>
    <x v="4"/>
    <s v="Gurgaon"/>
    <x v="0"/>
    <x v="0"/>
    <x v="1"/>
    <s v="Debit Card"/>
    <n v="9"/>
    <n v="201510"/>
    <n v="141057"/>
    <n v="60453"/>
    <x v="3"/>
    <x v="0"/>
  </r>
  <r>
    <s v="ORD01772"/>
    <s v="2023-08-15"/>
    <x v="1"/>
    <x v="1"/>
    <s v="Ahmedabad"/>
    <x v="3"/>
    <x v="9"/>
    <x v="0"/>
    <s v="Net Banking"/>
    <n v="3"/>
    <n v="74307"/>
    <n v="52014.899999999994"/>
    <n v="22292.100000000006"/>
    <x v="4"/>
    <x v="1"/>
  </r>
  <r>
    <s v="ORD01773"/>
    <s v="2023-10-13"/>
    <x v="2"/>
    <x v="3"/>
    <s v="Ludhiana"/>
    <x v="0"/>
    <x v="4"/>
    <x v="0"/>
    <s v="Debit Card"/>
    <n v="6"/>
    <n v="288258"/>
    <n v="201780.59999999998"/>
    <n v="86477.400000000023"/>
    <x v="5"/>
    <x v="1"/>
  </r>
  <r>
    <s v="ORD01774"/>
    <s v="2023-11-30"/>
    <x v="1"/>
    <x v="9"/>
    <s v="Kolhapur"/>
    <x v="1"/>
    <x v="1"/>
    <x v="2"/>
    <s v="Cash"/>
    <n v="1"/>
    <n v="7013"/>
    <n v="4909.0999999999995"/>
    <n v="2103.9000000000005"/>
    <x v="6"/>
    <x v="1"/>
  </r>
  <r>
    <s v="ORD01775"/>
    <s v="2024-11-19"/>
    <x v="3"/>
    <x v="7"/>
    <s v="Chennai"/>
    <x v="3"/>
    <x v="9"/>
    <x v="2"/>
    <s v="Net Banking"/>
    <n v="3"/>
    <n v="37215"/>
    <n v="26050.5"/>
    <n v="11164.5"/>
    <x v="6"/>
    <x v="0"/>
  </r>
  <r>
    <s v="ORD01776"/>
    <s v="2023-05-03"/>
    <x v="1"/>
    <x v="8"/>
    <s v="Panaji"/>
    <x v="1"/>
    <x v="8"/>
    <x v="1"/>
    <s v="Debit Card"/>
    <n v="6"/>
    <n v="50610"/>
    <n v="35427"/>
    <n v="15183"/>
    <x v="9"/>
    <x v="1"/>
  </r>
  <r>
    <s v="ORD01777"/>
    <s v="2023-05-18"/>
    <x v="0"/>
    <x v="0"/>
    <s v="Bhubaneswar"/>
    <x v="1"/>
    <x v="7"/>
    <x v="0"/>
    <s v="Net Banking"/>
    <n v="6"/>
    <n v="196794"/>
    <n v="137755.79999999999"/>
    <n v="59038.200000000012"/>
    <x v="9"/>
    <x v="1"/>
  </r>
  <r>
    <s v="ORD01778"/>
    <s v="2023-01-12"/>
    <x v="3"/>
    <x v="6"/>
    <s v="Hyderabad"/>
    <x v="3"/>
    <x v="11"/>
    <x v="2"/>
    <s v="UPI"/>
    <n v="7"/>
    <n v="222488"/>
    <n v="155741.59999999998"/>
    <n v="66746.400000000023"/>
    <x v="8"/>
    <x v="1"/>
  </r>
  <r>
    <s v="ORD01779"/>
    <s v="2024-11-18"/>
    <x v="0"/>
    <x v="12"/>
    <s v="Patna"/>
    <x v="3"/>
    <x v="13"/>
    <x v="0"/>
    <s v="Cash"/>
    <n v="8"/>
    <n v="64008"/>
    <n v="44805.599999999999"/>
    <n v="19202.400000000001"/>
    <x v="6"/>
    <x v="0"/>
  </r>
  <r>
    <s v="ORD01780"/>
    <s v="2024-09-22"/>
    <x v="2"/>
    <x v="2"/>
    <s v="New Delhi"/>
    <x v="3"/>
    <x v="13"/>
    <x v="1"/>
    <s v="Credit Card"/>
    <n v="4"/>
    <n v="186828"/>
    <n v="130779.59999999999"/>
    <n v="56048.400000000009"/>
    <x v="10"/>
    <x v="0"/>
  </r>
  <r>
    <s v="ORD01781"/>
    <s v="2023-12-10"/>
    <x v="3"/>
    <x v="6"/>
    <s v="Hyderabad"/>
    <x v="0"/>
    <x v="4"/>
    <x v="2"/>
    <s v="Net Banking"/>
    <n v="5"/>
    <n v="50520"/>
    <n v="35364"/>
    <n v="15156"/>
    <x v="7"/>
    <x v="1"/>
  </r>
  <r>
    <s v="ORD01782"/>
    <s v="2023-11-29"/>
    <x v="0"/>
    <x v="0"/>
    <s v="Bhubaneswar"/>
    <x v="0"/>
    <x v="0"/>
    <x v="1"/>
    <s v="Credit Card"/>
    <n v="7"/>
    <n v="214480"/>
    <n v="150136"/>
    <n v="64344"/>
    <x v="6"/>
    <x v="1"/>
  </r>
  <r>
    <s v="ORD01783"/>
    <s v="2024-07-29"/>
    <x v="0"/>
    <x v="0"/>
    <s v="Bhubaneswar"/>
    <x v="1"/>
    <x v="8"/>
    <x v="2"/>
    <s v="Cash"/>
    <n v="5"/>
    <n v="119685"/>
    <n v="83779.5"/>
    <n v="35905.5"/>
    <x v="0"/>
    <x v="0"/>
  </r>
  <r>
    <s v="ORD01784"/>
    <s v="2024-08-15"/>
    <x v="2"/>
    <x v="2"/>
    <s v="New Delhi"/>
    <x v="3"/>
    <x v="9"/>
    <x v="0"/>
    <s v="UPI"/>
    <n v="9"/>
    <n v="72486"/>
    <n v="50740.2"/>
    <n v="21745.800000000003"/>
    <x v="4"/>
    <x v="0"/>
  </r>
  <r>
    <s v="ORD01785"/>
    <s v="2023-02-19"/>
    <x v="1"/>
    <x v="1"/>
    <s v="Ahmedabad"/>
    <x v="1"/>
    <x v="5"/>
    <x v="2"/>
    <s v="Debit Card"/>
    <n v="10"/>
    <n v="400840"/>
    <n v="280588"/>
    <n v="120252"/>
    <x v="1"/>
    <x v="1"/>
  </r>
  <r>
    <s v="ORD01786"/>
    <s v="2024-10-13"/>
    <x v="1"/>
    <x v="9"/>
    <s v="Pune"/>
    <x v="1"/>
    <x v="5"/>
    <x v="0"/>
    <s v="Cash"/>
    <n v="9"/>
    <n v="206946"/>
    <n v="144862.19999999998"/>
    <n v="62083.800000000017"/>
    <x v="5"/>
    <x v="0"/>
  </r>
  <r>
    <s v="ORD01787"/>
    <s v="2023-08-06"/>
    <x v="3"/>
    <x v="6"/>
    <s v="Hyderabad"/>
    <x v="1"/>
    <x v="8"/>
    <x v="2"/>
    <s v="Cash"/>
    <n v="3"/>
    <n v="34797"/>
    <n v="24357.899999999998"/>
    <n v="10439.100000000002"/>
    <x v="4"/>
    <x v="1"/>
  </r>
  <r>
    <s v="ORD01788"/>
    <s v="2024-09-27"/>
    <x v="1"/>
    <x v="1"/>
    <s v="Ahmedabad"/>
    <x v="2"/>
    <x v="12"/>
    <x v="1"/>
    <s v="Debit Card"/>
    <n v="5"/>
    <n v="87500"/>
    <n v="61249.999999999993"/>
    <n v="26250.000000000007"/>
    <x v="10"/>
    <x v="0"/>
  </r>
  <r>
    <s v="ORD01789"/>
    <s v="2023-08-19"/>
    <x v="0"/>
    <x v="14"/>
    <s v="Guwahati"/>
    <x v="1"/>
    <x v="5"/>
    <x v="2"/>
    <s v="UPI"/>
    <n v="1"/>
    <n v="619"/>
    <n v="433.29999999999995"/>
    <n v="185.70000000000005"/>
    <x v="4"/>
    <x v="1"/>
  </r>
  <r>
    <s v="ORD01790"/>
    <s v="2024-10-12"/>
    <x v="1"/>
    <x v="8"/>
    <s v="Panaji"/>
    <x v="3"/>
    <x v="11"/>
    <x v="1"/>
    <s v="Credit Card"/>
    <n v="10"/>
    <n v="416960"/>
    <n v="291872"/>
    <n v="125088"/>
    <x v="5"/>
    <x v="0"/>
  </r>
  <r>
    <s v="ORD01791"/>
    <s v="2024-10-19"/>
    <x v="0"/>
    <x v="13"/>
    <s v="Kolkata"/>
    <x v="3"/>
    <x v="9"/>
    <x v="1"/>
    <s v="Net Banking"/>
    <n v="1"/>
    <n v="11348"/>
    <n v="7943.5999999999995"/>
    <n v="3404.4000000000005"/>
    <x v="5"/>
    <x v="0"/>
  </r>
  <r>
    <s v="ORD01792"/>
    <s v="2024-01-31"/>
    <x v="1"/>
    <x v="1"/>
    <s v="Ahmedabad"/>
    <x v="2"/>
    <x v="12"/>
    <x v="0"/>
    <s v="Net Banking"/>
    <n v="10"/>
    <n v="28350"/>
    <n v="19845"/>
    <n v="8505"/>
    <x v="8"/>
    <x v="0"/>
  </r>
  <r>
    <s v="ORD01793"/>
    <s v="2024-06-03"/>
    <x v="1"/>
    <x v="9"/>
    <s v="Kolhapur"/>
    <x v="3"/>
    <x v="11"/>
    <x v="0"/>
    <s v="Credit Card"/>
    <n v="1"/>
    <n v="33580"/>
    <n v="23506"/>
    <n v="10074"/>
    <x v="3"/>
    <x v="0"/>
  </r>
  <r>
    <s v="ORD01794"/>
    <s v="2023-09-10"/>
    <x v="2"/>
    <x v="11"/>
    <s v="Lucknow"/>
    <x v="0"/>
    <x v="10"/>
    <x v="1"/>
    <s v="Credit Card"/>
    <n v="10"/>
    <n v="148390"/>
    <n v="103873"/>
    <n v="44517"/>
    <x v="10"/>
    <x v="1"/>
  </r>
  <r>
    <s v="ORD01795"/>
    <s v="2024-01-30"/>
    <x v="3"/>
    <x v="7"/>
    <s v="Chennai"/>
    <x v="0"/>
    <x v="10"/>
    <x v="2"/>
    <s v="Credit Card"/>
    <n v="10"/>
    <n v="343640"/>
    <n v="240547.99999999997"/>
    <n v="103092.00000000003"/>
    <x v="8"/>
    <x v="0"/>
  </r>
  <r>
    <s v="ORD01796"/>
    <s v="2023-03-25"/>
    <x v="3"/>
    <x v="6"/>
    <s v="Hyderabad"/>
    <x v="3"/>
    <x v="9"/>
    <x v="1"/>
    <s v="Net Banking"/>
    <n v="7"/>
    <n v="299026"/>
    <n v="209318.19999999998"/>
    <n v="89707.800000000017"/>
    <x v="2"/>
    <x v="1"/>
  </r>
  <r>
    <s v="ORD01797"/>
    <s v="2023-03-03"/>
    <x v="1"/>
    <x v="9"/>
    <s v="Kolhapur"/>
    <x v="0"/>
    <x v="0"/>
    <x v="2"/>
    <s v="Debit Card"/>
    <n v="7"/>
    <n v="310366"/>
    <n v="217256.19999999998"/>
    <n v="93109.800000000017"/>
    <x v="2"/>
    <x v="1"/>
  </r>
  <r>
    <s v="ORD01798"/>
    <s v="2023-03-23"/>
    <x v="2"/>
    <x v="11"/>
    <s v="Lucknow"/>
    <x v="0"/>
    <x v="4"/>
    <x v="1"/>
    <s v="Debit Card"/>
    <n v="7"/>
    <n v="244888"/>
    <n v="171421.59999999998"/>
    <n v="73466.400000000023"/>
    <x v="2"/>
    <x v="1"/>
  </r>
  <r>
    <s v="ORD01799"/>
    <s v="2024-02-26"/>
    <x v="0"/>
    <x v="14"/>
    <s v="Guwahati"/>
    <x v="2"/>
    <x v="14"/>
    <x v="0"/>
    <s v="Cash"/>
    <n v="7"/>
    <n v="322868"/>
    <n v="226007.59999999998"/>
    <n v="96860.400000000023"/>
    <x v="1"/>
    <x v="0"/>
  </r>
  <r>
    <s v="ORD01800"/>
    <s v="2024-02-10"/>
    <x v="2"/>
    <x v="11"/>
    <s v="Lucknow"/>
    <x v="1"/>
    <x v="1"/>
    <x v="1"/>
    <s v="Cash"/>
    <n v="3"/>
    <n v="28365"/>
    <n v="19855.5"/>
    <n v="8509.5"/>
    <x v="1"/>
    <x v="0"/>
  </r>
  <r>
    <s v="ORD01801"/>
    <s v="2023-04-13"/>
    <x v="2"/>
    <x v="11"/>
    <s v="Lucknow"/>
    <x v="2"/>
    <x v="15"/>
    <x v="0"/>
    <s v="Credit Card"/>
    <n v="8"/>
    <n v="182832"/>
    <n v="127982.39999999999"/>
    <n v="54849.600000000006"/>
    <x v="11"/>
    <x v="1"/>
  </r>
  <r>
    <s v="ORD01802"/>
    <s v="2023-01-18"/>
    <x v="2"/>
    <x v="4"/>
    <s v="Gurgaon"/>
    <x v="2"/>
    <x v="12"/>
    <x v="0"/>
    <s v="UPI"/>
    <n v="1"/>
    <n v="45333"/>
    <n v="31733.1"/>
    <n v="13599.900000000001"/>
    <x v="8"/>
    <x v="1"/>
  </r>
  <r>
    <s v="ORD01803"/>
    <s v="2024-03-26"/>
    <x v="0"/>
    <x v="0"/>
    <s v="Bhubaneswar"/>
    <x v="0"/>
    <x v="0"/>
    <x v="0"/>
    <s v="Cash"/>
    <n v="9"/>
    <n v="182628"/>
    <n v="127839.59999999999"/>
    <n v="54788.400000000009"/>
    <x v="2"/>
    <x v="0"/>
  </r>
  <r>
    <s v="ORD01804"/>
    <s v="2023-06-24"/>
    <x v="3"/>
    <x v="6"/>
    <s v="Hyderabad"/>
    <x v="3"/>
    <x v="6"/>
    <x v="2"/>
    <s v="Net Banking"/>
    <n v="9"/>
    <n v="10935"/>
    <n v="7654.4999999999991"/>
    <n v="3280.5000000000009"/>
    <x v="3"/>
    <x v="1"/>
  </r>
  <r>
    <s v="ORD01805"/>
    <s v="2024-08-10"/>
    <x v="1"/>
    <x v="8"/>
    <s v="Panaji"/>
    <x v="2"/>
    <x v="12"/>
    <x v="0"/>
    <s v="UPI"/>
    <n v="1"/>
    <n v="43864"/>
    <n v="30704.799999999999"/>
    <n v="13159.2"/>
    <x v="4"/>
    <x v="0"/>
  </r>
  <r>
    <s v="ORD01806"/>
    <s v="2024-10-06"/>
    <x v="3"/>
    <x v="7"/>
    <s v="Chennai"/>
    <x v="2"/>
    <x v="15"/>
    <x v="0"/>
    <s v="UPI"/>
    <n v="5"/>
    <n v="164655"/>
    <n v="115258.49999999999"/>
    <n v="49396.500000000015"/>
    <x v="5"/>
    <x v="0"/>
  </r>
  <r>
    <s v="ORD01807"/>
    <s v="2024-08-03"/>
    <x v="1"/>
    <x v="9"/>
    <s v="Pune"/>
    <x v="0"/>
    <x v="0"/>
    <x v="2"/>
    <s v="Debit Card"/>
    <n v="9"/>
    <n v="175338"/>
    <n v="122736.59999999999"/>
    <n v="52601.400000000009"/>
    <x v="4"/>
    <x v="0"/>
  </r>
  <r>
    <s v="ORD01808"/>
    <s v="2023-06-18"/>
    <x v="1"/>
    <x v="8"/>
    <s v="Panaji"/>
    <x v="2"/>
    <x v="3"/>
    <x v="2"/>
    <s v="Credit Card"/>
    <n v="8"/>
    <n v="69856"/>
    <n v="48899.199999999997"/>
    <n v="20956.800000000003"/>
    <x v="3"/>
    <x v="1"/>
  </r>
  <r>
    <s v="ORD01809"/>
    <s v="2023-01-21"/>
    <x v="2"/>
    <x v="11"/>
    <s v="Lucknow"/>
    <x v="3"/>
    <x v="13"/>
    <x v="2"/>
    <s v="Cash"/>
    <n v="3"/>
    <n v="54411"/>
    <n v="38087.699999999997"/>
    <n v="16323.300000000003"/>
    <x v="8"/>
    <x v="1"/>
  </r>
  <r>
    <s v="ORD01810"/>
    <s v="2023-11-12"/>
    <x v="0"/>
    <x v="12"/>
    <s v="Patna"/>
    <x v="2"/>
    <x v="14"/>
    <x v="0"/>
    <s v="Debit Card"/>
    <n v="8"/>
    <n v="198840"/>
    <n v="139188"/>
    <n v="59652"/>
    <x v="6"/>
    <x v="1"/>
  </r>
  <r>
    <s v="ORD01811"/>
    <s v="2023-07-11"/>
    <x v="3"/>
    <x v="10"/>
    <s v="Bangalore"/>
    <x v="2"/>
    <x v="12"/>
    <x v="2"/>
    <s v="Debit Card"/>
    <n v="10"/>
    <n v="101770"/>
    <n v="71239"/>
    <n v="30531"/>
    <x v="0"/>
    <x v="1"/>
  </r>
  <r>
    <s v="ORD01812"/>
    <s v="2023-06-16"/>
    <x v="1"/>
    <x v="9"/>
    <s v="Pune"/>
    <x v="3"/>
    <x v="6"/>
    <x v="1"/>
    <s v="Credit Card"/>
    <n v="2"/>
    <n v="87408"/>
    <n v="61185.599999999999"/>
    <n v="26222.400000000001"/>
    <x v="3"/>
    <x v="1"/>
  </r>
  <r>
    <s v="ORD01813"/>
    <s v="2024-10-11"/>
    <x v="1"/>
    <x v="9"/>
    <s v="Pune"/>
    <x v="0"/>
    <x v="4"/>
    <x v="0"/>
    <s v="Net Banking"/>
    <n v="5"/>
    <n v="86850"/>
    <n v="60794.999999999993"/>
    <n v="26055.000000000007"/>
    <x v="5"/>
    <x v="0"/>
  </r>
  <r>
    <s v="ORD01814"/>
    <s v="2023-10-12"/>
    <x v="2"/>
    <x v="4"/>
    <s v="Gurgaon"/>
    <x v="2"/>
    <x v="12"/>
    <x v="0"/>
    <s v="UPI"/>
    <n v="6"/>
    <n v="17202"/>
    <n v="12041.4"/>
    <n v="5160.6000000000004"/>
    <x v="5"/>
    <x v="1"/>
  </r>
  <r>
    <s v="ORD01815"/>
    <s v="2024-01-31"/>
    <x v="1"/>
    <x v="9"/>
    <s v="Pune"/>
    <x v="1"/>
    <x v="5"/>
    <x v="1"/>
    <s v="Debit Card"/>
    <n v="10"/>
    <n v="7280"/>
    <n v="5096"/>
    <n v="2184"/>
    <x v="8"/>
    <x v="0"/>
  </r>
  <r>
    <s v="ORD01816"/>
    <s v="2023-01-18"/>
    <x v="1"/>
    <x v="9"/>
    <s v="Kolhapur"/>
    <x v="0"/>
    <x v="10"/>
    <x v="1"/>
    <s v="Cash"/>
    <n v="4"/>
    <n v="10808"/>
    <n v="7565.5999999999995"/>
    <n v="3242.4000000000005"/>
    <x v="8"/>
    <x v="1"/>
  </r>
  <r>
    <s v="ORD01817"/>
    <s v="2023-03-02"/>
    <x v="2"/>
    <x v="11"/>
    <s v="Lucknow"/>
    <x v="2"/>
    <x v="14"/>
    <x v="0"/>
    <s v="Cash"/>
    <n v="4"/>
    <n v="139396"/>
    <n v="97577.2"/>
    <n v="41818.800000000003"/>
    <x v="2"/>
    <x v="1"/>
  </r>
  <r>
    <s v="ORD01818"/>
    <s v="2023-01-23"/>
    <x v="3"/>
    <x v="6"/>
    <s v="Hyderabad"/>
    <x v="0"/>
    <x v="2"/>
    <x v="2"/>
    <s v="Net Banking"/>
    <n v="4"/>
    <n v="36872"/>
    <n v="25810.399999999998"/>
    <n v="11061.600000000002"/>
    <x v="8"/>
    <x v="1"/>
  </r>
  <r>
    <s v="ORD01819"/>
    <s v="2024-01-14"/>
    <x v="2"/>
    <x v="11"/>
    <s v="Lucknow"/>
    <x v="3"/>
    <x v="13"/>
    <x v="0"/>
    <s v="Debit Card"/>
    <n v="5"/>
    <n v="23230"/>
    <n v="16260.999999999998"/>
    <n v="6969.0000000000018"/>
    <x v="8"/>
    <x v="0"/>
  </r>
  <r>
    <s v="ORD01820"/>
    <s v="2023-09-11"/>
    <x v="0"/>
    <x v="13"/>
    <s v="Kolkata"/>
    <x v="0"/>
    <x v="2"/>
    <x v="1"/>
    <s v="Debit Card"/>
    <n v="5"/>
    <n v="121715"/>
    <n v="85200.5"/>
    <n v="36514.5"/>
    <x v="10"/>
    <x v="1"/>
  </r>
  <r>
    <s v="ORD01821"/>
    <s v="2023-01-26"/>
    <x v="1"/>
    <x v="9"/>
    <s v="Pune"/>
    <x v="2"/>
    <x v="12"/>
    <x v="1"/>
    <s v="Net Banking"/>
    <n v="6"/>
    <n v="112554"/>
    <n v="78787.799999999988"/>
    <n v="33766.200000000012"/>
    <x v="8"/>
    <x v="1"/>
  </r>
  <r>
    <s v="ORD01822"/>
    <s v="2023-09-15"/>
    <x v="1"/>
    <x v="8"/>
    <s v="Panaji"/>
    <x v="1"/>
    <x v="5"/>
    <x v="0"/>
    <s v="UPI"/>
    <n v="6"/>
    <n v="76032"/>
    <n v="53222.399999999994"/>
    <n v="22809.600000000006"/>
    <x v="10"/>
    <x v="1"/>
  </r>
  <r>
    <s v="ORD01823"/>
    <s v="2024-05-27"/>
    <x v="2"/>
    <x v="2"/>
    <s v="New Delhi"/>
    <x v="3"/>
    <x v="13"/>
    <x v="1"/>
    <s v="Credit Card"/>
    <n v="6"/>
    <n v="10830"/>
    <n v="7580.9999999999991"/>
    <n v="3249.0000000000009"/>
    <x v="9"/>
    <x v="0"/>
  </r>
  <r>
    <s v="ORD01824"/>
    <s v="2024-10-20"/>
    <x v="0"/>
    <x v="0"/>
    <s v="Bhubaneswar"/>
    <x v="3"/>
    <x v="6"/>
    <x v="1"/>
    <s v="Cash"/>
    <n v="1"/>
    <n v="43327"/>
    <n v="30328.899999999998"/>
    <n v="12998.100000000002"/>
    <x v="5"/>
    <x v="0"/>
  </r>
  <r>
    <s v="ORD01825"/>
    <s v="2024-09-12"/>
    <x v="1"/>
    <x v="8"/>
    <s v="Panaji"/>
    <x v="0"/>
    <x v="0"/>
    <x v="2"/>
    <s v="Credit Card"/>
    <n v="1"/>
    <n v="23984"/>
    <n v="16788.8"/>
    <n v="7195.2000000000007"/>
    <x v="10"/>
    <x v="0"/>
  </r>
  <r>
    <s v="ORD01826"/>
    <s v="2024-09-14"/>
    <x v="3"/>
    <x v="5"/>
    <s v="Kochi"/>
    <x v="0"/>
    <x v="2"/>
    <x v="0"/>
    <s v="UPI"/>
    <n v="7"/>
    <n v="178689"/>
    <n v="125082.29999999999"/>
    <n v="53606.700000000012"/>
    <x v="10"/>
    <x v="0"/>
  </r>
  <r>
    <s v="ORD01827"/>
    <s v="2023-09-19"/>
    <x v="1"/>
    <x v="1"/>
    <s v="Ahmedabad"/>
    <x v="3"/>
    <x v="9"/>
    <x v="0"/>
    <s v="Credit Card"/>
    <n v="7"/>
    <n v="21091"/>
    <n v="14763.699999999999"/>
    <n v="6327.3000000000011"/>
    <x v="10"/>
    <x v="1"/>
  </r>
  <r>
    <s v="ORD01828"/>
    <s v="2024-05-07"/>
    <x v="2"/>
    <x v="4"/>
    <s v="Gurgaon"/>
    <x v="2"/>
    <x v="15"/>
    <x v="1"/>
    <s v="Debit Card"/>
    <n v="1"/>
    <n v="21545"/>
    <n v="15081.499999999998"/>
    <n v="6463.5000000000018"/>
    <x v="9"/>
    <x v="0"/>
  </r>
  <r>
    <s v="ORD01829"/>
    <s v="2023-12-17"/>
    <x v="3"/>
    <x v="10"/>
    <s v="Bangalore"/>
    <x v="0"/>
    <x v="4"/>
    <x v="1"/>
    <s v="Cash"/>
    <n v="3"/>
    <n v="5529"/>
    <n v="3870.2999999999997"/>
    <n v="1658.7000000000003"/>
    <x v="7"/>
    <x v="1"/>
  </r>
  <r>
    <s v="ORD01830"/>
    <s v="2024-09-04"/>
    <x v="1"/>
    <x v="9"/>
    <s v="Kolhapur"/>
    <x v="1"/>
    <x v="1"/>
    <x v="2"/>
    <s v="Cash"/>
    <n v="8"/>
    <n v="39736"/>
    <n v="27815.199999999997"/>
    <n v="11920.800000000003"/>
    <x v="10"/>
    <x v="0"/>
  </r>
  <r>
    <s v="ORD01831"/>
    <s v="2024-09-23"/>
    <x v="0"/>
    <x v="13"/>
    <s v="Kolkata"/>
    <x v="1"/>
    <x v="8"/>
    <x v="0"/>
    <s v="Net Banking"/>
    <n v="2"/>
    <n v="67630"/>
    <n v="47341"/>
    <n v="20289"/>
    <x v="10"/>
    <x v="0"/>
  </r>
  <r>
    <s v="ORD01832"/>
    <s v="2023-03-06"/>
    <x v="3"/>
    <x v="7"/>
    <s v="Chennai"/>
    <x v="1"/>
    <x v="7"/>
    <x v="0"/>
    <s v="UPI"/>
    <n v="3"/>
    <n v="20478"/>
    <n v="14334.599999999999"/>
    <n v="6143.4000000000015"/>
    <x v="2"/>
    <x v="1"/>
  </r>
  <r>
    <s v="ORD01833"/>
    <s v="2024-06-27"/>
    <x v="1"/>
    <x v="8"/>
    <s v="Panaji"/>
    <x v="0"/>
    <x v="2"/>
    <x v="1"/>
    <s v="Debit Card"/>
    <n v="2"/>
    <n v="58078"/>
    <n v="40654.6"/>
    <n v="17423.400000000001"/>
    <x v="3"/>
    <x v="0"/>
  </r>
  <r>
    <s v="ORD01834"/>
    <s v="2024-08-13"/>
    <x v="1"/>
    <x v="9"/>
    <s v="Pune"/>
    <x v="0"/>
    <x v="2"/>
    <x v="2"/>
    <s v="Cash"/>
    <n v="6"/>
    <n v="220182"/>
    <n v="154127.4"/>
    <n v="66054.600000000006"/>
    <x v="4"/>
    <x v="0"/>
  </r>
  <r>
    <s v="ORD01835"/>
    <s v="2024-07-12"/>
    <x v="2"/>
    <x v="4"/>
    <s v="Gurgaon"/>
    <x v="1"/>
    <x v="8"/>
    <x v="0"/>
    <s v="Net Banking"/>
    <n v="1"/>
    <n v="33491"/>
    <n v="23443.699999999997"/>
    <n v="10047.300000000003"/>
    <x v="0"/>
    <x v="0"/>
  </r>
  <r>
    <s v="ORD01836"/>
    <s v="2023-05-16"/>
    <x v="3"/>
    <x v="10"/>
    <s v="Bangalore"/>
    <x v="0"/>
    <x v="10"/>
    <x v="1"/>
    <s v="Net Banking"/>
    <n v="9"/>
    <n v="342873"/>
    <n v="240011.09999999998"/>
    <n v="102861.90000000002"/>
    <x v="9"/>
    <x v="1"/>
  </r>
  <r>
    <s v="ORD01837"/>
    <s v="2023-12-14"/>
    <x v="0"/>
    <x v="0"/>
    <s v="Bhubaneswar"/>
    <x v="2"/>
    <x v="12"/>
    <x v="1"/>
    <s v="Credit Card"/>
    <n v="1"/>
    <n v="48827"/>
    <n v="34178.9"/>
    <n v="14648.099999999999"/>
    <x v="7"/>
    <x v="1"/>
  </r>
  <r>
    <s v="ORD01838"/>
    <s v="2024-01-16"/>
    <x v="0"/>
    <x v="13"/>
    <s v="Kolkata"/>
    <x v="3"/>
    <x v="11"/>
    <x v="0"/>
    <s v="Credit Card"/>
    <n v="2"/>
    <n v="68616"/>
    <n v="48031.199999999997"/>
    <n v="20584.800000000003"/>
    <x v="8"/>
    <x v="0"/>
  </r>
  <r>
    <s v="ORD01839"/>
    <s v="2023-06-11"/>
    <x v="0"/>
    <x v="13"/>
    <s v="Kolkata"/>
    <x v="2"/>
    <x v="14"/>
    <x v="2"/>
    <s v="UPI"/>
    <n v="3"/>
    <n v="114702"/>
    <n v="80291.399999999994"/>
    <n v="34410.600000000006"/>
    <x v="3"/>
    <x v="1"/>
  </r>
  <r>
    <s v="ORD01840"/>
    <s v="2024-11-03"/>
    <x v="1"/>
    <x v="9"/>
    <s v="Kolhapur"/>
    <x v="1"/>
    <x v="7"/>
    <x v="0"/>
    <s v="Credit Card"/>
    <n v="6"/>
    <n v="178506"/>
    <n v="124954.2"/>
    <n v="53551.8"/>
    <x v="6"/>
    <x v="0"/>
  </r>
  <r>
    <s v="ORD01841"/>
    <s v="2024-02-22"/>
    <x v="1"/>
    <x v="9"/>
    <s v="Kolhapur"/>
    <x v="3"/>
    <x v="13"/>
    <x v="0"/>
    <s v="Net Banking"/>
    <n v="8"/>
    <n v="291864"/>
    <n v="204304.8"/>
    <n v="87559.200000000012"/>
    <x v="1"/>
    <x v="0"/>
  </r>
  <r>
    <s v="ORD01842"/>
    <s v="2023-10-07"/>
    <x v="1"/>
    <x v="9"/>
    <s v="Pune"/>
    <x v="3"/>
    <x v="6"/>
    <x v="0"/>
    <s v="Net Banking"/>
    <n v="3"/>
    <n v="4647"/>
    <n v="3252.8999999999996"/>
    <n v="1394.1000000000004"/>
    <x v="5"/>
    <x v="1"/>
  </r>
  <r>
    <s v="ORD01843"/>
    <s v="2024-04-07"/>
    <x v="3"/>
    <x v="5"/>
    <s v="Kochi"/>
    <x v="2"/>
    <x v="3"/>
    <x v="2"/>
    <s v="Cash"/>
    <n v="4"/>
    <n v="91136"/>
    <n v="63795.199999999997"/>
    <n v="27340.800000000003"/>
    <x v="11"/>
    <x v="0"/>
  </r>
  <r>
    <s v="ORD01844"/>
    <s v="2024-03-13"/>
    <x v="1"/>
    <x v="1"/>
    <s v="Ahmedabad"/>
    <x v="1"/>
    <x v="8"/>
    <x v="1"/>
    <s v="Cash"/>
    <n v="4"/>
    <n v="121456"/>
    <n v="85019.199999999997"/>
    <n v="36436.800000000003"/>
    <x v="2"/>
    <x v="0"/>
  </r>
  <r>
    <s v="ORD01845"/>
    <s v="2024-06-17"/>
    <x v="1"/>
    <x v="9"/>
    <s v="Pune"/>
    <x v="0"/>
    <x v="2"/>
    <x v="1"/>
    <s v="Credit Card"/>
    <n v="4"/>
    <n v="133136"/>
    <n v="93195.199999999997"/>
    <n v="39940.800000000003"/>
    <x v="3"/>
    <x v="0"/>
  </r>
  <r>
    <s v="ORD01846"/>
    <s v="2023-09-09"/>
    <x v="0"/>
    <x v="14"/>
    <s v="Guwahati"/>
    <x v="1"/>
    <x v="8"/>
    <x v="1"/>
    <s v="UPI"/>
    <n v="4"/>
    <n v="16420"/>
    <n v="11494"/>
    <n v="4926"/>
    <x v="10"/>
    <x v="1"/>
  </r>
  <r>
    <s v="ORD01847"/>
    <s v="2023-04-24"/>
    <x v="0"/>
    <x v="12"/>
    <s v="Patna"/>
    <x v="0"/>
    <x v="10"/>
    <x v="2"/>
    <s v="Cash"/>
    <n v="4"/>
    <n v="99456"/>
    <n v="69619.199999999997"/>
    <n v="29836.800000000003"/>
    <x v="11"/>
    <x v="1"/>
  </r>
  <r>
    <s v="ORD01848"/>
    <s v="2024-07-27"/>
    <x v="1"/>
    <x v="9"/>
    <s v="Kolhapur"/>
    <x v="2"/>
    <x v="15"/>
    <x v="0"/>
    <s v="Debit Card"/>
    <n v="9"/>
    <n v="342774"/>
    <n v="239941.8"/>
    <n v="102832.20000000001"/>
    <x v="0"/>
    <x v="0"/>
  </r>
  <r>
    <s v="ORD01849"/>
    <s v="2023-06-15"/>
    <x v="2"/>
    <x v="2"/>
    <s v="New Delhi"/>
    <x v="1"/>
    <x v="7"/>
    <x v="2"/>
    <s v="UPI"/>
    <n v="10"/>
    <n v="306920"/>
    <n v="214844"/>
    <n v="92076"/>
    <x v="3"/>
    <x v="1"/>
  </r>
  <r>
    <s v="ORD01850"/>
    <s v="2024-05-22"/>
    <x v="0"/>
    <x v="13"/>
    <s v="Kolkata"/>
    <x v="0"/>
    <x v="4"/>
    <x v="1"/>
    <s v="Net Banking"/>
    <n v="7"/>
    <n v="14924"/>
    <n v="10446.799999999999"/>
    <n v="4477.2000000000007"/>
    <x v="9"/>
    <x v="0"/>
  </r>
  <r>
    <s v="ORD01851"/>
    <s v="2023-01-03"/>
    <x v="2"/>
    <x v="4"/>
    <s v="Gurgaon"/>
    <x v="2"/>
    <x v="14"/>
    <x v="2"/>
    <s v="Cash"/>
    <n v="10"/>
    <n v="416190"/>
    <n v="291333"/>
    <n v="124857"/>
    <x v="8"/>
    <x v="1"/>
  </r>
  <r>
    <s v="ORD01852"/>
    <s v="2023-04-21"/>
    <x v="1"/>
    <x v="9"/>
    <s v="Pune"/>
    <x v="3"/>
    <x v="13"/>
    <x v="0"/>
    <s v="UPI"/>
    <n v="8"/>
    <n v="95592"/>
    <n v="66914.399999999994"/>
    <n v="28677.600000000006"/>
    <x v="11"/>
    <x v="1"/>
  </r>
  <r>
    <s v="ORD01853"/>
    <s v="2023-09-21"/>
    <x v="2"/>
    <x v="3"/>
    <s v="Ludhiana"/>
    <x v="3"/>
    <x v="11"/>
    <x v="0"/>
    <s v="UPI"/>
    <n v="2"/>
    <n v="31420"/>
    <n v="21994"/>
    <n v="9426"/>
    <x v="10"/>
    <x v="1"/>
  </r>
  <r>
    <s v="ORD01854"/>
    <s v="2023-10-14"/>
    <x v="3"/>
    <x v="10"/>
    <s v="Bangalore"/>
    <x v="2"/>
    <x v="14"/>
    <x v="0"/>
    <s v="Debit Card"/>
    <n v="5"/>
    <n v="134320"/>
    <n v="94024"/>
    <n v="40296"/>
    <x v="5"/>
    <x v="1"/>
  </r>
  <r>
    <s v="ORD01855"/>
    <s v="2023-04-05"/>
    <x v="2"/>
    <x v="2"/>
    <s v="New Delhi"/>
    <x v="1"/>
    <x v="1"/>
    <x v="2"/>
    <s v="Debit Card"/>
    <n v="5"/>
    <n v="134940"/>
    <n v="94458"/>
    <n v="40482"/>
    <x v="11"/>
    <x v="1"/>
  </r>
  <r>
    <s v="ORD01856"/>
    <s v="2023-04-19"/>
    <x v="0"/>
    <x v="12"/>
    <s v="Patna"/>
    <x v="0"/>
    <x v="10"/>
    <x v="1"/>
    <s v="UPI"/>
    <n v="1"/>
    <n v="49146"/>
    <n v="34402.199999999997"/>
    <n v="14743.800000000003"/>
    <x v="11"/>
    <x v="1"/>
  </r>
  <r>
    <s v="ORD01857"/>
    <s v="2023-12-05"/>
    <x v="3"/>
    <x v="10"/>
    <s v="Bangalore"/>
    <x v="3"/>
    <x v="6"/>
    <x v="0"/>
    <s v="UPI"/>
    <n v="8"/>
    <n v="127976"/>
    <n v="89583.2"/>
    <n v="38392.800000000003"/>
    <x v="7"/>
    <x v="1"/>
  </r>
  <r>
    <s v="ORD01858"/>
    <s v="2023-10-20"/>
    <x v="2"/>
    <x v="4"/>
    <s v="Gurgaon"/>
    <x v="1"/>
    <x v="8"/>
    <x v="1"/>
    <s v="Cash"/>
    <n v="9"/>
    <n v="186255"/>
    <n v="130378.49999999999"/>
    <n v="55876.500000000015"/>
    <x v="5"/>
    <x v="1"/>
  </r>
  <r>
    <s v="ORD01859"/>
    <s v="2024-09-06"/>
    <x v="2"/>
    <x v="3"/>
    <s v="Ludhiana"/>
    <x v="2"/>
    <x v="12"/>
    <x v="1"/>
    <s v="Debit Card"/>
    <n v="7"/>
    <n v="108402"/>
    <n v="75881.399999999994"/>
    <n v="32520.600000000006"/>
    <x v="10"/>
    <x v="0"/>
  </r>
  <r>
    <s v="ORD01860"/>
    <s v="2023-02-15"/>
    <x v="2"/>
    <x v="4"/>
    <s v="Gurgaon"/>
    <x v="1"/>
    <x v="5"/>
    <x v="2"/>
    <s v="UPI"/>
    <n v="6"/>
    <n v="210318"/>
    <n v="147222.59999999998"/>
    <n v="63095.400000000023"/>
    <x v="1"/>
    <x v="1"/>
  </r>
  <r>
    <s v="ORD01861"/>
    <s v="2023-10-09"/>
    <x v="2"/>
    <x v="11"/>
    <s v="Lucknow"/>
    <x v="2"/>
    <x v="12"/>
    <x v="0"/>
    <s v="Credit Card"/>
    <n v="5"/>
    <n v="205920"/>
    <n v="144144"/>
    <n v="61776"/>
    <x v="5"/>
    <x v="1"/>
  </r>
  <r>
    <s v="ORD01862"/>
    <s v="2023-01-08"/>
    <x v="0"/>
    <x v="0"/>
    <s v="Bhubaneswar"/>
    <x v="2"/>
    <x v="14"/>
    <x v="2"/>
    <s v="Net Banking"/>
    <n v="1"/>
    <n v="12857"/>
    <n v="8999.9"/>
    <n v="3857.1000000000004"/>
    <x v="8"/>
    <x v="1"/>
  </r>
  <r>
    <s v="ORD01863"/>
    <s v="2023-04-27"/>
    <x v="2"/>
    <x v="4"/>
    <s v="Gurgaon"/>
    <x v="0"/>
    <x v="4"/>
    <x v="2"/>
    <s v="UPI"/>
    <n v="6"/>
    <n v="56910"/>
    <n v="39837"/>
    <n v="17073"/>
    <x v="11"/>
    <x v="1"/>
  </r>
  <r>
    <s v="ORD01864"/>
    <s v="2023-07-01"/>
    <x v="2"/>
    <x v="2"/>
    <s v="New Delhi"/>
    <x v="0"/>
    <x v="2"/>
    <x v="1"/>
    <s v="UPI"/>
    <n v="10"/>
    <n v="362070"/>
    <n v="253448.99999999997"/>
    <n v="108621.00000000003"/>
    <x v="0"/>
    <x v="1"/>
  </r>
  <r>
    <s v="ORD01865"/>
    <s v="2024-10-13"/>
    <x v="1"/>
    <x v="1"/>
    <s v="Ahmedabad"/>
    <x v="1"/>
    <x v="8"/>
    <x v="0"/>
    <s v="UPI"/>
    <n v="10"/>
    <n v="18390"/>
    <n v="12873"/>
    <n v="5517"/>
    <x v="5"/>
    <x v="0"/>
  </r>
  <r>
    <s v="ORD01866"/>
    <s v="2024-09-19"/>
    <x v="1"/>
    <x v="8"/>
    <s v="Panaji"/>
    <x v="2"/>
    <x v="14"/>
    <x v="1"/>
    <s v="Debit Card"/>
    <n v="6"/>
    <n v="85128"/>
    <n v="59589.599999999999"/>
    <n v="25538.400000000001"/>
    <x v="10"/>
    <x v="0"/>
  </r>
  <r>
    <s v="ORD01867"/>
    <s v="2023-06-25"/>
    <x v="3"/>
    <x v="10"/>
    <s v="Bangalore"/>
    <x v="1"/>
    <x v="5"/>
    <x v="0"/>
    <s v="Net Banking"/>
    <n v="3"/>
    <n v="101715"/>
    <n v="71200.5"/>
    <n v="30514.5"/>
    <x v="3"/>
    <x v="1"/>
  </r>
  <r>
    <s v="ORD01868"/>
    <s v="2024-01-03"/>
    <x v="0"/>
    <x v="14"/>
    <s v="Guwahati"/>
    <x v="3"/>
    <x v="6"/>
    <x v="0"/>
    <s v="Credit Card"/>
    <n v="3"/>
    <n v="61653"/>
    <n v="43157.1"/>
    <n v="18495.900000000001"/>
    <x v="8"/>
    <x v="0"/>
  </r>
  <r>
    <s v="ORD01869"/>
    <s v="2023-07-03"/>
    <x v="1"/>
    <x v="9"/>
    <s v="Pune"/>
    <x v="2"/>
    <x v="3"/>
    <x v="1"/>
    <s v="Cash"/>
    <n v="6"/>
    <n v="256752"/>
    <n v="179726.4"/>
    <n v="77025.600000000006"/>
    <x v="0"/>
    <x v="1"/>
  </r>
  <r>
    <s v="ORD01870"/>
    <s v="2023-03-01"/>
    <x v="2"/>
    <x v="3"/>
    <s v="Ludhiana"/>
    <x v="2"/>
    <x v="3"/>
    <x v="2"/>
    <s v="Debit Card"/>
    <n v="3"/>
    <n v="92799"/>
    <n v="64959.299999999996"/>
    <n v="27839.700000000004"/>
    <x v="2"/>
    <x v="1"/>
  </r>
  <r>
    <s v="ORD01871"/>
    <s v="2024-08-10"/>
    <x v="1"/>
    <x v="1"/>
    <s v="Ahmedabad"/>
    <x v="1"/>
    <x v="1"/>
    <x v="2"/>
    <s v="Net Banking"/>
    <n v="3"/>
    <n v="84657"/>
    <n v="59259.899999999994"/>
    <n v="25397.100000000006"/>
    <x v="4"/>
    <x v="0"/>
  </r>
  <r>
    <s v="ORD01872"/>
    <s v="2023-09-05"/>
    <x v="2"/>
    <x v="4"/>
    <s v="Gurgaon"/>
    <x v="0"/>
    <x v="4"/>
    <x v="2"/>
    <s v="Net Banking"/>
    <n v="9"/>
    <n v="407655"/>
    <n v="285358.5"/>
    <n v="122296.5"/>
    <x v="10"/>
    <x v="1"/>
  </r>
  <r>
    <s v="ORD01873"/>
    <s v="2024-05-30"/>
    <x v="3"/>
    <x v="10"/>
    <s v="Bangalore"/>
    <x v="2"/>
    <x v="15"/>
    <x v="0"/>
    <s v="Credit Card"/>
    <n v="2"/>
    <n v="79640"/>
    <n v="55748"/>
    <n v="23892"/>
    <x v="9"/>
    <x v="0"/>
  </r>
  <r>
    <s v="ORD01874"/>
    <s v="2024-04-29"/>
    <x v="0"/>
    <x v="0"/>
    <s v="Bhubaneswar"/>
    <x v="1"/>
    <x v="8"/>
    <x v="2"/>
    <s v="Credit Card"/>
    <n v="8"/>
    <n v="83792"/>
    <n v="58654.399999999994"/>
    <n v="25137.600000000006"/>
    <x v="11"/>
    <x v="0"/>
  </r>
  <r>
    <s v="ORD01875"/>
    <s v="2023-11-06"/>
    <x v="0"/>
    <x v="0"/>
    <s v="Bhubaneswar"/>
    <x v="1"/>
    <x v="8"/>
    <x v="2"/>
    <s v="Credit Card"/>
    <n v="8"/>
    <n v="48312"/>
    <n v="33818.400000000001"/>
    <n v="14493.599999999999"/>
    <x v="6"/>
    <x v="1"/>
  </r>
  <r>
    <s v="ORD01876"/>
    <s v="2023-12-19"/>
    <x v="0"/>
    <x v="12"/>
    <s v="Patna"/>
    <x v="2"/>
    <x v="15"/>
    <x v="1"/>
    <s v="UPI"/>
    <n v="3"/>
    <n v="77091"/>
    <n v="53963.7"/>
    <n v="23127.300000000003"/>
    <x v="7"/>
    <x v="1"/>
  </r>
  <r>
    <s v="ORD01877"/>
    <s v="2024-05-10"/>
    <x v="2"/>
    <x v="11"/>
    <s v="Lucknow"/>
    <x v="1"/>
    <x v="7"/>
    <x v="1"/>
    <s v="UPI"/>
    <n v="4"/>
    <n v="87896"/>
    <n v="61527.199999999997"/>
    <n v="26368.800000000003"/>
    <x v="9"/>
    <x v="0"/>
  </r>
  <r>
    <s v="ORD01878"/>
    <s v="2023-09-07"/>
    <x v="1"/>
    <x v="9"/>
    <s v="Kolhapur"/>
    <x v="3"/>
    <x v="9"/>
    <x v="2"/>
    <s v="Credit Card"/>
    <n v="9"/>
    <n v="381528"/>
    <n v="267069.59999999998"/>
    <n v="114458.40000000002"/>
    <x v="10"/>
    <x v="1"/>
  </r>
  <r>
    <s v="ORD01879"/>
    <s v="2024-08-21"/>
    <x v="1"/>
    <x v="8"/>
    <s v="Panaji"/>
    <x v="1"/>
    <x v="5"/>
    <x v="2"/>
    <s v="Net Banking"/>
    <n v="7"/>
    <n v="61537"/>
    <n v="43075.899999999994"/>
    <n v="18461.100000000006"/>
    <x v="4"/>
    <x v="0"/>
  </r>
  <r>
    <s v="ORD01880"/>
    <s v="2023-01-25"/>
    <x v="0"/>
    <x v="13"/>
    <s v="Kolkata"/>
    <x v="2"/>
    <x v="3"/>
    <x v="2"/>
    <s v="Net Banking"/>
    <n v="4"/>
    <n v="7264"/>
    <n v="5084.7999999999993"/>
    <n v="2179.2000000000007"/>
    <x v="8"/>
    <x v="1"/>
  </r>
  <r>
    <s v="ORD01881"/>
    <s v="2023-07-12"/>
    <x v="0"/>
    <x v="0"/>
    <s v="Bhubaneswar"/>
    <x v="1"/>
    <x v="7"/>
    <x v="0"/>
    <s v="Credit Card"/>
    <n v="4"/>
    <n v="178520"/>
    <n v="124963.99999999999"/>
    <n v="53556.000000000015"/>
    <x v="0"/>
    <x v="1"/>
  </r>
  <r>
    <s v="ORD01882"/>
    <s v="2024-04-13"/>
    <x v="1"/>
    <x v="9"/>
    <s v="Pune"/>
    <x v="2"/>
    <x v="15"/>
    <x v="0"/>
    <s v="Credit Card"/>
    <n v="3"/>
    <n v="32274"/>
    <n v="22591.8"/>
    <n v="9682.2000000000007"/>
    <x v="11"/>
    <x v="0"/>
  </r>
  <r>
    <s v="ORD01883"/>
    <s v="2024-10-14"/>
    <x v="1"/>
    <x v="8"/>
    <s v="Panaji"/>
    <x v="0"/>
    <x v="4"/>
    <x v="1"/>
    <s v="Debit Card"/>
    <n v="3"/>
    <n v="136422"/>
    <n v="95495.4"/>
    <n v="40926.600000000006"/>
    <x v="5"/>
    <x v="0"/>
  </r>
  <r>
    <s v="ORD01884"/>
    <s v="2024-06-16"/>
    <x v="0"/>
    <x v="0"/>
    <s v="Bhubaneswar"/>
    <x v="3"/>
    <x v="9"/>
    <x v="0"/>
    <s v="Cash"/>
    <n v="2"/>
    <n v="41612"/>
    <n v="29128.399999999998"/>
    <n v="12483.600000000002"/>
    <x v="3"/>
    <x v="0"/>
  </r>
  <r>
    <s v="ORD01885"/>
    <s v="2024-06-19"/>
    <x v="2"/>
    <x v="4"/>
    <s v="Gurgaon"/>
    <x v="1"/>
    <x v="5"/>
    <x v="0"/>
    <s v="UPI"/>
    <n v="2"/>
    <n v="64940"/>
    <n v="45458"/>
    <n v="19482"/>
    <x v="3"/>
    <x v="0"/>
  </r>
  <r>
    <s v="ORD01886"/>
    <s v="2024-03-31"/>
    <x v="1"/>
    <x v="9"/>
    <s v="Pune"/>
    <x v="0"/>
    <x v="0"/>
    <x v="2"/>
    <s v="Cash"/>
    <n v="10"/>
    <n v="80860"/>
    <n v="56602"/>
    <n v="24258"/>
    <x v="2"/>
    <x v="0"/>
  </r>
  <r>
    <s v="ORD01887"/>
    <s v="2023-12-29"/>
    <x v="0"/>
    <x v="14"/>
    <s v="Guwahati"/>
    <x v="2"/>
    <x v="12"/>
    <x v="1"/>
    <s v="Net Banking"/>
    <n v="1"/>
    <n v="5531"/>
    <n v="3871.7"/>
    <n v="1659.3000000000002"/>
    <x v="7"/>
    <x v="1"/>
  </r>
  <r>
    <s v="ORD01888"/>
    <s v="2023-01-18"/>
    <x v="2"/>
    <x v="11"/>
    <s v="Lucknow"/>
    <x v="0"/>
    <x v="10"/>
    <x v="1"/>
    <s v="Cash"/>
    <n v="4"/>
    <n v="118116"/>
    <n v="82681.2"/>
    <n v="35434.800000000003"/>
    <x v="8"/>
    <x v="1"/>
  </r>
  <r>
    <s v="ORD01889"/>
    <s v="2023-01-31"/>
    <x v="0"/>
    <x v="13"/>
    <s v="Kolkata"/>
    <x v="2"/>
    <x v="15"/>
    <x v="1"/>
    <s v="Net Banking"/>
    <n v="1"/>
    <n v="15338"/>
    <n v="10736.599999999999"/>
    <n v="4601.4000000000015"/>
    <x v="8"/>
    <x v="1"/>
  </r>
  <r>
    <s v="ORD01890"/>
    <s v="2024-03-13"/>
    <x v="3"/>
    <x v="5"/>
    <s v="Kochi"/>
    <x v="2"/>
    <x v="3"/>
    <x v="2"/>
    <s v="Net Banking"/>
    <n v="6"/>
    <n v="251238"/>
    <n v="175866.59999999998"/>
    <n v="75371.400000000023"/>
    <x v="2"/>
    <x v="0"/>
  </r>
  <r>
    <s v="ORD01891"/>
    <s v="2023-01-14"/>
    <x v="0"/>
    <x v="12"/>
    <s v="Patna"/>
    <x v="1"/>
    <x v="5"/>
    <x v="1"/>
    <s v="Debit Card"/>
    <n v="7"/>
    <n v="243796"/>
    <n v="170657.19999999998"/>
    <n v="73138.800000000017"/>
    <x v="8"/>
    <x v="1"/>
  </r>
  <r>
    <s v="ORD01892"/>
    <s v="2023-09-14"/>
    <x v="3"/>
    <x v="5"/>
    <s v="Kochi"/>
    <x v="3"/>
    <x v="9"/>
    <x v="0"/>
    <s v="Cash"/>
    <n v="1"/>
    <n v="36050"/>
    <n v="25235"/>
    <n v="10815"/>
    <x v="10"/>
    <x v="1"/>
  </r>
  <r>
    <s v="ORD01893"/>
    <s v="2023-05-16"/>
    <x v="1"/>
    <x v="1"/>
    <s v="Ahmedabad"/>
    <x v="2"/>
    <x v="14"/>
    <x v="2"/>
    <s v="Debit Card"/>
    <n v="8"/>
    <n v="82440"/>
    <n v="57707.999999999993"/>
    <n v="24732.000000000007"/>
    <x v="9"/>
    <x v="1"/>
  </r>
  <r>
    <s v="ORD01894"/>
    <s v="2023-08-07"/>
    <x v="3"/>
    <x v="10"/>
    <s v="Bangalore"/>
    <x v="1"/>
    <x v="7"/>
    <x v="2"/>
    <s v="Debit Card"/>
    <n v="2"/>
    <n v="33408"/>
    <n v="23385.599999999999"/>
    <n v="10022.400000000001"/>
    <x v="4"/>
    <x v="1"/>
  </r>
  <r>
    <s v="ORD01895"/>
    <s v="2023-05-26"/>
    <x v="2"/>
    <x v="3"/>
    <s v="Ludhiana"/>
    <x v="2"/>
    <x v="3"/>
    <x v="2"/>
    <s v="Credit Card"/>
    <n v="8"/>
    <n v="36864"/>
    <n v="25804.799999999999"/>
    <n v="11059.2"/>
    <x v="9"/>
    <x v="1"/>
  </r>
  <r>
    <s v="ORD01896"/>
    <s v="2023-10-09"/>
    <x v="2"/>
    <x v="2"/>
    <s v="New Delhi"/>
    <x v="2"/>
    <x v="14"/>
    <x v="1"/>
    <s v="Credit Card"/>
    <n v="3"/>
    <n v="33552"/>
    <n v="23486.399999999998"/>
    <n v="10065.600000000002"/>
    <x v="5"/>
    <x v="1"/>
  </r>
  <r>
    <s v="ORD01897"/>
    <s v="2023-05-10"/>
    <x v="3"/>
    <x v="7"/>
    <s v="Chennai"/>
    <x v="0"/>
    <x v="10"/>
    <x v="2"/>
    <s v="UPI"/>
    <n v="1"/>
    <n v="11598"/>
    <n v="8118.5999999999995"/>
    <n v="3479.4000000000005"/>
    <x v="9"/>
    <x v="1"/>
  </r>
  <r>
    <s v="ORD01898"/>
    <s v="2023-01-27"/>
    <x v="0"/>
    <x v="12"/>
    <s v="Patna"/>
    <x v="1"/>
    <x v="8"/>
    <x v="2"/>
    <s v="UPI"/>
    <n v="6"/>
    <n v="203184"/>
    <n v="142228.79999999999"/>
    <n v="60955.200000000012"/>
    <x v="8"/>
    <x v="1"/>
  </r>
  <r>
    <s v="ORD01899"/>
    <s v="2024-08-22"/>
    <x v="2"/>
    <x v="2"/>
    <s v="New Delhi"/>
    <x v="2"/>
    <x v="12"/>
    <x v="0"/>
    <s v="Debit Card"/>
    <n v="9"/>
    <n v="327168"/>
    <n v="229017.59999999998"/>
    <n v="98150.400000000023"/>
    <x v="4"/>
    <x v="0"/>
  </r>
  <r>
    <s v="ORD01900"/>
    <s v="2024-08-29"/>
    <x v="3"/>
    <x v="6"/>
    <s v="Hyderabad"/>
    <x v="3"/>
    <x v="11"/>
    <x v="0"/>
    <s v="Credit Card"/>
    <n v="5"/>
    <n v="55965"/>
    <n v="39175.5"/>
    <n v="16789.5"/>
    <x v="4"/>
    <x v="0"/>
  </r>
  <r>
    <s v="ORD01901"/>
    <s v="2023-07-05"/>
    <x v="2"/>
    <x v="2"/>
    <s v="New Delhi"/>
    <x v="2"/>
    <x v="15"/>
    <x v="2"/>
    <s v="Net Banking"/>
    <n v="4"/>
    <n v="172376"/>
    <n v="120663.2"/>
    <n v="51712.800000000003"/>
    <x v="0"/>
    <x v="1"/>
  </r>
  <r>
    <s v="ORD01902"/>
    <s v="2023-12-06"/>
    <x v="2"/>
    <x v="4"/>
    <s v="Gurgaon"/>
    <x v="0"/>
    <x v="0"/>
    <x v="2"/>
    <s v="Debit Card"/>
    <n v="4"/>
    <n v="173656"/>
    <n v="121559.2"/>
    <n v="52096.800000000003"/>
    <x v="7"/>
    <x v="1"/>
  </r>
  <r>
    <s v="ORD01903"/>
    <s v="2024-04-27"/>
    <x v="2"/>
    <x v="11"/>
    <s v="Lucknow"/>
    <x v="3"/>
    <x v="6"/>
    <x v="2"/>
    <s v="Credit Card"/>
    <n v="7"/>
    <n v="302540"/>
    <n v="211778"/>
    <n v="90762"/>
    <x v="11"/>
    <x v="0"/>
  </r>
  <r>
    <s v="ORD01904"/>
    <s v="2023-12-12"/>
    <x v="0"/>
    <x v="13"/>
    <s v="Kolkata"/>
    <x v="1"/>
    <x v="5"/>
    <x v="0"/>
    <s v="Credit Card"/>
    <n v="6"/>
    <n v="209634"/>
    <n v="146743.79999999999"/>
    <n v="62890.200000000012"/>
    <x v="7"/>
    <x v="1"/>
  </r>
  <r>
    <s v="ORD01905"/>
    <s v="2023-01-17"/>
    <x v="2"/>
    <x v="2"/>
    <s v="New Delhi"/>
    <x v="2"/>
    <x v="14"/>
    <x v="2"/>
    <s v="Cash"/>
    <n v="6"/>
    <n v="272274"/>
    <n v="190591.8"/>
    <n v="81682.200000000012"/>
    <x v="8"/>
    <x v="1"/>
  </r>
  <r>
    <s v="ORD01906"/>
    <s v="2023-10-26"/>
    <x v="0"/>
    <x v="14"/>
    <s v="Guwahati"/>
    <x v="2"/>
    <x v="3"/>
    <x v="2"/>
    <s v="Debit Card"/>
    <n v="9"/>
    <n v="234522"/>
    <n v="164165.4"/>
    <n v="70356.600000000006"/>
    <x v="5"/>
    <x v="1"/>
  </r>
  <r>
    <s v="ORD01907"/>
    <s v="2023-07-13"/>
    <x v="0"/>
    <x v="0"/>
    <s v="Bhubaneswar"/>
    <x v="1"/>
    <x v="8"/>
    <x v="1"/>
    <s v="Cash"/>
    <n v="2"/>
    <n v="86136"/>
    <n v="60295.199999999997"/>
    <n v="25840.800000000003"/>
    <x v="0"/>
    <x v="1"/>
  </r>
  <r>
    <s v="ORD01908"/>
    <s v="2024-04-27"/>
    <x v="0"/>
    <x v="12"/>
    <s v="Patna"/>
    <x v="2"/>
    <x v="14"/>
    <x v="0"/>
    <s v="Cash"/>
    <n v="7"/>
    <n v="207795"/>
    <n v="145456.5"/>
    <n v="62338.5"/>
    <x v="11"/>
    <x v="0"/>
  </r>
  <r>
    <s v="ORD01909"/>
    <s v="2024-03-29"/>
    <x v="2"/>
    <x v="11"/>
    <s v="Lucknow"/>
    <x v="1"/>
    <x v="1"/>
    <x v="1"/>
    <s v="Net Banking"/>
    <n v="3"/>
    <n v="51954"/>
    <n v="36367.799999999996"/>
    <n v="15586.200000000004"/>
    <x v="2"/>
    <x v="0"/>
  </r>
  <r>
    <s v="ORD01910"/>
    <s v="2023-12-19"/>
    <x v="0"/>
    <x v="12"/>
    <s v="Patna"/>
    <x v="0"/>
    <x v="2"/>
    <x v="0"/>
    <s v="Credit Card"/>
    <n v="1"/>
    <n v="23638"/>
    <n v="16546.599999999999"/>
    <n v="7091.4000000000015"/>
    <x v="7"/>
    <x v="1"/>
  </r>
  <r>
    <s v="ORD01911"/>
    <s v="2024-05-27"/>
    <x v="2"/>
    <x v="4"/>
    <s v="Gurgaon"/>
    <x v="3"/>
    <x v="13"/>
    <x v="2"/>
    <s v="Debit Card"/>
    <n v="9"/>
    <n v="184599"/>
    <n v="129219.29999999999"/>
    <n v="55379.700000000012"/>
    <x v="9"/>
    <x v="0"/>
  </r>
  <r>
    <s v="ORD01912"/>
    <s v="2023-10-28"/>
    <x v="2"/>
    <x v="4"/>
    <s v="Gurgaon"/>
    <x v="1"/>
    <x v="1"/>
    <x v="0"/>
    <s v="Credit Card"/>
    <n v="10"/>
    <n v="359820"/>
    <n v="251873.99999999997"/>
    <n v="107946.00000000003"/>
    <x v="5"/>
    <x v="1"/>
  </r>
  <r>
    <s v="ORD01913"/>
    <s v="2023-07-29"/>
    <x v="1"/>
    <x v="1"/>
    <s v="Ahmedabad"/>
    <x v="2"/>
    <x v="3"/>
    <x v="1"/>
    <s v="Net Banking"/>
    <n v="7"/>
    <n v="246330"/>
    <n v="172431"/>
    <n v="73899"/>
    <x v="0"/>
    <x v="1"/>
  </r>
  <r>
    <s v="ORD01914"/>
    <s v="2024-07-12"/>
    <x v="1"/>
    <x v="1"/>
    <s v="Ahmedabad"/>
    <x v="2"/>
    <x v="15"/>
    <x v="2"/>
    <s v="Net Banking"/>
    <n v="8"/>
    <n v="307320"/>
    <n v="215124"/>
    <n v="92196"/>
    <x v="0"/>
    <x v="0"/>
  </r>
  <r>
    <s v="ORD01915"/>
    <s v="2024-09-08"/>
    <x v="1"/>
    <x v="9"/>
    <s v="Kolhapur"/>
    <x v="1"/>
    <x v="5"/>
    <x v="1"/>
    <s v="UPI"/>
    <n v="5"/>
    <n v="230045"/>
    <n v="161031.5"/>
    <n v="69013.5"/>
    <x v="10"/>
    <x v="0"/>
  </r>
  <r>
    <s v="ORD01916"/>
    <s v="2024-06-05"/>
    <x v="0"/>
    <x v="12"/>
    <s v="Patna"/>
    <x v="0"/>
    <x v="2"/>
    <x v="0"/>
    <s v="Debit Card"/>
    <n v="10"/>
    <n v="158910"/>
    <n v="111237"/>
    <n v="47673"/>
    <x v="3"/>
    <x v="0"/>
  </r>
  <r>
    <s v="ORD01917"/>
    <s v="2023-09-28"/>
    <x v="3"/>
    <x v="6"/>
    <s v="Hyderabad"/>
    <x v="1"/>
    <x v="1"/>
    <x v="2"/>
    <s v="Credit Card"/>
    <n v="6"/>
    <n v="144942"/>
    <n v="101459.4"/>
    <n v="43482.600000000006"/>
    <x v="10"/>
    <x v="1"/>
  </r>
  <r>
    <s v="ORD01918"/>
    <s v="2024-09-17"/>
    <x v="2"/>
    <x v="11"/>
    <s v="Lucknow"/>
    <x v="2"/>
    <x v="14"/>
    <x v="0"/>
    <s v="Debit Card"/>
    <n v="8"/>
    <n v="371848"/>
    <n v="260293.59999999998"/>
    <n v="111554.40000000002"/>
    <x v="10"/>
    <x v="0"/>
  </r>
  <r>
    <s v="ORD01919"/>
    <s v="2023-06-10"/>
    <x v="2"/>
    <x v="4"/>
    <s v="Gurgaon"/>
    <x v="3"/>
    <x v="9"/>
    <x v="0"/>
    <s v="Credit Card"/>
    <n v="10"/>
    <n v="282770"/>
    <n v="197939"/>
    <n v="84831"/>
    <x v="3"/>
    <x v="1"/>
  </r>
  <r>
    <s v="ORD01920"/>
    <s v="2023-02-07"/>
    <x v="3"/>
    <x v="7"/>
    <s v="Chennai"/>
    <x v="0"/>
    <x v="10"/>
    <x v="0"/>
    <s v="UPI"/>
    <n v="2"/>
    <n v="90390"/>
    <n v="63272.999999999993"/>
    <n v="27117.000000000007"/>
    <x v="1"/>
    <x v="1"/>
  </r>
  <r>
    <s v="ORD01921"/>
    <s v="2023-04-21"/>
    <x v="0"/>
    <x v="0"/>
    <s v="Bhubaneswar"/>
    <x v="0"/>
    <x v="2"/>
    <x v="2"/>
    <s v="Net Banking"/>
    <n v="8"/>
    <n v="146008"/>
    <n v="102205.59999999999"/>
    <n v="43802.400000000009"/>
    <x v="11"/>
    <x v="1"/>
  </r>
  <r>
    <s v="ORD01922"/>
    <s v="2023-08-20"/>
    <x v="1"/>
    <x v="1"/>
    <s v="Ahmedabad"/>
    <x v="3"/>
    <x v="9"/>
    <x v="0"/>
    <s v="Credit Card"/>
    <n v="1"/>
    <n v="35381"/>
    <n v="24766.699999999997"/>
    <n v="10614.300000000003"/>
    <x v="4"/>
    <x v="1"/>
  </r>
  <r>
    <s v="ORD01923"/>
    <s v="2023-02-24"/>
    <x v="2"/>
    <x v="3"/>
    <s v="Ludhiana"/>
    <x v="2"/>
    <x v="15"/>
    <x v="0"/>
    <s v="Credit Card"/>
    <n v="5"/>
    <n v="70135"/>
    <n v="49094.5"/>
    <n v="21040.5"/>
    <x v="1"/>
    <x v="1"/>
  </r>
  <r>
    <s v="ORD01924"/>
    <s v="2024-06-04"/>
    <x v="2"/>
    <x v="2"/>
    <s v="New Delhi"/>
    <x v="3"/>
    <x v="9"/>
    <x v="1"/>
    <s v="Credit Card"/>
    <n v="9"/>
    <n v="291600"/>
    <n v="204120"/>
    <n v="87480"/>
    <x v="3"/>
    <x v="0"/>
  </r>
  <r>
    <s v="ORD01925"/>
    <s v="2024-09-26"/>
    <x v="1"/>
    <x v="9"/>
    <s v="Kolhapur"/>
    <x v="3"/>
    <x v="13"/>
    <x v="1"/>
    <s v="Net Banking"/>
    <n v="5"/>
    <n v="245660"/>
    <n v="171962"/>
    <n v="73698"/>
    <x v="10"/>
    <x v="0"/>
  </r>
  <r>
    <s v="ORD01926"/>
    <s v="2024-05-15"/>
    <x v="2"/>
    <x v="3"/>
    <s v="Ludhiana"/>
    <x v="2"/>
    <x v="12"/>
    <x v="2"/>
    <s v="Credit Card"/>
    <n v="5"/>
    <n v="195795"/>
    <n v="137056.5"/>
    <n v="58738.5"/>
    <x v="9"/>
    <x v="0"/>
  </r>
  <r>
    <s v="ORD01927"/>
    <s v="2023-04-17"/>
    <x v="0"/>
    <x v="0"/>
    <s v="Bhubaneswar"/>
    <x v="1"/>
    <x v="8"/>
    <x v="0"/>
    <s v="Credit Card"/>
    <n v="6"/>
    <n v="230760"/>
    <n v="161532"/>
    <n v="69228"/>
    <x v="11"/>
    <x v="1"/>
  </r>
  <r>
    <s v="ORD01928"/>
    <s v="2023-06-17"/>
    <x v="1"/>
    <x v="8"/>
    <s v="Panaji"/>
    <x v="3"/>
    <x v="9"/>
    <x v="2"/>
    <s v="Cash"/>
    <n v="8"/>
    <n v="359160"/>
    <n v="251411.99999999997"/>
    <n v="107748.00000000003"/>
    <x v="3"/>
    <x v="1"/>
  </r>
  <r>
    <s v="ORD01929"/>
    <s v="2023-06-16"/>
    <x v="0"/>
    <x v="13"/>
    <s v="Kolkata"/>
    <x v="2"/>
    <x v="3"/>
    <x v="2"/>
    <s v="Credit Card"/>
    <n v="8"/>
    <n v="169160"/>
    <n v="118411.99999999999"/>
    <n v="50748.000000000015"/>
    <x v="3"/>
    <x v="1"/>
  </r>
  <r>
    <s v="ORD01930"/>
    <s v="2023-10-18"/>
    <x v="0"/>
    <x v="12"/>
    <s v="Patna"/>
    <x v="2"/>
    <x v="14"/>
    <x v="0"/>
    <s v="UPI"/>
    <n v="10"/>
    <n v="59530"/>
    <n v="41671"/>
    <n v="17859"/>
    <x v="5"/>
    <x v="1"/>
  </r>
  <r>
    <s v="ORD01931"/>
    <s v="2023-04-02"/>
    <x v="1"/>
    <x v="9"/>
    <s v="Kolhapur"/>
    <x v="3"/>
    <x v="13"/>
    <x v="1"/>
    <s v="Cash"/>
    <n v="9"/>
    <n v="379323"/>
    <n v="265526.09999999998"/>
    <n v="113796.90000000002"/>
    <x v="11"/>
    <x v="1"/>
  </r>
  <r>
    <s v="ORD01932"/>
    <s v="2023-07-29"/>
    <x v="2"/>
    <x v="3"/>
    <s v="Ludhiana"/>
    <x v="1"/>
    <x v="7"/>
    <x v="2"/>
    <s v="Credit Card"/>
    <n v="1"/>
    <n v="37208"/>
    <n v="26045.599999999999"/>
    <n v="11162.400000000001"/>
    <x v="0"/>
    <x v="1"/>
  </r>
  <r>
    <s v="ORD01933"/>
    <s v="2023-12-11"/>
    <x v="0"/>
    <x v="12"/>
    <s v="Patna"/>
    <x v="2"/>
    <x v="12"/>
    <x v="2"/>
    <s v="Debit Card"/>
    <n v="9"/>
    <n v="81423"/>
    <n v="56996.1"/>
    <n v="24426.9"/>
    <x v="7"/>
    <x v="1"/>
  </r>
  <r>
    <s v="ORD01934"/>
    <s v="2023-08-04"/>
    <x v="3"/>
    <x v="5"/>
    <s v="Kochi"/>
    <x v="1"/>
    <x v="5"/>
    <x v="1"/>
    <s v="UPI"/>
    <n v="8"/>
    <n v="276408"/>
    <n v="193485.59999999998"/>
    <n v="82922.400000000023"/>
    <x v="4"/>
    <x v="1"/>
  </r>
  <r>
    <s v="ORD01935"/>
    <s v="2023-03-21"/>
    <x v="2"/>
    <x v="3"/>
    <s v="Ludhiana"/>
    <x v="1"/>
    <x v="1"/>
    <x v="1"/>
    <s v="Debit Card"/>
    <n v="3"/>
    <n v="7443"/>
    <n v="5210.0999999999995"/>
    <n v="2232.9000000000005"/>
    <x v="2"/>
    <x v="1"/>
  </r>
  <r>
    <s v="ORD01936"/>
    <s v="2024-01-09"/>
    <x v="1"/>
    <x v="9"/>
    <s v="Kolhapur"/>
    <x v="1"/>
    <x v="7"/>
    <x v="0"/>
    <s v="Debit Card"/>
    <n v="4"/>
    <n v="144764"/>
    <n v="101334.79999999999"/>
    <n v="43429.200000000012"/>
    <x v="8"/>
    <x v="0"/>
  </r>
  <r>
    <s v="ORD01937"/>
    <s v="2023-11-13"/>
    <x v="1"/>
    <x v="9"/>
    <s v="Kolhapur"/>
    <x v="3"/>
    <x v="13"/>
    <x v="2"/>
    <s v="Cash"/>
    <n v="1"/>
    <n v="45606"/>
    <n v="31924.199999999997"/>
    <n v="13681.800000000003"/>
    <x v="6"/>
    <x v="1"/>
  </r>
  <r>
    <s v="ORD01938"/>
    <s v="2023-08-22"/>
    <x v="2"/>
    <x v="4"/>
    <s v="Gurgaon"/>
    <x v="3"/>
    <x v="11"/>
    <x v="0"/>
    <s v="Cash"/>
    <n v="9"/>
    <n v="51075"/>
    <n v="35752.5"/>
    <n v="15322.5"/>
    <x v="4"/>
    <x v="1"/>
  </r>
  <r>
    <s v="ORD01939"/>
    <s v="2023-08-11"/>
    <x v="1"/>
    <x v="1"/>
    <s v="Ahmedabad"/>
    <x v="3"/>
    <x v="13"/>
    <x v="2"/>
    <s v="Credit Card"/>
    <n v="3"/>
    <n v="86916"/>
    <n v="60841.2"/>
    <n v="26074.800000000003"/>
    <x v="4"/>
    <x v="1"/>
  </r>
  <r>
    <s v="ORD01940"/>
    <s v="2023-11-19"/>
    <x v="3"/>
    <x v="5"/>
    <s v="Kochi"/>
    <x v="3"/>
    <x v="9"/>
    <x v="2"/>
    <s v="Credit Card"/>
    <n v="1"/>
    <n v="6615"/>
    <n v="4630.5"/>
    <n v="1984.5"/>
    <x v="6"/>
    <x v="1"/>
  </r>
  <r>
    <s v="ORD01941"/>
    <s v="2024-03-06"/>
    <x v="2"/>
    <x v="2"/>
    <s v="New Delhi"/>
    <x v="0"/>
    <x v="0"/>
    <x v="0"/>
    <s v="Cash"/>
    <n v="10"/>
    <n v="499280"/>
    <n v="349496"/>
    <n v="149784"/>
    <x v="2"/>
    <x v="0"/>
  </r>
  <r>
    <s v="ORD01942"/>
    <s v="2023-06-19"/>
    <x v="0"/>
    <x v="14"/>
    <s v="Guwahati"/>
    <x v="3"/>
    <x v="9"/>
    <x v="2"/>
    <s v="Net Banking"/>
    <n v="10"/>
    <n v="400680"/>
    <n v="280476"/>
    <n v="120204"/>
    <x v="3"/>
    <x v="1"/>
  </r>
  <r>
    <s v="ORD01943"/>
    <s v="2023-03-28"/>
    <x v="2"/>
    <x v="4"/>
    <s v="Gurgaon"/>
    <x v="3"/>
    <x v="6"/>
    <x v="1"/>
    <s v="Net Banking"/>
    <n v="2"/>
    <n v="32716"/>
    <n v="22901.199999999997"/>
    <n v="9814.8000000000029"/>
    <x v="2"/>
    <x v="1"/>
  </r>
  <r>
    <s v="ORD01944"/>
    <s v="2024-06-17"/>
    <x v="3"/>
    <x v="7"/>
    <s v="Chennai"/>
    <x v="2"/>
    <x v="15"/>
    <x v="1"/>
    <s v="Net Banking"/>
    <n v="1"/>
    <n v="34928"/>
    <n v="24449.599999999999"/>
    <n v="10478.400000000001"/>
    <x v="3"/>
    <x v="0"/>
  </r>
  <r>
    <s v="ORD01945"/>
    <s v="2024-03-16"/>
    <x v="2"/>
    <x v="3"/>
    <s v="Ludhiana"/>
    <x v="2"/>
    <x v="12"/>
    <x v="1"/>
    <s v="UPI"/>
    <n v="10"/>
    <n v="433930"/>
    <n v="303751"/>
    <n v="130179"/>
    <x v="2"/>
    <x v="0"/>
  </r>
  <r>
    <s v="ORD01946"/>
    <s v="2024-04-13"/>
    <x v="1"/>
    <x v="8"/>
    <s v="Panaji"/>
    <x v="3"/>
    <x v="13"/>
    <x v="0"/>
    <s v="Net Banking"/>
    <n v="3"/>
    <n v="21933"/>
    <n v="15353.099999999999"/>
    <n v="6579.9000000000015"/>
    <x v="11"/>
    <x v="0"/>
  </r>
  <r>
    <s v="ORD01947"/>
    <s v="2023-02-02"/>
    <x v="0"/>
    <x v="14"/>
    <s v="Guwahati"/>
    <x v="1"/>
    <x v="5"/>
    <x v="2"/>
    <s v="Debit Card"/>
    <n v="6"/>
    <n v="16626"/>
    <n v="11638.199999999999"/>
    <n v="4987.8000000000011"/>
    <x v="1"/>
    <x v="1"/>
  </r>
  <r>
    <s v="ORD01948"/>
    <s v="2024-06-30"/>
    <x v="1"/>
    <x v="1"/>
    <s v="Ahmedabad"/>
    <x v="2"/>
    <x v="14"/>
    <x v="1"/>
    <s v="Cash"/>
    <n v="8"/>
    <n v="10648"/>
    <n v="7453.5999999999995"/>
    <n v="3194.4000000000005"/>
    <x v="3"/>
    <x v="0"/>
  </r>
  <r>
    <s v="ORD01949"/>
    <s v="2024-03-02"/>
    <x v="3"/>
    <x v="6"/>
    <s v="Hyderabad"/>
    <x v="2"/>
    <x v="12"/>
    <x v="1"/>
    <s v="Net Banking"/>
    <n v="1"/>
    <n v="14165"/>
    <n v="9915.5"/>
    <n v="4249.5"/>
    <x v="2"/>
    <x v="0"/>
  </r>
  <r>
    <s v="ORD01950"/>
    <s v="2023-01-07"/>
    <x v="0"/>
    <x v="0"/>
    <s v="Bhubaneswar"/>
    <x v="1"/>
    <x v="5"/>
    <x v="0"/>
    <s v="Net Banking"/>
    <n v="7"/>
    <n v="37737"/>
    <n v="26415.899999999998"/>
    <n v="11321.100000000002"/>
    <x v="8"/>
    <x v="1"/>
  </r>
  <r>
    <s v="ORD01951"/>
    <s v="2023-02-07"/>
    <x v="3"/>
    <x v="10"/>
    <s v="Bangalore"/>
    <x v="0"/>
    <x v="0"/>
    <x v="1"/>
    <s v="Cash"/>
    <n v="8"/>
    <n v="77952"/>
    <n v="54566.399999999994"/>
    <n v="23385.600000000006"/>
    <x v="1"/>
    <x v="1"/>
  </r>
  <r>
    <s v="ORD01952"/>
    <s v="2024-10-11"/>
    <x v="0"/>
    <x v="12"/>
    <s v="Patna"/>
    <x v="1"/>
    <x v="8"/>
    <x v="1"/>
    <s v="UPI"/>
    <n v="6"/>
    <n v="106878"/>
    <n v="74814.599999999991"/>
    <n v="32063.400000000009"/>
    <x v="5"/>
    <x v="0"/>
  </r>
  <r>
    <s v="ORD01953"/>
    <s v="2023-03-30"/>
    <x v="0"/>
    <x v="0"/>
    <s v="Bhubaneswar"/>
    <x v="0"/>
    <x v="10"/>
    <x v="0"/>
    <s v="Net Banking"/>
    <n v="4"/>
    <n v="162084"/>
    <n v="113458.79999999999"/>
    <n v="48625.200000000012"/>
    <x v="2"/>
    <x v="1"/>
  </r>
  <r>
    <s v="ORD01954"/>
    <s v="2023-09-10"/>
    <x v="3"/>
    <x v="7"/>
    <s v="Chennai"/>
    <x v="2"/>
    <x v="3"/>
    <x v="2"/>
    <s v="Credit Card"/>
    <n v="2"/>
    <n v="5294"/>
    <n v="3705.7999999999997"/>
    <n v="1588.2000000000003"/>
    <x v="10"/>
    <x v="1"/>
  </r>
  <r>
    <s v="ORD01955"/>
    <s v="2024-04-11"/>
    <x v="2"/>
    <x v="4"/>
    <s v="Gurgaon"/>
    <x v="3"/>
    <x v="13"/>
    <x v="1"/>
    <s v="Debit Card"/>
    <n v="9"/>
    <n v="344385"/>
    <n v="241069.49999999997"/>
    <n v="103315.50000000003"/>
    <x v="11"/>
    <x v="0"/>
  </r>
  <r>
    <s v="ORD01956"/>
    <s v="2024-05-25"/>
    <x v="3"/>
    <x v="5"/>
    <s v="Kochi"/>
    <x v="1"/>
    <x v="7"/>
    <x v="2"/>
    <s v="UPI"/>
    <n v="4"/>
    <n v="33384"/>
    <n v="23368.799999999999"/>
    <n v="10015.200000000001"/>
    <x v="9"/>
    <x v="0"/>
  </r>
  <r>
    <s v="ORD01957"/>
    <s v="2024-01-05"/>
    <x v="3"/>
    <x v="7"/>
    <s v="Chennai"/>
    <x v="2"/>
    <x v="14"/>
    <x v="2"/>
    <s v="Debit Card"/>
    <n v="9"/>
    <n v="11223"/>
    <n v="7856.0999999999995"/>
    <n v="3366.9000000000005"/>
    <x v="8"/>
    <x v="0"/>
  </r>
  <r>
    <s v="ORD01958"/>
    <s v="2024-11-06"/>
    <x v="3"/>
    <x v="5"/>
    <s v="Kochi"/>
    <x v="1"/>
    <x v="5"/>
    <x v="2"/>
    <s v="Debit Card"/>
    <n v="7"/>
    <n v="343504"/>
    <n v="240452.8"/>
    <n v="103051.20000000001"/>
    <x v="6"/>
    <x v="0"/>
  </r>
  <r>
    <s v="ORD01959"/>
    <s v="2024-06-20"/>
    <x v="3"/>
    <x v="10"/>
    <s v="Bangalore"/>
    <x v="0"/>
    <x v="10"/>
    <x v="1"/>
    <s v="UPI"/>
    <n v="9"/>
    <n v="250668"/>
    <n v="175467.59999999998"/>
    <n v="75200.400000000023"/>
    <x v="3"/>
    <x v="0"/>
  </r>
  <r>
    <s v="ORD01960"/>
    <s v="2023-03-07"/>
    <x v="3"/>
    <x v="5"/>
    <s v="Kochi"/>
    <x v="1"/>
    <x v="5"/>
    <x v="0"/>
    <s v="Credit Card"/>
    <n v="10"/>
    <n v="382130"/>
    <n v="267491"/>
    <n v="114639"/>
    <x v="2"/>
    <x v="1"/>
  </r>
  <r>
    <s v="ORD01961"/>
    <s v="2023-04-26"/>
    <x v="2"/>
    <x v="3"/>
    <s v="Ludhiana"/>
    <x v="3"/>
    <x v="13"/>
    <x v="2"/>
    <s v="Cash"/>
    <n v="10"/>
    <n v="244680"/>
    <n v="171276"/>
    <n v="73404"/>
    <x v="11"/>
    <x v="1"/>
  </r>
  <r>
    <s v="ORD01962"/>
    <s v="2023-07-19"/>
    <x v="2"/>
    <x v="3"/>
    <s v="Ludhiana"/>
    <x v="2"/>
    <x v="15"/>
    <x v="2"/>
    <s v="Credit Card"/>
    <n v="6"/>
    <n v="246780"/>
    <n v="172746"/>
    <n v="74034"/>
    <x v="0"/>
    <x v="1"/>
  </r>
  <r>
    <s v="ORD01963"/>
    <s v="2024-05-24"/>
    <x v="1"/>
    <x v="1"/>
    <s v="Ahmedabad"/>
    <x v="0"/>
    <x v="2"/>
    <x v="2"/>
    <s v="Cash"/>
    <n v="7"/>
    <n v="36358"/>
    <n v="25450.6"/>
    <n v="10907.400000000001"/>
    <x v="9"/>
    <x v="0"/>
  </r>
  <r>
    <s v="ORD01964"/>
    <s v="2023-05-01"/>
    <x v="1"/>
    <x v="9"/>
    <s v="Pune"/>
    <x v="2"/>
    <x v="15"/>
    <x v="2"/>
    <s v="Debit Card"/>
    <n v="1"/>
    <n v="42783"/>
    <n v="29948.1"/>
    <n v="12834.900000000001"/>
    <x v="9"/>
    <x v="1"/>
  </r>
  <r>
    <s v="ORD01965"/>
    <s v="2023-08-29"/>
    <x v="0"/>
    <x v="14"/>
    <s v="Guwahati"/>
    <x v="1"/>
    <x v="1"/>
    <x v="0"/>
    <s v="UPI"/>
    <n v="2"/>
    <n v="13660"/>
    <n v="9562"/>
    <n v="4098"/>
    <x v="4"/>
    <x v="1"/>
  </r>
  <r>
    <s v="ORD01966"/>
    <s v="2023-09-24"/>
    <x v="1"/>
    <x v="1"/>
    <s v="Ahmedabad"/>
    <x v="1"/>
    <x v="5"/>
    <x v="0"/>
    <s v="Cash"/>
    <n v="3"/>
    <n v="68904"/>
    <n v="48232.799999999996"/>
    <n v="20671.200000000004"/>
    <x v="10"/>
    <x v="1"/>
  </r>
  <r>
    <s v="ORD01967"/>
    <s v="2023-10-07"/>
    <x v="2"/>
    <x v="2"/>
    <s v="New Delhi"/>
    <x v="2"/>
    <x v="12"/>
    <x v="2"/>
    <s v="Debit Card"/>
    <n v="10"/>
    <n v="488790"/>
    <n v="342153"/>
    <n v="146637"/>
    <x v="5"/>
    <x v="1"/>
  </r>
  <r>
    <s v="ORD01968"/>
    <s v="2024-06-23"/>
    <x v="0"/>
    <x v="14"/>
    <s v="Guwahati"/>
    <x v="0"/>
    <x v="4"/>
    <x v="2"/>
    <s v="Net Banking"/>
    <n v="5"/>
    <n v="80800"/>
    <n v="56560"/>
    <n v="24240"/>
    <x v="3"/>
    <x v="0"/>
  </r>
  <r>
    <s v="ORD01969"/>
    <s v="2024-05-02"/>
    <x v="3"/>
    <x v="5"/>
    <s v="Kochi"/>
    <x v="1"/>
    <x v="8"/>
    <x v="1"/>
    <s v="Cash"/>
    <n v="10"/>
    <n v="381210"/>
    <n v="266847"/>
    <n v="114363"/>
    <x v="9"/>
    <x v="0"/>
  </r>
  <r>
    <s v="ORD01970"/>
    <s v="2023-11-27"/>
    <x v="2"/>
    <x v="2"/>
    <s v="New Delhi"/>
    <x v="2"/>
    <x v="12"/>
    <x v="2"/>
    <s v="Cash"/>
    <n v="4"/>
    <n v="148040"/>
    <n v="103628"/>
    <n v="44412"/>
    <x v="6"/>
    <x v="1"/>
  </r>
  <r>
    <s v="ORD01971"/>
    <s v="2024-10-29"/>
    <x v="2"/>
    <x v="3"/>
    <s v="Ludhiana"/>
    <x v="2"/>
    <x v="14"/>
    <x v="0"/>
    <s v="Cash"/>
    <n v="7"/>
    <n v="114086"/>
    <n v="79860.2"/>
    <n v="34225.800000000003"/>
    <x v="5"/>
    <x v="0"/>
  </r>
  <r>
    <s v="ORD01972"/>
    <s v="2024-10-26"/>
    <x v="0"/>
    <x v="13"/>
    <s v="Kolkata"/>
    <x v="3"/>
    <x v="9"/>
    <x v="1"/>
    <s v="Net Banking"/>
    <n v="7"/>
    <n v="87983"/>
    <n v="61588.1"/>
    <n v="26394.9"/>
    <x v="5"/>
    <x v="0"/>
  </r>
  <r>
    <s v="ORD01973"/>
    <s v="2023-07-19"/>
    <x v="2"/>
    <x v="3"/>
    <s v="Ludhiana"/>
    <x v="2"/>
    <x v="14"/>
    <x v="0"/>
    <s v="UPI"/>
    <n v="8"/>
    <n v="147256"/>
    <n v="103079.2"/>
    <n v="44176.800000000003"/>
    <x v="0"/>
    <x v="1"/>
  </r>
  <r>
    <s v="ORD01974"/>
    <s v="2023-03-04"/>
    <x v="2"/>
    <x v="2"/>
    <s v="New Delhi"/>
    <x v="0"/>
    <x v="4"/>
    <x v="2"/>
    <s v="Cash"/>
    <n v="4"/>
    <n v="191304"/>
    <n v="133912.79999999999"/>
    <n v="57391.200000000012"/>
    <x v="2"/>
    <x v="1"/>
  </r>
  <r>
    <s v="ORD01975"/>
    <s v="2023-05-28"/>
    <x v="0"/>
    <x v="12"/>
    <s v="Patna"/>
    <x v="3"/>
    <x v="9"/>
    <x v="1"/>
    <s v="Debit Card"/>
    <n v="6"/>
    <n v="183372"/>
    <n v="128360.4"/>
    <n v="55011.600000000006"/>
    <x v="9"/>
    <x v="1"/>
  </r>
  <r>
    <s v="ORD01976"/>
    <s v="2023-08-25"/>
    <x v="3"/>
    <x v="10"/>
    <s v="Bangalore"/>
    <x v="0"/>
    <x v="2"/>
    <x v="2"/>
    <s v="Net Banking"/>
    <n v="5"/>
    <n v="64510"/>
    <n v="45157"/>
    <n v="19353"/>
    <x v="4"/>
    <x v="1"/>
  </r>
  <r>
    <s v="ORD01977"/>
    <s v="2024-02-03"/>
    <x v="2"/>
    <x v="2"/>
    <s v="New Delhi"/>
    <x v="3"/>
    <x v="13"/>
    <x v="2"/>
    <s v="UPI"/>
    <n v="6"/>
    <n v="283962"/>
    <n v="198773.4"/>
    <n v="85188.6"/>
    <x v="1"/>
    <x v="0"/>
  </r>
  <r>
    <s v="ORD01978"/>
    <s v="2024-06-10"/>
    <x v="2"/>
    <x v="11"/>
    <s v="Lucknow"/>
    <x v="2"/>
    <x v="3"/>
    <x v="2"/>
    <s v="Cash"/>
    <n v="8"/>
    <n v="73664"/>
    <n v="51564.799999999996"/>
    <n v="22099.200000000004"/>
    <x v="3"/>
    <x v="0"/>
  </r>
  <r>
    <s v="ORD01979"/>
    <s v="2024-06-29"/>
    <x v="2"/>
    <x v="2"/>
    <s v="New Delhi"/>
    <x v="1"/>
    <x v="5"/>
    <x v="0"/>
    <s v="Cash"/>
    <n v="1"/>
    <n v="48947"/>
    <n v="34262.9"/>
    <n v="14684.099999999999"/>
    <x v="3"/>
    <x v="0"/>
  </r>
  <r>
    <s v="ORD01980"/>
    <s v="2023-11-05"/>
    <x v="3"/>
    <x v="5"/>
    <s v="Kochi"/>
    <x v="2"/>
    <x v="12"/>
    <x v="0"/>
    <s v="Debit Card"/>
    <n v="10"/>
    <n v="17210"/>
    <n v="12047"/>
    <n v="5163"/>
    <x v="6"/>
    <x v="1"/>
  </r>
  <r>
    <s v="ORD01981"/>
    <s v="2024-11-18"/>
    <x v="3"/>
    <x v="10"/>
    <s v="Bangalore"/>
    <x v="2"/>
    <x v="15"/>
    <x v="1"/>
    <s v="Debit Card"/>
    <n v="5"/>
    <n v="6600"/>
    <n v="4620"/>
    <n v="1980"/>
    <x v="6"/>
    <x v="0"/>
  </r>
  <r>
    <s v="ORD01982"/>
    <s v="2023-11-20"/>
    <x v="1"/>
    <x v="9"/>
    <s v="Kolhapur"/>
    <x v="0"/>
    <x v="2"/>
    <x v="0"/>
    <s v="Net Banking"/>
    <n v="9"/>
    <n v="327807"/>
    <n v="229464.9"/>
    <n v="98342.1"/>
    <x v="6"/>
    <x v="1"/>
  </r>
  <r>
    <s v="ORD01983"/>
    <s v="2024-04-22"/>
    <x v="3"/>
    <x v="10"/>
    <s v="Bangalore"/>
    <x v="3"/>
    <x v="13"/>
    <x v="0"/>
    <s v="Debit Card"/>
    <n v="3"/>
    <n v="12543"/>
    <n v="8780.0999999999985"/>
    <n v="3762.9000000000015"/>
    <x v="11"/>
    <x v="0"/>
  </r>
  <r>
    <s v="ORD01984"/>
    <s v="2023-04-25"/>
    <x v="2"/>
    <x v="2"/>
    <s v="New Delhi"/>
    <x v="1"/>
    <x v="5"/>
    <x v="0"/>
    <s v="Cash"/>
    <n v="8"/>
    <n v="21800"/>
    <n v="15259.999999999998"/>
    <n v="6540.0000000000018"/>
    <x v="11"/>
    <x v="1"/>
  </r>
  <r>
    <s v="ORD01985"/>
    <s v="2023-08-20"/>
    <x v="3"/>
    <x v="7"/>
    <s v="Chennai"/>
    <x v="0"/>
    <x v="2"/>
    <x v="2"/>
    <s v="Net Banking"/>
    <n v="9"/>
    <n v="68031"/>
    <n v="47621.7"/>
    <n v="20409.300000000003"/>
    <x v="4"/>
    <x v="1"/>
  </r>
  <r>
    <s v="ORD01986"/>
    <s v="2024-08-28"/>
    <x v="1"/>
    <x v="8"/>
    <s v="Panaji"/>
    <x v="1"/>
    <x v="7"/>
    <x v="0"/>
    <s v="Debit Card"/>
    <n v="10"/>
    <n v="205970"/>
    <n v="144179"/>
    <n v="61791"/>
    <x v="4"/>
    <x v="0"/>
  </r>
  <r>
    <s v="ORD01987"/>
    <s v="2024-02-04"/>
    <x v="1"/>
    <x v="9"/>
    <s v="Pune"/>
    <x v="0"/>
    <x v="4"/>
    <x v="1"/>
    <s v="Cash"/>
    <n v="5"/>
    <n v="215920"/>
    <n v="151144"/>
    <n v="64776"/>
    <x v="1"/>
    <x v="0"/>
  </r>
  <r>
    <s v="ORD01988"/>
    <s v="2023-04-24"/>
    <x v="2"/>
    <x v="4"/>
    <s v="Gurgaon"/>
    <x v="1"/>
    <x v="5"/>
    <x v="2"/>
    <s v="UPI"/>
    <n v="8"/>
    <n v="216768"/>
    <n v="151737.59999999998"/>
    <n v="65030.400000000023"/>
    <x v="11"/>
    <x v="1"/>
  </r>
  <r>
    <s v="ORD01989"/>
    <s v="2024-09-09"/>
    <x v="3"/>
    <x v="7"/>
    <s v="Chennai"/>
    <x v="0"/>
    <x v="0"/>
    <x v="1"/>
    <s v="Credit Card"/>
    <n v="4"/>
    <n v="175780"/>
    <n v="123045.99999999999"/>
    <n v="52734.000000000015"/>
    <x v="10"/>
    <x v="0"/>
  </r>
  <r>
    <s v="ORD01990"/>
    <s v="2023-09-29"/>
    <x v="0"/>
    <x v="0"/>
    <s v="Bhubaneswar"/>
    <x v="3"/>
    <x v="11"/>
    <x v="0"/>
    <s v="UPI"/>
    <n v="2"/>
    <n v="17796"/>
    <n v="12457.199999999999"/>
    <n v="5338.8000000000011"/>
    <x v="10"/>
    <x v="1"/>
  </r>
  <r>
    <s v="ORD01991"/>
    <s v="2023-10-10"/>
    <x v="0"/>
    <x v="0"/>
    <s v="Bhubaneswar"/>
    <x v="0"/>
    <x v="4"/>
    <x v="1"/>
    <s v="Credit Card"/>
    <n v="4"/>
    <n v="16504"/>
    <n v="11552.8"/>
    <n v="4951.2000000000007"/>
    <x v="5"/>
    <x v="1"/>
  </r>
  <r>
    <s v="ORD01992"/>
    <s v="2023-08-24"/>
    <x v="2"/>
    <x v="3"/>
    <s v="Ludhiana"/>
    <x v="0"/>
    <x v="0"/>
    <x v="0"/>
    <s v="Credit Card"/>
    <n v="5"/>
    <n v="65365"/>
    <n v="45755.5"/>
    <n v="19609.5"/>
    <x v="4"/>
    <x v="1"/>
  </r>
  <r>
    <s v="ORD01993"/>
    <s v="2024-04-21"/>
    <x v="2"/>
    <x v="2"/>
    <s v="New Delhi"/>
    <x v="0"/>
    <x v="2"/>
    <x v="1"/>
    <s v="UPI"/>
    <n v="3"/>
    <n v="143646"/>
    <n v="100552.2"/>
    <n v="43093.8"/>
    <x v="11"/>
    <x v="0"/>
  </r>
  <r>
    <s v="ORD01994"/>
    <s v="2023-07-13"/>
    <x v="3"/>
    <x v="6"/>
    <s v="Hyderabad"/>
    <x v="2"/>
    <x v="15"/>
    <x v="2"/>
    <s v="UPI"/>
    <n v="4"/>
    <n v="89396"/>
    <n v="62577.2"/>
    <n v="26818.800000000003"/>
    <x v="0"/>
    <x v="1"/>
  </r>
  <r>
    <s v="ORD01995"/>
    <s v="2024-09-17"/>
    <x v="2"/>
    <x v="4"/>
    <s v="Gurgaon"/>
    <x v="3"/>
    <x v="11"/>
    <x v="1"/>
    <s v="UPI"/>
    <n v="2"/>
    <n v="50278"/>
    <n v="35194.6"/>
    <n v="15083.400000000001"/>
    <x v="10"/>
    <x v="0"/>
  </r>
  <r>
    <s v="ORD01996"/>
    <s v="2024-01-05"/>
    <x v="0"/>
    <x v="12"/>
    <s v="Patna"/>
    <x v="2"/>
    <x v="14"/>
    <x v="1"/>
    <s v="UPI"/>
    <n v="1"/>
    <n v="37928"/>
    <n v="26549.599999999999"/>
    <n v="11378.400000000001"/>
    <x v="8"/>
    <x v="0"/>
  </r>
  <r>
    <s v="ORD01997"/>
    <s v="2024-04-18"/>
    <x v="0"/>
    <x v="0"/>
    <s v="Bhubaneswar"/>
    <x v="0"/>
    <x v="4"/>
    <x v="2"/>
    <s v="UPI"/>
    <n v="8"/>
    <n v="220400"/>
    <n v="154280"/>
    <n v="66120"/>
    <x v="11"/>
    <x v="0"/>
  </r>
  <r>
    <s v="ORD01998"/>
    <s v="2023-07-11"/>
    <x v="3"/>
    <x v="5"/>
    <s v="Kochi"/>
    <x v="1"/>
    <x v="1"/>
    <x v="2"/>
    <s v="Net Banking"/>
    <n v="9"/>
    <n v="90900"/>
    <n v="63629.999999999993"/>
    <n v="27270.000000000007"/>
    <x v="0"/>
    <x v="1"/>
  </r>
  <r>
    <s v="ORD01999"/>
    <s v="2024-08-21"/>
    <x v="1"/>
    <x v="9"/>
    <s v="Kolhapur"/>
    <x v="2"/>
    <x v="15"/>
    <x v="2"/>
    <s v="Debit Card"/>
    <n v="2"/>
    <n v="60822"/>
    <n v="42575.399999999994"/>
    <n v="18246.600000000006"/>
    <x v="4"/>
    <x v="0"/>
  </r>
  <r>
    <s v="ORD02000"/>
    <s v="2023-09-04"/>
    <x v="1"/>
    <x v="8"/>
    <s v="Panaji"/>
    <x v="3"/>
    <x v="13"/>
    <x v="2"/>
    <s v="Net Banking"/>
    <n v="7"/>
    <n v="123466"/>
    <n v="86426.2"/>
    <n v="37039.800000000003"/>
    <x v="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483B85-CF39-4D8F-AE9B-435F25680A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I6" firstHeaderRow="0" firstDataRow="1" firstDataCol="0"/>
  <pivotFields count="15">
    <pivotField dataField="1" showAll="0"/>
    <pivotField showAll="0"/>
    <pivotField showAll="0">
      <items count="5">
        <item x="0"/>
        <item x="2"/>
        <item x="3"/>
        <item x="1"/>
        <item t="default"/>
      </items>
    </pivotField>
    <pivotField showAll="0">
      <items count="16">
        <item x="14"/>
        <item x="12"/>
        <item x="2"/>
        <item x="8"/>
        <item x="1"/>
        <item x="4"/>
        <item x="10"/>
        <item x="5"/>
        <item x="9"/>
        <item x="0"/>
        <item x="3"/>
        <item x="7"/>
        <item x="6"/>
        <item x="11"/>
        <item x="13"/>
        <item t="default"/>
      </items>
    </pivotField>
    <pivotField showAll="0"/>
    <pivotField showAll="0">
      <items count="5">
        <item x="0"/>
        <item x="1"/>
        <item x="3"/>
        <item x="2"/>
        <item t="default"/>
      </items>
    </pivotField>
    <pivotField showAll="0"/>
    <pivotField showAll="0">
      <items count="4">
        <item x="0"/>
        <item x="2"/>
        <item x="1"/>
        <item t="default"/>
      </items>
    </pivotField>
    <pivotField showAll="0"/>
    <pivotField showAll="0"/>
    <pivotField dataField="1" showAll="0"/>
    <pivotField dataField="1" showAll="0"/>
    <pivotField dataField="1" showAll="0"/>
    <pivotField showAll="0"/>
    <pivotField showAll="0">
      <items count="3">
        <item x="1"/>
        <item x="0"/>
        <item t="default"/>
      </items>
    </pivotField>
  </pivotFields>
  <rowItems count="1">
    <i/>
  </rowItems>
  <colFields count="1">
    <field x="-2"/>
  </colFields>
  <colItems count="4">
    <i>
      <x/>
    </i>
    <i i="1">
      <x v="1"/>
    </i>
    <i i="2">
      <x v="2"/>
    </i>
    <i i="3">
      <x v="3"/>
    </i>
  </colItems>
  <dataFields count="4">
    <dataField name="Count of OrderID" fld="0" subtotal="count" baseField="0" baseItem="0"/>
    <dataField name="Sum of SalesAmount" fld="10" baseField="0" baseItem="0"/>
    <dataField name="Sum of Profit" fld="12" baseField="0" baseItem="0"/>
    <dataField name="Sum of Cost" fld="11" baseField="0" baseItem="0"/>
  </dataFields>
  <formats count="5">
    <format dxfId="144">
      <pivotArea outline="0" collapsedLevelsAreSubtotals="1" fieldPosition="0"/>
    </format>
    <format dxfId="143">
      <pivotArea outline="0" collapsedLevelsAreSubtotals="1" fieldPosition="0">
        <references count="1">
          <reference field="4294967294" count="1" selected="0">
            <x v="0"/>
          </reference>
        </references>
      </pivotArea>
    </format>
    <format dxfId="142">
      <pivotArea type="all" dataOnly="0" outline="0" fieldPosition="0"/>
    </format>
    <format dxfId="141">
      <pivotArea outline="0" collapsedLevelsAreSubtotals="1" fieldPosition="0"/>
    </format>
    <format dxfId="14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284ACE-19B6-46B7-BA5B-1A40397AECC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5">
    <pivotField showAll="0"/>
    <pivotField showAll="0"/>
    <pivotField showAll="0">
      <items count="5">
        <item x="0"/>
        <item x="2"/>
        <item x="3"/>
        <item x="1"/>
        <item t="default"/>
      </items>
    </pivotField>
    <pivotField showAll="0">
      <items count="16">
        <item x="14"/>
        <item x="12"/>
        <item x="2"/>
        <item x="8"/>
        <item x="1"/>
        <item x="4"/>
        <item x="10"/>
        <item x="5"/>
        <item x="9"/>
        <item x="0"/>
        <item x="3"/>
        <item x="7"/>
        <item x="6"/>
        <item x="11"/>
        <item x="13"/>
        <item t="default"/>
      </items>
    </pivotField>
    <pivotField showAll="0"/>
    <pivotField showAll="0">
      <items count="5">
        <item x="0"/>
        <item x="1"/>
        <item x="3"/>
        <item x="2"/>
        <item t="default"/>
      </items>
    </pivotField>
    <pivotField axis="axisRow" showAll="0" measureFilter="1">
      <items count="17">
        <item x="0"/>
        <item x="6"/>
        <item x="13"/>
        <item x="9"/>
        <item x="8"/>
        <item x="7"/>
        <item x="10"/>
        <item x="4"/>
        <item x="15"/>
        <item x="11"/>
        <item x="14"/>
        <item x="3"/>
        <item x="1"/>
        <item x="12"/>
        <item x="5"/>
        <item x="2"/>
        <item t="default"/>
      </items>
    </pivotField>
    <pivotField showAll="0">
      <items count="4">
        <item x="0"/>
        <item x="2"/>
        <item x="1"/>
        <item t="default"/>
      </items>
    </pivotField>
    <pivotField showAll="0"/>
    <pivotField numFmtId="1" showAll="0"/>
    <pivotField dataField="1" numFmtId="164" showAll="0"/>
    <pivotField numFmtId="164" showAll="0"/>
    <pivotField numFmtId="164" showAll="0"/>
    <pivotField showAll="0"/>
    <pivotField showAll="0">
      <items count="3">
        <item x="1"/>
        <item x="0"/>
        <item t="default"/>
      </items>
    </pivotField>
  </pivotFields>
  <rowFields count="1">
    <field x="6"/>
  </rowFields>
  <rowItems count="11">
    <i>
      <x/>
    </i>
    <i>
      <x v="4"/>
    </i>
    <i>
      <x v="5"/>
    </i>
    <i>
      <x v="6"/>
    </i>
    <i>
      <x v="8"/>
    </i>
    <i>
      <x v="10"/>
    </i>
    <i>
      <x v="11"/>
    </i>
    <i>
      <x v="13"/>
    </i>
    <i>
      <x v="14"/>
    </i>
    <i>
      <x v="15"/>
    </i>
    <i t="grand">
      <x/>
    </i>
  </rowItems>
  <colItems count="1">
    <i/>
  </colItems>
  <dataFields count="1">
    <dataField name="Sum of SalesAmount" fld="10" baseField="0" baseItem="0" numFmtId="164"/>
  </dataFields>
  <chartFormats count="2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5"/>
          </reference>
        </references>
      </pivotArea>
    </chartFormat>
    <chartFormat chart="0" format="1">
      <pivotArea type="data" outline="0" fieldPosition="0">
        <references count="2">
          <reference field="4294967294" count="1" selected="0">
            <x v="0"/>
          </reference>
          <reference field="6" count="1" selected="0">
            <x v="13"/>
          </reference>
        </references>
      </pivotArea>
    </chartFormat>
    <chartFormat chart="0" format="2">
      <pivotArea type="data" outline="0" fieldPosition="0">
        <references count="2">
          <reference field="4294967294" count="1" selected="0">
            <x v="0"/>
          </reference>
          <reference field="6" count="1" selected="0">
            <x v="12"/>
          </reference>
        </references>
      </pivotArea>
    </chartFormat>
    <chartFormat chart="0" format="3">
      <pivotArea type="data" outline="0" fieldPosition="0">
        <references count="2">
          <reference field="4294967294" count="1" selected="0">
            <x v="0"/>
          </reference>
          <reference field="6" count="1" selected="0">
            <x v="11"/>
          </reference>
        </references>
      </pivotArea>
    </chartFormat>
    <chartFormat chart="0" format="4">
      <pivotArea type="data" outline="0" fieldPosition="0">
        <references count="2">
          <reference field="4294967294" count="1" selected="0">
            <x v="0"/>
          </reference>
          <reference field="6" count="1" selected="0">
            <x v="10"/>
          </reference>
        </references>
      </pivotArea>
    </chartFormat>
    <chartFormat chart="0" format="5">
      <pivotArea type="data" outline="0" fieldPosition="0">
        <references count="2">
          <reference field="4294967294" count="1" selected="0">
            <x v="0"/>
          </reference>
          <reference field="6" count="1" selected="0">
            <x v="8"/>
          </reference>
        </references>
      </pivotArea>
    </chartFormat>
    <chartFormat chart="0" format="6">
      <pivotArea type="data" outline="0" fieldPosition="0">
        <references count="2">
          <reference field="4294967294" count="1" selected="0">
            <x v="0"/>
          </reference>
          <reference field="6" count="1" selected="0">
            <x v="6"/>
          </reference>
        </references>
      </pivotArea>
    </chartFormat>
    <chartFormat chart="0" format="7">
      <pivotArea type="data" outline="0" fieldPosition="0">
        <references count="2">
          <reference field="4294967294" count="1" selected="0">
            <x v="0"/>
          </reference>
          <reference field="6" count="1" selected="0">
            <x v="4"/>
          </reference>
        </references>
      </pivotArea>
    </chartFormat>
    <chartFormat chart="0" format="8">
      <pivotArea type="data" outline="0" fieldPosition="0">
        <references count="2">
          <reference field="4294967294" count="1" selected="0">
            <x v="0"/>
          </reference>
          <reference field="6" count="1" selected="0">
            <x v="3"/>
          </reference>
        </references>
      </pivotArea>
    </chartFormat>
    <chartFormat chart="0" format="9">
      <pivotArea type="data" outline="0" fieldPosition="0">
        <references count="2">
          <reference field="4294967294" count="1" selected="0">
            <x v="0"/>
          </reference>
          <reference field="6" count="1" selected="0">
            <x v="0"/>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6" count="1" selected="0">
            <x v="0"/>
          </reference>
        </references>
      </pivotArea>
    </chartFormat>
    <chartFormat chart="10" format="21">
      <pivotArea type="data" outline="0" fieldPosition="0">
        <references count="2">
          <reference field="4294967294" count="1" selected="0">
            <x v="0"/>
          </reference>
          <reference field="6" count="1" selected="0">
            <x v="4"/>
          </reference>
        </references>
      </pivotArea>
    </chartFormat>
    <chartFormat chart="10" format="22">
      <pivotArea type="data" outline="0" fieldPosition="0">
        <references count="2">
          <reference field="4294967294" count="1" selected="0">
            <x v="0"/>
          </reference>
          <reference field="6" count="1" selected="0">
            <x v="6"/>
          </reference>
        </references>
      </pivotArea>
    </chartFormat>
    <chartFormat chart="10" format="23">
      <pivotArea type="data" outline="0" fieldPosition="0">
        <references count="2">
          <reference field="4294967294" count="1" selected="0">
            <x v="0"/>
          </reference>
          <reference field="6" count="1" selected="0">
            <x v="8"/>
          </reference>
        </references>
      </pivotArea>
    </chartFormat>
    <chartFormat chart="10" format="24">
      <pivotArea type="data" outline="0" fieldPosition="0">
        <references count="2">
          <reference field="4294967294" count="1" selected="0">
            <x v="0"/>
          </reference>
          <reference field="6" count="1" selected="0">
            <x v="10"/>
          </reference>
        </references>
      </pivotArea>
    </chartFormat>
    <chartFormat chart="10" format="25">
      <pivotArea type="data" outline="0" fieldPosition="0">
        <references count="2">
          <reference field="4294967294" count="1" selected="0">
            <x v="0"/>
          </reference>
          <reference field="6" count="1" selected="0">
            <x v="11"/>
          </reference>
        </references>
      </pivotArea>
    </chartFormat>
    <chartFormat chart="10" format="26">
      <pivotArea type="data" outline="0" fieldPosition="0">
        <references count="2">
          <reference field="4294967294" count="1" selected="0">
            <x v="0"/>
          </reference>
          <reference field="6" count="1" selected="0">
            <x v="13"/>
          </reference>
        </references>
      </pivotArea>
    </chartFormat>
    <chartFormat chart="10" format="27">
      <pivotArea type="data" outline="0" fieldPosition="0">
        <references count="2">
          <reference field="4294967294" count="1" selected="0">
            <x v="0"/>
          </reference>
          <reference field="6" count="1" selected="0">
            <x v="15"/>
          </reference>
        </references>
      </pivotArea>
    </chartFormat>
    <chartFormat chart="10" format="28">
      <pivotArea type="data" outline="0" fieldPosition="0">
        <references count="2">
          <reference field="4294967294" count="1" selected="0">
            <x v="0"/>
          </reference>
          <reference field="6" count="1" selected="0">
            <x v="12"/>
          </reference>
        </references>
      </pivotArea>
    </chartFormat>
    <chartFormat chart="0" format="10">
      <pivotArea type="data" outline="0" fieldPosition="0">
        <references count="2">
          <reference field="4294967294" count="1" selected="0">
            <x v="0"/>
          </reference>
          <reference field="6" count="1" selected="0">
            <x v="2"/>
          </reference>
        </references>
      </pivotArea>
    </chartFormat>
    <chartFormat chart="0" format="1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D99BC-21D1-4B6D-97E2-C0FF4EDAD9F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15">
    <pivotField showAll="0"/>
    <pivotField showAll="0"/>
    <pivotField showAll="0">
      <items count="5">
        <item x="0"/>
        <item x="2"/>
        <item x="3"/>
        <item x="1"/>
        <item t="default"/>
      </items>
    </pivotField>
    <pivotField showAll="0">
      <items count="16">
        <item x="14"/>
        <item x="12"/>
        <item x="2"/>
        <item x="8"/>
        <item x="1"/>
        <item x="4"/>
        <item x="10"/>
        <item x="5"/>
        <item x="9"/>
        <item x="0"/>
        <item x="3"/>
        <item x="7"/>
        <item x="6"/>
        <item x="11"/>
        <item x="13"/>
        <item t="default"/>
      </items>
    </pivotField>
    <pivotField showAll="0"/>
    <pivotField axis="axisRow" showAll="0">
      <items count="5">
        <item x="0"/>
        <item x="1"/>
        <item x="3"/>
        <item x="2"/>
        <item t="default"/>
      </items>
    </pivotField>
    <pivotField showAll="0"/>
    <pivotField showAll="0">
      <items count="4">
        <item x="0"/>
        <item x="2"/>
        <item x="1"/>
        <item t="default"/>
      </items>
    </pivotField>
    <pivotField showAll="0"/>
    <pivotField numFmtId="1" showAll="0"/>
    <pivotField dataField="1" numFmtId="164" showAll="0"/>
    <pivotField numFmtId="164" showAll="0"/>
    <pivotField numFmtId="164" showAll="0"/>
    <pivotField showAll="0"/>
    <pivotField showAll="0">
      <items count="3">
        <item x="1"/>
        <item x="0"/>
        <item t="default"/>
      </items>
    </pivotField>
  </pivotFields>
  <rowFields count="1">
    <field x="5"/>
  </rowFields>
  <rowItems count="5">
    <i>
      <x/>
    </i>
    <i>
      <x v="1"/>
    </i>
    <i>
      <x v="2"/>
    </i>
    <i>
      <x v="3"/>
    </i>
    <i t="grand">
      <x/>
    </i>
  </rowItems>
  <colItems count="1">
    <i/>
  </colItems>
  <dataFields count="1">
    <dataField name="Sum of SalesAmount" fld="10" baseField="0" baseItem="0" numFmtId="164"/>
  </dataFields>
  <formats count="6">
    <format dxfId="139">
      <pivotArea type="all" dataOnly="0" outline="0" fieldPosition="0"/>
    </format>
    <format dxfId="138">
      <pivotArea outline="0" collapsedLevelsAreSubtotals="1" fieldPosition="0"/>
    </format>
    <format dxfId="137">
      <pivotArea field="5" type="button" dataOnly="0" labelOnly="1" outline="0" axis="axisRow" fieldPosition="0"/>
    </format>
    <format dxfId="136">
      <pivotArea dataOnly="0" labelOnly="1" fieldPosition="0">
        <references count="1">
          <reference field="5" count="0"/>
        </references>
      </pivotArea>
    </format>
    <format dxfId="135">
      <pivotArea dataOnly="0" labelOnly="1" grandRow="1" outline="0" fieldPosition="0"/>
    </format>
    <format dxfId="134">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5" count="1" selected="0">
            <x v="0"/>
          </reference>
        </references>
      </pivotArea>
    </chartFormat>
    <chartFormat chart="19" format="12">
      <pivotArea type="data" outline="0" fieldPosition="0">
        <references count="2">
          <reference field="4294967294" count="1" selected="0">
            <x v="0"/>
          </reference>
          <reference field="5" count="1" selected="0">
            <x v="1"/>
          </reference>
        </references>
      </pivotArea>
    </chartFormat>
    <chartFormat chart="19" format="13">
      <pivotArea type="data" outline="0" fieldPosition="0">
        <references count="2">
          <reference field="4294967294" count="1" selected="0">
            <x v="0"/>
          </reference>
          <reference field="5" count="1" selected="0">
            <x v="2"/>
          </reference>
        </references>
      </pivotArea>
    </chartFormat>
    <chartFormat chart="19"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B5FD05-6175-4055-AEBC-BC22649CCB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5">
    <pivotField showAll="0"/>
    <pivotField showAll="0"/>
    <pivotField showAll="0">
      <items count="5">
        <item x="0"/>
        <item x="2"/>
        <item x="3"/>
        <item x="1"/>
        <item t="default"/>
      </items>
    </pivotField>
    <pivotField axis="axisRow" showAll="0">
      <items count="16">
        <item x="14"/>
        <item x="12"/>
        <item x="2"/>
        <item x="8"/>
        <item x="1"/>
        <item x="4"/>
        <item x="10"/>
        <item x="5"/>
        <item x="9"/>
        <item x="0"/>
        <item x="3"/>
        <item x="7"/>
        <item x="6"/>
        <item x="11"/>
        <item x="13"/>
        <item t="default"/>
      </items>
    </pivotField>
    <pivotField showAll="0"/>
    <pivotField showAll="0">
      <items count="5">
        <item x="0"/>
        <item x="1"/>
        <item x="3"/>
        <item x="2"/>
        <item t="default"/>
      </items>
    </pivotField>
    <pivotField showAll="0"/>
    <pivotField showAll="0">
      <items count="4">
        <item x="0"/>
        <item x="2"/>
        <item x="1"/>
        <item t="default"/>
      </items>
    </pivotField>
    <pivotField showAll="0"/>
    <pivotField numFmtId="1" showAll="0"/>
    <pivotField dataField="1" numFmtId="164" showAll="0"/>
    <pivotField numFmtId="164" showAll="0"/>
    <pivotField numFmtId="164" showAll="0"/>
    <pivotField showAll="0"/>
    <pivotField showAll="0">
      <items count="3">
        <item x="1"/>
        <item x="0"/>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SalesAmount" fld="10" baseField="0" baseItem="0" numFmtId="164"/>
  </dataFields>
  <formats count="6">
    <format dxfId="133">
      <pivotArea type="all" dataOnly="0" outline="0" fieldPosition="0"/>
    </format>
    <format dxfId="132">
      <pivotArea outline="0" collapsedLevelsAreSubtotals="1" fieldPosition="0"/>
    </format>
    <format dxfId="131">
      <pivotArea field="3" type="button" dataOnly="0" labelOnly="1" outline="0" axis="axisRow" fieldPosition="0"/>
    </format>
    <format dxfId="130">
      <pivotArea dataOnly="0" labelOnly="1" fieldPosition="0">
        <references count="1">
          <reference field="3" count="0"/>
        </references>
      </pivotArea>
    </format>
    <format dxfId="129">
      <pivotArea dataOnly="0" labelOnly="1" grandRow="1" outline="0" fieldPosition="0"/>
    </format>
    <format dxfId="1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99DDF5-3F5F-4B46-9DD7-0766A4DF6D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6" firstHeaderRow="1" firstDataRow="1" firstDataCol="1" rowPageCount="1" colPageCount="1"/>
  <pivotFields count="15">
    <pivotField showAll="0"/>
    <pivotField showAll="0"/>
    <pivotField showAll="0">
      <items count="5">
        <item x="0"/>
        <item x="2"/>
        <item x="3"/>
        <item x="1"/>
        <item t="default"/>
      </items>
    </pivotField>
    <pivotField showAll="0">
      <items count="16">
        <item x="14"/>
        <item x="12"/>
        <item x="2"/>
        <item x="8"/>
        <item x="1"/>
        <item x="4"/>
        <item x="10"/>
        <item x="5"/>
        <item x="9"/>
        <item x="0"/>
        <item x="3"/>
        <item x="7"/>
        <item x="6"/>
        <item x="11"/>
        <item x="13"/>
        <item t="default"/>
      </items>
    </pivotField>
    <pivotField showAll="0"/>
    <pivotField showAll="0">
      <items count="5">
        <item x="0"/>
        <item x="1"/>
        <item x="3"/>
        <item x="2"/>
        <item t="default"/>
      </items>
    </pivotField>
    <pivotField showAll="0"/>
    <pivotField showAll="0">
      <items count="4">
        <item x="0"/>
        <item x="2"/>
        <item x="1"/>
        <item t="default"/>
      </items>
    </pivotField>
    <pivotField showAll="0"/>
    <pivotField numFmtId="1" showAll="0"/>
    <pivotField dataField="1" numFmtId="164" showAll="0"/>
    <pivotField numFmtId="164" showAll="0"/>
    <pivotField numFmtId="164" showAll="0"/>
    <pivotField axis="axisRow" showAll="0">
      <items count="13">
        <item x="8"/>
        <item x="1"/>
        <item x="2"/>
        <item x="11"/>
        <item x="9"/>
        <item x="3"/>
        <item x="0"/>
        <item x="4"/>
        <item x="10"/>
        <item x="5"/>
        <item x="6"/>
        <item x="7"/>
        <item t="default"/>
      </items>
    </pivotField>
    <pivotField axis="axisPage" showAll="0">
      <items count="3">
        <item x="1"/>
        <item x="0"/>
        <item t="default"/>
      </items>
    </pivotField>
  </pivotFields>
  <rowFields count="1">
    <field x="13"/>
  </rowFields>
  <rowItems count="13">
    <i>
      <x/>
    </i>
    <i>
      <x v="1"/>
    </i>
    <i>
      <x v="2"/>
    </i>
    <i>
      <x v="3"/>
    </i>
    <i>
      <x v="4"/>
    </i>
    <i>
      <x v="5"/>
    </i>
    <i>
      <x v="6"/>
    </i>
    <i>
      <x v="7"/>
    </i>
    <i>
      <x v="8"/>
    </i>
    <i>
      <x v="9"/>
    </i>
    <i>
      <x v="10"/>
    </i>
    <i>
      <x v="11"/>
    </i>
    <i t="grand">
      <x/>
    </i>
  </rowItems>
  <colItems count="1">
    <i/>
  </colItems>
  <pageFields count="1">
    <pageField fld="14" hier="-1"/>
  </pageFields>
  <dataFields count="1">
    <dataField name="Sum of SalesAmount" fld="10" baseField="0" baseItem="0" numFmtId="164"/>
  </dataFields>
  <formats count="6">
    <format dxfId="127">
      <pivotArea type="all" dataOnly="0" outline="0" fieldPosition="0"/>
    </format>
    <format dxfId="126">
      <pivotArea outline="0" collapsedLevelsAreSubtotals="1" fieldPosition="0"/>
    </format>
    <format dxfId="125">
      <pivotArea field="13" type="button" dataOnly="0" labelOnly="1" outline="0" axis="axisRow" fieldPosition="0"/>
    </format>
    <format dxfId="124">
      <pivotArea dataOnly="0" labelOnly="1" fieldPosition="0">
        <references count="1">
          <reference field="13" count="0"/>
        </references>
      </pivotArea>
    </format>
    <format dxfId="123">
      <pivotArea dataOnly="0" labelOnly="1" grandRow="1" outline="0" fieldPosition="0"/>
    </format>
    <format dxfId="12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999784-6BD3-42FB-B56F-CA6ED60D7B0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15">
    <pivotField showAll="0"/>
    <pivotField showAll="0"/>
    <pivotField showAll="0">
      <items count="5">
        <item x="0"/>
        <item x="2"/>
        <item x="3"/>
        <item x="1"/>
        <item t="default"/>
      </items>
    </pivotField>
    <pivotField showAll="0">
      <items count="16">
        <item x="14"/>
        <item x="12"/>
        <item x="2"/>
        <item x="8"/>
        <item x="1"/>
        <item x="4"/>
        <item x="10"/>
        <item x="5"/>
        <item x="9"/>
        <item x="0"/>
        <item x="3"/>
        <item x="7"/>
        <item x="6"/>
        <item x="11"/>
        <item x="13"/>
        <item t="default"/>
      </items>
    </pivotField>
    <pivotField showAll="0"/>
    <pivotField showAll="0">
      <items count="5">
        <item x="0"/>
        <item x="1"/>
        <item x="3"/>
        <item x="2"/>
        <item t="default"/>
      </items>
    </pivotField>
    <pivotField showAll="0"/>
    <pivotField axis="axisRow" showAll="0">
      <items count="4">
        <item x="0"/>
        <item x="2"/>
        <item x="1"/>
        <item t="default"/>
      </items>
    </pivotField>
    <pivotField showAll="0"/>
    <pivotField numFmtId="1" showAll="0"/>
    <pivotField dataField="1" numFmtId="164" showAll="0"/>
    <pivotField numFmtId="164" showAll="0"/>
    <pivotField numFmtId="164" showAll="0"/>
    <pivotField showAll="0"/>
    <pivotField showAll="0">
      <items count="3">
        <item x="1"/>
        <item x="0"/>
        <item t="default"/>
      </items>
    </pivotField>
  </pivotFields>
  <rowFields count="1">
    <field x="7"/>
  </rowFields>
  <rowItems count="4">
    <i>
      <x/>
    </i>
    <i>
      <x v="1"/>
    </i>
    <i>
      <x v="2"/>
    </i>
    <i t="grand">
      <x/>
    </i>
  </rowItems>
  <colItems count="1">
    <i/>
  </colItems>
  <dataFields count="1">
    <dataField name="Sum of SalesAmount" fld="10" baseField="0" baseItem="0" numFmtId="164"/>
  </dataFields>
  <formats count="6">
    <format dxfId="121">
      <pivotArea type="all" dataOnly="0" outline="0" fieldPosition="0"/>
    </format>
    <format dxfId="120">
      <pivotArea outline="0" collapsedLevelsAreSubtotals="1" fieldPosition="0"/>
    </format>
    <format dxfId="119">
      <pivotArea field="7" type="button" dataOnly="0" labelOnly="1" outline="0" axis="axisRow" fieldPosition="0"/>
    </format>
    <format dxfId="118">
      <pivotArea dataOnly="0" labelOnly="1" fieldPosition="0">
        <references count="1">
          <reference field="7" count="0"/>
        </references>
      </pivotArea>
    </format>
    <format dxfId="117">
      <pivotArea dataOnly="0" labelOnly="1" grandRow="1" outline="0" fieldPosition="0"/>
    </format>
    <format dxfId="116">
      <pivotArea dataOnly="0" labelOnly="1" outline="0" axis="axisValues" fieldPosition="0"/>
    </format>
  </formats>
  <chartFormats count="13">
    <chartFormat chart="0" format="1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7" count="1" selected="0">
            <x v="0"/>
          </reference>
        </references>
      </pivotArea>
    </chartFormat>
    <chartFormat chart="0" format="12">
      <pivotArea type="data" outline="0" fieldPosition="0">
        <references count="2">
          <reference field="4294967294" count="1" selected="0">
            <x v="0"/>
          </reference>
          <reference field="7" count="1" selected="0">
            <x v="1"/>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7" count="1" selected="0">
            <x v="0"/>
          </reference>
        </references>
      </pivotArea>
    </chartFormat>
    <chartFormat chart="17" format="15">
      <pivotArea type="data" outline="0" fieldPosition="0">
        <references count="2">
          <reference field="4294967294" count="1" selected="0">
            <x v="0"/>
          </reference>
          <reference field="7" count="1" selected="0">
            <x v="1"/>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7" count="1" selected="0">
            <x v="0"/>
          </reference>
        </references>
      </pivotArea>
    </chartFormat>
    <chartFormat chart="18" format="18">
      <pivotArea type="data" outline="0" fieldPosition="0">
        <references count="2">
          <reference field="4294967294" count="1" selected="0">
            <x v="0"/>
          </reference>
          <reference field="7" count="1" selected="0">
            <x v="1"/>
          </reference>
        </references>
      </pivotArea>
    </chartFormat>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7" count="1" selected="0">
            <x v="0"/>
          </reference>
        </references>
      </pivotArea>
    </chartFormat>
    <chartFormat chart="19" format="18">
      <pivotArea type="data" outline="0" fieldPosition="0">
        <references count="2">
          <reference field="4294967294" count="1" selected="0">
            <x v="0"/>
          </reference>
          <reference field="7" count="1" selected="0">
            <x v="1"/>
          </reference>
        </references>
      </pivotArea>
    </chartFormat>
    <chartFormat chart="19" format="1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1ECE5B9-59FB-451E-ABDD-392200BDB4F6}" sourceName="Year">
  <pivotTables>
    <pivotTable tabId="10" name="PivotTable8"/>
    <pivotTable tabId="6" name="PivotTable4"/>
    <pivotTable tabId="9" name="PivotTable7"/>
    <pivotTable tabId="8" name="PivotTable6"/>
    <pivotTable tabId="7" name="PivotTable5"/>
    <pivotTable tabId="12" name="PivotTable5"/>
  </pivotTables>
  <data>
    <tabular pivotCacheId="180112583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EF1FA8-0762-4ED4-939A-7DE2B5DE2D80}" sourceName="Region">
  <pivotTables>
    <pivotTable tabId="12" name="PivotTable5"/>
    <pivotTable tabId="6" name="PivotTable4"/>
    <pivotTable tabId="9" name="PivotTable7"/>
    <pivotTable tabId="8" name="PivotTable6"/>
    <pivotTable tabId="7" name="PivotTable5"/>
    <pivotTable tabId="10" name="PivotTable8"/>
  </pivotTables>
  <data>
    <tabular pivotCacheId="1801125839">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D1D36AF-277B-4F59-B9BA-2158B1B99C1E}" sourceName="State">
  <pivotTables>
    <pivotTable tabId="12" name="PivotTable5"/>
    <pivotTable tabId="6" name="PivotTable4"/>
    <pivotTable tabId="9" name="PivotTable7"/>
    <pivotTable tabId="8" name="PivotTable6"/>
    <pivotTable tabId="7" name="PivotTable5"/>
    <pivotTable tabId="10" name="PivotTable8"/>
  </pivotTables>
  <data>
    <tabular pivotCacheId="1801125839">
      <items count="15">
        <i x="14" s="1"/>
        <i x="12" s="1"/>
        <i x="2" s="1"/>
        <i x="8" s="1"/>
        <i x="1" s="1"/>
        <i x="4" s="1"/>
        <i x="10" s="1"/>
        <i x="5" s="1"/>
        <i x="9" s="1"/>
        <i x="0" s="1"/>
        <i x="3" s="1"/>
        <i x="7" s="1"/>
        <i x="6" s="1"/>
        <i x="11"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2CD006F1-57BA-4FE0-853D-2B80ECB93014}" sourceName="ProductCategory">
  <pivotTables>
    <pivotTable tabId="12" name="PivotTable5"/>
    <pivotTable tabId="6" name="PivotTable4"/>
    <pivotTable tabId="9" name="PivotTable7"/>
    <pivotTable tabId="8" name="PivotTable6"/>
    <pivotTable tabId="7" name="PivotTable5"/>
    <pivotTable tabId="10" name="PivotTable8"/>
  </pivotTables>
  <data>
    <tabular pivotCacheId="1801125839">
      <items count="4">
        <i x="0" s="1"/>
        <i x="1"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egment" xr10:uid="{815B70E4-E28D-4B47-97B8-990A7AEAE267}" sourceName="CustomerSegment">
  <pivotTables>
    <pivotTable tabId="12" name="PivotTable5"/>
    <pivotTable tabId="6" name="PivotTable4"/>
    <pivotTable tabId="9" name="PivotTable7"/>
    <pivotTable tabId="8" name="PivotTable6"/>
    <pivotTable tabId="7" name="PivotTable5"/>
    <pivotTable tabId="10" name="PivotTable8"/>
  </pivotTables>
  <data>
    <tabular pivotCacheId="180112583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C886513-4240-4612-AD3A-E1E4B95A519E}" cache="Slicer_Year" caption="Year" style="SlicerStyleOther2" rowHeight="241300"/>
  <slicer name="Region" xr10:uid="{E030FC9B-66ED-4A09-9E33-CAF568B019CB}" cache="Slicer_Region" caption="Region" style="SlicerStyleOther2" rowHeight="241300"/>
  <slicer name="State" xr10:uid="{126DBC5A-DF6C-47AF-913E-7B3E35599D48}" cache="Slicer_State" caption="State" style="SlicerStyleOther2" rowHeight="241300"/>
  <slicer name="ProductCategory" xr10:uid="{6E24BCFA-008F-4671-91D2-3824127EFD1A}" cache="Slicer_ProductCategory" caption="ProductCategory" style="SlicerStyleOther2" rowHeight="241300"/>
  <slicer name="CustomerSegment" xr10:uid="{8D52330A-C5E8-4627-A56C-E9D2DF98C357}" cache="Slicer_CustomerSegment" caption="CustomerSegment"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E9B4692-1D0C-4C0F-9DF2-D14DEB43162E}"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022F62-11F8-41C0-B53A-1CCD983B3BC7}" name="Table2" displayName="Table2" ref="A1:O2001">
  <autoFilter ref="A1:O2001" xr:uid="{0D022F62-11F8-41C0-B53A-1CCD983B3BC7}"/>
  <tableColumns count="15">
    <tableColumn id="1" xr3:uid="{543C282C-2547-4CB2-9C52-8B0C1EAF02C7}" name="OrderID" totalsRowLabel="Total" dataDxfId="159"/>
    <tableColumn id="2" xr3:uid="{4C7F3AE5-FE92-4631-A1EE-3C49475FA91F}" name="OrderDate" dataDxfId="158"/>
    <tableColumn id="3" xr3:uid="{6A4D6AFE-C70F-4306-89AA-5152C5E1FBC8}" name="Region" dataDxfId="157"/>
    <tableColumn id="4" xr3:uid="{03E7169F-3D96-495E-8C88-2B050D10FD57}" name="State" dataDxfId="156"/>
    <tableColumn id="5" xr3:uid="{A0BC4468-AD19-4B5D-8D10-ED5F6FAF475C}" name="City" dataDxfId="155"/>
    <tableColumn id="6" xr3:uid="{D25EC83D-63C2-4513-8976-CD4EF5738D95}" name="ProductCategory" dataDxfId="154"/>
    <tableColumn id="7" xr3:uid="{9A21DAD7-725C-4893-BB16-3EA4704334D6}" name="ProductName" dataDxfId="153"/>
    <tableColumn id="8" xr3:uid="{48CD7260-D33A-4C67-921D-0AA76AD51F6D}" name="CustomerSegment" dataDxfId="152"/>
    <tableColumn id="9" xr3:uid="{09F92E34-428A-4916-B712-3DD98A47CBA0}" name="PaymentMode" dataDxfId="151"/>
    <tableColumn id="10" xr3:uid="{BF167D3B-396D-4BF3-810B-6DD18BCCF36C}" name="Quantity" dataDxfId="150"/>
    <tableColumn id="11" xr3:uid="{6B4421F9-C8E7-4BCE-8E74-CF58FD0D61CB}" name="SalesAmount" dataDxfId="149"/>
    <tableColumn id="15" xr3:uid="{4CFBDBBC-5A49-4FB6-A37C-2C4EFD2F71EC}" name="Cost" dataDxfId="148">
      <calculatedColumnFormula>K2*0.7</calculatedColumnFormula>
    </tableColumn>
    <tableColumn id="16" xr3:uid="{704D8320-E4F4-4412-BA30-8EC95850069F}" name="Profit" dataDxfId="147"/>
    <tableColumn id="13" xr3:uid="{94F3D005-DDFB-48F4-AB87-1D20440538C3}" name="Month" dataDxfId="146">
      <calculatedColumnFormula>TEXT(B2,"mmm")</calculatedColumnFormula>
    </tableColumn>
    <tableColumn id="14" xr3:uid="{3DA0F64B-ADAA-44BE-9C13-B9182121F9AC}" name="Year" totalsRowFunction="count" dataDxfId="145">
      <calculatedColumnFormula>TEXT(B2," yyyy")</calculatedColumnFormula>
    </tableColumn>
  </tableColumns>
  <tableStyleInfo name="TableStyleLight8"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25EBD-B763-42E6-8BC5-A6453C3EC943}">
  <sheetPr codeName="Sheet8">
    <tabColor rgb="FFFF0000"/>
  </sheetPr>
  <dimension ref="A1"/>
  <sheetViews>
    <sheetView tabSelected="1" zoomScale="70" zoomScaleNormal="70" workbookViewId="0">
      <selection activeCell="T3" sqref="T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sheetPr>
  <dimension ref="A1:Q2006"/>
  <sheetViews>
    <sheetView topLeftCell="A1977" zoomScale="70" zoomScaleNormal="70" workbookViewId="0">
      <selection activeCell="M9" sqref="A2:O2001"/>
    </sheetView>
  </sheetViews>
  <sheetFormatPr defaultRowHeight="14.5" x14ac:dyDescent="0.35"/>
  <cols>
    <col min="1" max="1" width="9.54296875" customWidth="1"/>
    <col min="2" max="2" width="11.7265625" customWidth="1"/>
    <col min="6" max="6" width="16.90625" customWidth="1"/>
    <col min="7" max="7" width="14.36328125" customWidth="1"/>
    <col min="8" max="8" width="18.26953125" customWidth="1"/>
    <col min="9" max="9" width="15.1796875" customWidth="1"/>
    <col min="10" max="10" width="10.1796875" customWidth="1"/>
    <col min="11" max="16" width="13.81640625" customWidth="1"/>
    <col min="18" max="18" width="12.6328125" bestFit="1" customWidth="1"/>
  </cols>
  <sheetData>
    <row r="1" spans="1:17" x14ac:dyDescent="0.35">
      <c r="A1" t="s">
        <v>0</v>
      </c>
      <c r="B1" t="s">
        <v>1</v>
      </c>
      <c r="C1" t="s">
        <v>2</v>
      </c>
      <c r="D1" t="s">
        <v>3</v>
      </c>
      <c r="E1" t="s">
        <v>4</v>
      </c>
      <c r="F1" t="s">
        <v>5</v>
      </c>
      <c r="G1" t="s">
        <v>6</v>
      </c>
      <c r="H1" t="s">
        <v>7</v>
      </c>
      <c r="I1" t="s">
        <v>8</v>
      </c>
      <c r="J1" t="s">
        <v>9</v>
      </c>
      <c r="K1" t="s">
        <v>10</v>
      </c>
      <c r="L1" s="7" t="s">
        <v>2754</v>
      </c>
      <c r="M1" s="7" t="s">
        <v>2756</v>
      </c>
      <c r="N1" t="s">
        <v>2737</v>
      </c>
      <c r="O1" t="s">
        <v>2738</v>
      </c>
    </row>
    <row r="2" spans="1:17" x14ac:dyDescent="0.35">
      <c r="A2" t="s">
        <v>11</v>
      </c>
      <c r="B2" s="5" t="s">
        <v>12</v>
      </c>
      <c r="C2" s="4" t="s">
        <v>13</v>
      </c>
      <c r="D2" s="4" t="s">
        <v>14</v>
      </c>
      <c r="E2" s="4" t="s">
        <v>15</v>
      </c>
      <c r="F2" s="4" t="s">
        <v>16</v>
      </c>
      <c r="G2" s="4" t="s">
        <v>17</v>
      </c>
      <c r="H2" s="4" t="s">
        <v>18</v>
      </c>
      <c r="I2" s="4" t="s">
        <v>19</v>
      </c>
      <c r="J2" s="3">
        <v>1</v>
      </c>
      <c r="K2" s="6">
        <v>20327</v>
      </c>
      <c r="L2" s="6">
        <f>K2*0.7</f>
        <v>14228.9</v>
      </c>
      <c r="M2" s="6">
        <v>6098.1</v>
      </c>
      <c r="N2" s="5" t="str">
        <f t="shared" ref="N2:N65" si="0">TEXT(B2,"mmm")</f>
        <v>Jul</v>
      </c>
      <c r="O2" s="5" t="str">
        <f t="shared" ref="O2:O65" si="1">TEXT(B2," yyyy")</f>
        <v xml:space="preserve"> 2024</v>
      </c>
    </row>
    <row r="3" spans="1:17" x14ac:dyDescent="0.35">
      <c r="A3" t="s">
        <v>20</v>
      </c>
      <c r="B3" s="5" t="s">
        <v>21</v>
      </c>
      <c r="C3" s="4" t="s">
        <v>22</v>
      </c>
      <c r="D3" s="4" t="s">
        <v>23</v>
      </c>
      <c r="E3" s="4" t="s">
        <v>24</v>
      </c>
      <c r="F3" s="4" t="s">
        <v>25</v>
      </c>
      <c r="G3" s="4" t="s">
        <v>26</v>
      </c>
      <c r="H3" s="4" t="s">
        <v>27</v>
      </c>
      <c r="I3" s="4" t="s">
        <v>28</v>
      </c>
      <c r="J3" s="3">
        <v>5</v>
      </c>
      <c r="K3" s="6">
        <v>145175</v>
      </c>
      <c r="L3" s="6">
        <f t="shared" ref="L3:L65" si="2">K3*0.7</f>
        <v>101622.5</v>
      </c>
      <c r="M3" s="6">
        <v>43552.5</v>
      </c>
      <c r="N3" s="5" t="str">
        <f t="shared" si="0"/>
        <v>Feb</v>
      </c>
      <c r="O3" s="5" t="str">
        <f t="shared" si="1"/>
        <v xml:space="preserve"> 2024</v>
      </c>
    </row>
    <row r="4" spans="1:17" x14ac:dyDescent="0.35">
      <c r="A4" t="s">
        <v>29</v>
      </c>
      <c r="B4" s="5" t="s">
        <v>30</v>
      </c>
      <c r="C4" s="4" t="s">
        <v>31</v>
      </c>
      <c r="D4" s="4" t="s">
        <v>32</v>
      </c>
      <c r="E4" s="4" t="s">
        <v>33</v>
      </c>
      <c r="F4" s="4" t="s">
        <v>16</v>
      </c>
      <c r="G4" s="4" t="s">
        <v>34</v>
      </c>
      <c r="H4" s="4" t="s">
        <v>27</v>
      </c>
      <c r="I4" s="4" t="s">
        <v>19</v>
      </c>
      <c r="J4" s="3">
        <v>6</v>
      </c>
      <c r="K4" s="6">
        <v>100920</v>
      </c>
      <c r="L4" s="6">
        <f t="shared" si="2"/>
        <v>70644</v>
      </c>
      <c r="M4" s="6">
        <v>30276</v>
      </c>
      <c r="N4" s="5" t="str">
        <f t="shared" si="0"/>
        <v>Mar</v>
      </c>
      <c r="O4" s="5" t="str">
        <f t="shared" si="1"/>
        <v xml:space="preserve"> 2023</v>
      </c>
    </row>
    <row r="5" spans="1:17" x14ac:dyDescent="0.35">
      <c r="A5" t="s">
        <v>35</v>
      </c>
      <c r="B5" s="5" t="s">
        <v>36</v>
      </c>
      <c r="C5" s="4" t="s">
        <v>22</v>
      </c>
      <c r="D5" s="4" t="s">
        <v>23</v>
      </c>
      <c r="E5" s="4" t="s">
        <v>24</v>
      </c>
      <c r="F5" s="4" t="s">
        <v>37</v>
      </c>
      <c r="G5" s="4" t="s">
        <v>38</v>
      </c>
      <c r="H5" s="4" t="s">
        <v>18</v>
      </c>
      <c r="I5" s="4" t="s">
        <v>39</v>
      </c>
      <c r="J5" s="3">
        <v>3</v>
      </c>
      <c r="K5" s="6">
        <v>128526</v>
      </c>
      <c r="L5" s="6">
        <f t="shared" si="2"/>
        <v>89968.2</v>
      </c>
      <c r="M5" s="6">
        <v>38557.800000000003</v>
      </c>
      <c r="N5" s="5" t="str">
        <f t="shared" si="0"/>
        <v>Feb</v>
      </c>
      <c r="O5" s="5" t="str">
        <f t="shared" si="1"/>
        <v xml:space="preserve"> 2023</v>
      </c>
    </row>
    <row r="6" spans="1:17" x14ac:dyDescent="0.35">
      <c r="A6" t="s">
        <v>40</v>
      </c>
      <c r="B6" s="5" t="s">
        <v>41</v>
      </c>
      <c r="C6" s="4" t="s">
        <v>31</v>
      </c>
      <c r="D6" s="4" t="s">
        <v>32</v>
      </c>
      <c r="E6" s="4" t="s">
        <v>33</v>
      </c>
      <c r="F6" s="4" t="s">
        <v>16</v>
      </c>
      <c r="G6" s="4" t="s">
        <v>42</v>
      </c>
      <c r="H6" s="4" t="s">
        <v>27</v>
      </c>
      <c r="I6" s="4" t="s">
        <v>19</v>
      </c>
      <c r="J6" s="3">
        <v>2</v>
      </c>
      <c r="K6" s="6">
        <v>15376</v>
      </c>
      <c r="L6" s="6">
        <f t="shared" si="2"/>
        <v>10763.199999999999</v>
      </c>
      <c r="M6" s="6">
        <v>4612.8000000000011</v>
      </c>
      <c r="N6" s="5" t="str">
        <f t="shared" si="0"/>
        <v>Feb</v>
      </c>
      <c r="O6" s="5" t="str">
        <f t="shared" si="1"/>
        <v xml:space="preserve"> 2024</v>
      </c>
    </row>
    <row r="7" spans="1:17" x14ac:dyDescent="0.35">
      <c r="A7" t="s">
        <v>43</v>
      </c>
      <c r="B7" s="5" t="s">
        <v>44</v>
      </c>
      <c r="C7" s="4" t="s">
        <v>31</v>
      </c>
      <c r="D7" s="4" t="s">
        <v>45</v>
      </c>
      <c r="E7" s="4" t="s">
        <v>46</v>
      </c>
      <c r="F7" s="4" t="s">
        <v>25</v>
      </c>
      <c r="G7" s="4" t="s">
        <v>26</v>
      </c>
      <c r="H7" s="4" t="s">
        <v>27</v>
      </c>
      <c r="I7" s="4" t="s">
        <v>47</v>
      </c>
      <c r="J7" s="3">
        <v>7</v>
      </c>
      <c r="K7" s="6">
        <v>217224</v>
      </c>
      <c r="L7" s="6">
        <f t="shared" si="2"/>
        <v>152056.79999999999</v>
      </c>
      <c r="M7" s="6">
        <v>65167.200000000012</v>
      </c>
      <c r="N7" s="5" t="str">
        <f t="shared" si="0"/>
        <v>Jul</v>
      </c>
      <c r="O7" s="5" t="str">
        <f t="shared" si="1"/>
        <v xml:space="preserve"> 2023</v>
      </c>
    </row>
    <row r="8" spans="1:17" x14ac:dyDescent="0.35">
      <c r="A8" t="s">
        <v>48</v>
      </c>
      <c r="B8" s="5" t="s">
        <v>49</v>
      </c>
      <c r="C8" s="4" t="s">
        <v>31</v>
      </c>
      <c r="D8" s="4" t="s">
        <v>50</v>
      </c>
      <c r="E8" s="4" t="s">
        <v>51</v>
      </c>
      <c r="F8" s="4" t="s">
        <v>25</v>
      </c>
      <c r="G8" s="4" t="s">
        <v>52</v>
      </c>
      <c r="H8" s="4" t="s">
        <v>18</v>
      </c>
      <c r="I8" s="4" t="s">
        <v>39</v>
      </c>
      <c r="J8" s="3">
        <v>6</v>
      </c>
      <c r="K8" s="6">
        <v>179820</v>
      </c>
      <c r="L8" s="6">
        <f t="shared" si="2"/>
        <v>125873.99999999999</v>
      </c>
      <c r="M8" s="6">
        <v>53946.000000000015</v>
      </c>
      <c r="N8" s="5" t="str">
        <f t="shared" si="0"/>
        <v>Feb</v>
      </c>
      <c r="O8" s="5" t="str">
        <f t="shared" si="1"/>
        <v xml:space="preserve"> 2024</v>
      </c>
    </row>
    <row r="9" spans="1:17" x14ac:dyDescent="0.35">
      <c r="A9" t="s">
        <v>53</v>
      </c>
      <c r="B9" s="5" t="s">
        <v>54</v>
      </c>
      <c r="C9" s="4" t="s">
        <v>55</v>
      </c>
      <c r="D9" s="4" t="s">
        <v>56</v>
      </c>
      <c r="E9" s="4" t="s">
        <v>57</v>
      </c>
      <c r="F9" s="4" t="s">
        <v>25</v>
      </c>
      <c r="G9" s="4" t="s">
        <v>52</v>
      </c>
      <c r="H9" s="4" t="s">
        <v>18</v>
      </c>
      <c r="I9" s="4" t="s">
        <v>28</v>
      </c>
      <c r="J9" s="3">
        <v>3</v>
      </c>
      <c r="K9" s="6">
        <v>88194</v>
      </c>
      <c r="L9" s="6">
        <f t="shared" si="2"/>
        <v>61735.799999999996</v>
      </c>
      <c r="M9" s="6">
        <v>26458.200000000004</v>
      </c>
      <c r="N9" s="5" t="str">
        <f t="shared" si="0"/>
        <v>Jun</v>
      </c>
      <c r="O9" s="5" t="str">
        <f t="shared" si="1"/>
        <v xml:space="preserve"> 2024</v>
      </c>
    </row>
    <row r="10" spans="1:17" x14ac:dyDescent="0.35">
      <c r="A10" t="s">
        <v>58</v>
      </c>
      <c r="B10" s="5" t="s">
        <v>59</v>
      </c>
      <c r="C10" s="4" t="s">
        <v>55</v>
      </c>
      <c r="D10" s="4" t="s">
        <v>56</v>
      </c>
      <c r="E10" s="4" t="s">
        <v>57</v>
      </c>
      <c r="F10" s="4" t="s">
        <v>16</v>
      </c>
      <c r="G10" s="4" t="s">
        <v>34</v>
      </c>
      <c r="H10" s="4" t="s">
        <v>27</v>
      </c>
      <c r="I10" s="4" t="s">
        <v>60</v>
      </c>
      <c r="J10" s="3">
        <v>3</v>
      </c>
      <c r="K10" s="6">
        <v>127707</v>
      </c>
      <c r="L10" s="6">
        <f t="shared" si="2"/>
        <v>89394.9</v>
      </c>
      <c r="M10" s="6">
        <v>38312.100000000006</v>
      </c>
      <c r="N10" s="5" t="str">
        <f t="shared" si="0"/>
        <v>Aug</v>
      </c>
      <c r="O10" s="5" t="str">
        <f t="shared" si="1"/>
        <v xml:space="preserve"> 2024</v>
      </c>
    </row>
    <row r="11" spans="1:17" x14ac:dyDescent="0.35">
      <c r="A11" t="s">
        <v>61</v>
      </c>
      <c r="B11" s="5" t="s">
        <v>62</v>
      </c>
      <c r="C11" s="4" t="s">
        <v>55</v>
      </c>
      <c r="D11" s="4" t="s">
        <v>63</v>
      </c>
      <c r="E11" s="4" t="s">
        <v>64</v>
      </c>
      <c r="F11" s="4" t="s">
        <v>37</v>
      </c>
      <c r="G11" s="4" t="s">
        <v>38</v>
      </c>
      <c r="H11" s="4" t="s">
        <v>18</v>
      </c>
      <c r="I11" s="4" t="s">
        <v>39</v>
      </c>
      <c r="J11" s="3">
        <v>6</v>
      </c>
      <c r="K11" s="6">
        <v>6348</v>
      </c>
      <c r="L11" s="6">
        <f t="shared" si="2"/>
        <v>4443.5999999999995</v>
      </c>
      <c r="M11" s="6">
        <v>1904.4000000000005</v>
      </c>
      <c r="N11" s="5" t="str">
        <f t="shared" si="0"/>
        <v>Mar</v>
      </c>
      <c r="O11" s="5" t="str">
        <f t="shared" si="1"/>
        <v xml:space="preserve"> 2023</v>
      </c>
      <c r="Q11" s="6"/>
    </row>
    <row r="12" spans="1:17" x14ac:dyDescent="0.35">
      <c r="A12" t="s">
        <v>65</v>
      </c>
      <c r="B12" s="5" t="s">
        <v>66</v>
      </c>
      <c r="C12" s="4" t="s">
        <v>55</v>
      </c>
      <c r="D12" s="4" t="s">
        <v>63</v>
      </c>
      <c r="E12" s="4" t="s">
        <v>64</v>
      </c>
      <c r="F12" s="4" t="s">
        <v>67</v>
      </c>
      <c r="G12" s="4" t="s">
        <v>68</v>
      </c>
      <c r="H12" s="4" t="s">
        <v>18</v>
      </c>
      <c r="I12" s="4" t="s">
        <v>60</v>
      </c>
      <c r="J12" s="3">
        <v>5</v>
      </c>
      <c r="K12" s="6">
        <v>7100</v>
      </c>
      <c r="L12" s="6">
        <f t="shared" si="2"/>
        <v>4970</v>
      </c>
      <c r="M12" s="6">
        <v>2130</v>
      </c>
      <c r="N12" s="5" t="str">
        <f t="shared" si="0"/>
        <v>Oct</v>
      </c>
      <c r="O12" s="5" t="str">
        <f t="shared" si="1"/>
        <v xml:space="preserve"> 2023</v>
      </c>
    </row>
    <row r="13" spans="1:17" x14ac:dyDescent="0.35">
      <c r="A13" t="s">
        <v>69</v>
      </c>
      <c r="B13" s="5" t="s">
        <v>70</v>
      </c>
      <c r="C13" s="4" t="s">
        <v>31</v>
      </c>
      <c r="D13" s="4" t="s">
        <v>45</v>
      </c>
      <c r="E13" s="4" t="s">
        <v>46</v>
      </c>
      <c r="F13" s="4" t="s">
        <v>25</v>
      </c>
      <c r="G13" s="4" t="s">
        <v>71</v>
      </c>
      <c r="H13" s="4" t="s">
        <v>72</v>
      </c>
      <c r="I13" s="4" t="s">
        <v>60</v>
      </c>
      <c r="J13" s="3">
        <v>10</v>
      </c>
      <c r="K13" s="6">
        <v>177340</v>
      </c>
      <c r="L13" s="6">
        <f t="shared" si="2"/>
        <v>124137.99999999999</v>
      </c>
      <c r="M13" s="6">
        <v>53202.000000000015</v>
      </c>
      <c r="N13" s="5" t="str">
        <f t="shared" si="0"/>
        <v>Jul</v>
      </c>
      <c r="O13" s="5" t="str">
        <f t="shared" si="1"/>
        <v xml:space="preserve"> 2023</v>
      </c>
    </row>
    <row r="14" spans="1:17" x14ac:dyDescent="0.35">
      <c r="A14" t="s">
        <v>73</v>
      </c>
      <c r="B14" s="5" t="s">
        <v>74</v>
      </c>
      <c r="C14" s="4" t="s">
        <v>31</v>
      </c>
      <c r="D14" s="4" t="s">
        <v>45</v>
      </c>
      <c r="E14" s="4" t="s">
        <v>46</v>
      </c>
      <c r="F14" s="4" t="s">
        <v>25</v>
      </c>
      <c r="G14" s="4" t="s">
        <v>52</v>
      </c>
      <c r="H14" s="4" t="s">
        <v>18</v>
      </c>
      <c r="I14" s="4" t="s">
        <v>60</v>
      </c>
      <c r="J14" s="3">
        <v>9</v>
      </c>
      <c r="K14" s="6">
        <v>128529</v>
      </c>
      <c r="L14" s="6">
        <f t="shared" si="2"/>
        <v>89970.299999999988</v>
      </c>
      <c r="M14" s="6">
        <v>38558.700000000012</v>
      </c>
      <c r="N14" s="5" t="str">
        <f t="shared" si="0"/>
        <v>Mar</v>
      </c>
      <c r="O14" s="5" t="str">
        <f t="shared" si="1"/>
        <v xml:space="preserve"> 2024</v>
      </c>
    </row>
    <row r="15" spans="1:17" x14ac:dyDescent="0.35">
      <c r="A15" t="s">
        <v>75</v>
      </c>
      <c r="B15" s="5" t="s">
        <v>76</v>
      </c>
      <c r="C15" s="4" t="s">
        <v>55</v>
      </c>
      <c r="D15" s="4" t="s">
        <v>63</v>
      </c>
      <c r="E15" s="4" t="s">
        <v>64</v>
      </c>
      <c r="F15" s="4" t="s">
        <v>25</v>
      </c>
      <c r="G15" s="4" t="s">
        <v>77</v>
      </c>
      <c r="H15" s="4" t="s">
        <v>27</v>
      </c>
      <c r="I15" s="4" t="s">
        <v>28</v>
      </c>
      <c r="J15" s="3">
        <v>5</v>
      </c>
      <c r="K15" s="6">
        <v>109285</v>
      </c>
      <c r="L15" s="6">
        <f t="shared" si="2"/>
        <v>76499.5</v>
      </c>
      <c r="M15" s="6">
        <v>32785.5</v>
      </c>
      <c r="N15" s="5" t="str">
        <f t="shared" si="0"/>
        <v>Nov</v>
      </c>
      <c r="O15" s="5" t="str">
        <f t="shared" si="1"/>
        <v xml:space="preserve"> 2024</v>
      </c>
    </row>
    <row r="16" spans="1:17" x14ac:dyDescent="0.35">
      <c r="A16" t="s">
        <v>78</v>
      </c>
      <c r="B16" s="5" t="s">
        <v>79</v>
      </c>
      <c r="C16" s="4" t="s">
        <v>31</v>
      </c>
      <c r="D16" s="4" t="s">
        <v>32</v>
      </c>
      <c r="E16" s="4" t="s">
        <v>33</v>
      </c>
      <c r="F16" s="4" t="s">
        <v>16</v>
      </c>
      <c r="G16" s="4" t="s">
        <v>17</v>
      </c>
      <c r="H16" s="4" t="s">
        <v>18</v>
      </c>
      <c r="I16" s="4" t="s">
        <v>47</v>
      </c>
      <c r="J16" s="3">
        <v>9</v>
      </c>
      <c r="K16" s="6">
        <v>359388</v>
      </c>
      <c r="L16" s="6">
        <f t="shared" si="2"/>
        <v>251571.59999999998</v>
      </c>
      <c r="M16" s="6">
        <v>107816.40000000002</v>
      </c>
      <c r="N16" s="5" t="str">
        <f t="shared" si="0"/>
        <v>Aug</v>
      </c>
      <c r="O16" s="5" t="str">
        <f t="shared" si="1"/>
        <v xml:space="preserve"> 2023</v>
      </c>
    </row>
    <row r="17" spans="1:15" x14ac:dyDescent="0.35">
      <c r="A17" t="s">
        <v>80</v>
      </c>
      <c r="B17" s="5" t="s">
        <v>81</v>
      </c>
      <c r="C17" s="4" t="s">
        <v>55</v>
      </c>
      <c r="D17" s="4" t="s">
        <v>82</v>
      </c>
      <c r="E17" s="4" t="s">
        <v>83</v>
      </c>
      <c r="F17" s="4" t="s">
        <v>25</v>
      </c>
      <c r="G17" s="4" t="s">
        <v>26</v>
      </c>
      <c r="H17" s="4" t="s">
        <v>72</v>
      </c>
      <c r="I17" s="4" t="s">
        <v>39</v>
      </c>
      <c r="J17" s="3">
        <v>7</v>
      </c>
      <c r="K17" s="6">
        <v>349993</v>
      </c>
      <c r="L17" s="6">
        <f t="shared" si="2"/>
        <v>244995.09999999998</v>
      </c>
      <c r="M17" s="6">
        <v>104997.90000000002</v>
      </c>
      <c r="N17" s="5" t="str">
        <f t="shared" si="0"/>
        <v>Jul</v>
      </c>
      <c r="O17" s="5" t="str">
        <f t="shared" si="1"/>
        <v xml:space="preserve"> 2023</v>
      </c>
    </row>
    <row r="18" spans="1:15" x14ac:dyDescent="0.35">
      <c r="A18" t="s">
        <v>84</v>
      </c>
      <c r="B18" s="5" t="s">
        <v>85</v>
      </c>
      <c r="C18" s="4" t="s">
        <v>22</v>
      </c>
      <c r="D18" s="4" t="s">
        <v>86</v>
      </c>
      <c r="E18" s="4" t="s">
        <v>87</v>
      </c>
      <c r="F18" s="4" t="s">
        <v>25</v>
      </c>
      <c r="G18" s="4" t="s">
        <v>77</v>
      </c>
      <c r="H18" s="4" t="s">
        <v>27</v>
      </c>
      <c r="I18" s="4" t="s">
        <v>47</v>
      </c>
      <c r="J18" s="3">
        <v>8</v>
      </c>
      <c r="K18" s="6">
        <v>387144</v>
      </c>
      <c r="L18" s="6">
        <f t="shared" si="2"/>
        <v>271000.8</v>
      </c>
      <c r="M18" s="6">
        <v>116143.20000000001</v>
      </c>
      <c r="N18" s="5" t="str">
        <f t="shared" si="0"/>
        <v>Nov</v>
      </c>
      <c r="O18" s="5" t="str">
        <f t="shared" si="1"/>
        <v xml:space="preserve"> 2023</v>
      </c>
    </row>
    <row r="19" spans="1:15" x14ac:dyDescent="0.35">
      <c r="A19" t="s">
        <v>88</v>
      </c>
      <c r="B19" s="5" t="s">
        <v>89</v>
      </c>
      <c r="C19" s="4" t="s">
        <v>22</v>
      </c>
      <c r="D19" s="4" t="s">
        <v>90</v>
      </c>
      <c r="E19" s="4" t="s">
        <v>91</v>
      </c>
      <c r="F19" s="4" t="s">
        <v>25</v>
      </c>
      <c r="G19" s="4" t="s">
        <v>77</v>
      </c>
      <c r="H19" s="4" t="s">
        <v>72</v>
      </c>
      <c r="I19" s="4" t="s">
        <v>39</v>
      </c>
      <c r="J19" s="3">
        <v>8</v>
      </c>
      <c r="K19" s="6">
        <v>326896</v>
      </c>
      <c r="L19" s="6">
        <f t="shared" si="2"/>
        <v>228827.19999999998</v>
      </c>
      <c r="M19" s="6">
        <v>98068.800000000017</v>
      </c>
      <c r="N19" s="5" t="str">
        <f t="shared" si="0"/>
        <v>Mar</v>
      </c>
      <c r="O19" s="5" t="str">
        <f t="shared" si="1"/>
        <v xml:space="preserve"> 2023</v>
      </c>
    </row>
    <row r="20" spans="1:15" x14ac:dyDescent="0.35">
      <c r="A20" t="s">
        <v>92</v>
      </c>
      <c r="B20" s="5" t="s">
        <v>93</v>
      </c>
      <c r="C20" s="4" t="s">
        <v>31</v>
      </c>
      <c r="D20" s="4" t="s">
        <v>45</v>
      </c>
      <c r="E20" s="4" t="s">
        <v>46</v>
      </c>
      <c r="F20" s="4" t="s">
        <v>25</v>
      </c>
      <c r="G20" s="4" t="s">
        <v>52</v>
      </c>
      <c r="H20" s="4" t="s">
        <v>72</v>
      </c>
      <c r="I20" s="4" t="s">
        <v>60</v>
      </c>
      <c r="J20" s="3">
        <v>7</v>
      </c>
      <c r="K20" s="6">
        <v>298746</v>
      </c>
      <c r="L20" s="6">
        <f t="shared" si="2"/>
        <v>209122.19999999998</v>
      </c>
      <c r="M20" s="6">
        <v>89623.800000000017</v>
      </c>
      <c r="N20" s="5" t="str">
        <f t="shared" si="0"/>
        <v>Nov</v>
      </c>
      <c r="O20" s="5" t="str">
        <f t="shared" si="1"/>
        <v xml:space="preserve"> 2023</v>
      </c>
    </row>
    <row r="21" spans="1:15" x14ac:dyDescent="0.35">
      <c r="A21" t="s">
        <v>94</v>
      </c>
      <c r="B21" s="5" t="s">
        <v>95</v>
      </c>
      <c r="C21" s="4" t="s">
        <v>22</v>
      </c>
      <c r="D21" s="4" t="s">
        <v>23</v>
      </c>
      <c r="E21" s="4" t="s">
        <v>24</v>
      </c>
      <c r="F21" s="4" t="s">
        <v>25</v>
      </c>
      <c r="G21" s="4" t="s">
        <v>52</v>
      </c>
      <c r="H21" s="4" t="s">
        <v>27</v>
      </c>
      <c r="I21" s="4" t="s">
        <v>47</v>
      </c>
      <c r="J21" s="3">
        <v>10</v>
      </c>
      <c r="K21" s="6">
        <v>301460</v>
      </c>
      <c r="L21" s="6">
        <f t="shared" si="2"/>
        <v>211022</v>
      </c>
      <c r="M21" s="6">
        <v>90438</v>
      </c>
      <c r="N21" s="5" t="str">
        <f t="shared" si="0"/>
        <v>Jul</v>
      </c>
      <c r="O21" s="5" t="str">
        <f t="shared" si="1"/>
        <v xml:space="preserve"> 2024</v>
      </c>
    </row>
    <row r="22" spans="1:15" x14ac:dyDescent="0.35">
      <c r="A22" t="s">
        <v>96</v>
      </c>
      <c r="B22" s="5" t="s">
        <v>97</v>
      </c>
      <c r="C22" s="4" t="s">
        <v>55</v>
      </c>
      <c r="D22" s="4" t="s">
        <v>98</v>
      </c>
      <c r="E22" s="4" t="s">
        <v>99</v>
      </c>
      <c r="F22" s="4" t="s">
        <v>16</v>
      </c>
      <c r="G22" s="4" t="s">
        <v>34</v>
      </c>
      <c r="H22" s="4" t="s">
        <v>72</v>
      </c>
      <c r="I22" s="4" t="s">
        <v>19</v>
      </c>
      <c r="J22" s="3">
        <v>6</v>
      </c>
      <c r="K22" s="6">
        <v>176148</v>
      </c>
      <c r="L22" s="6">
        <f t="shared" si="2"/>
        <v>123303.59999999999</v>
      </c>
      <c r="M22" s="6">
        <v>52844.400000000009</v>
      </c>
      <c r="N22" s="5" t="str">
        <f t="shared" si="0"/>
        <v>Aug</v>
      </c>
      <c r="O22" s="5" t="str">
        <f t="shared" si="1"/>
        <v xml:space="preserve"> 2024</v>
      </c>
    </row>
    <row r="23" spans="1:15" x14ac:dyDescent="0.35">
      <c r="A23" t="s">
        <v>100</v>
      </c>
      <c r="B23" s="5" t="s">
        <v>101</v>
      </c>
      <c r="C23" s="4" t="s">
        <v>55</v>
      </c>
      <c r="D23" s="4" t="s">
        <v>63</v>
      </c>
      <c r="E23" s="4" t="s">
        <v>64</v>
      </c>
      <c r="F23" s="4" t="s">
        <v>16</v>
      </c>
      <c r="G23" s="4" t="s">
        <v>42</v>
      </c>
      <c r="H23" s="4" t="s">
        <v>27</v>
      </c>
      <c r="I23" s="4" t="s">
        <v>39</v>
      </c>
      <c r="J23" s="3">
        <v>4</v>
      </c>
      <c r="K23" s="6">
        <v>185180</v>
      </c>
      <c r="L23" s="6">
        <f t="shared" si="2"/>
        <v>129625.99999999999</v>
      </c>
      <c r="M23" s="6">
        <v>55554.000000000015</v>
      </c>
      <c r="N23" s="5" t="str">
        <f t="shared" si="0"/>
        <v>Dec</v>
      </c>
      <c r="O23" s="5" t="str">
        <f t="shared" si="1"/>
        <v xml:space="preserve"> 2023</v>
      </c>
    </row>
    <row r="24" spans="1:15" x14ac:dyDescent="0.35">
      <c r="A24" t="s">
        <v>102</v>
      </c>
      <c r="B24" s="5" t="s">
        <v>103</v>
      </c>
      <c r="C24" s="4" t="s">
        <v>31</v>
      </c>
      <c r="D24" s="4" t="s">
        <v>104</v>
      </c>
      <c r="E24" s="4" t="s">
        <v>105</v>
      </c>
      <c r="F24" s="4" t="s">
        <v>25</v>
      </c>
      <c r="G24" s="4" t="s">
        <v>26</v>
      </c>
      <c r="H24" s="4" t="s">
        <v>18</v>
      </c>
      <c r="I24" s="4" t="s">
        <v>28</v>
      </c>
      <c r="J24" s="3">
        <v>5</v>
      </c>
      <c r="K24" s="6">
        <v>220790</v>
      </c>
      <c r="L24" s="6">
        <f t="shared" si="2"/>
        <v>154553</v>
      </c>
      <c r="M24" s="6">
        <v>66237</v>
      </c>
      <c r="N24" s="5" t="str">
        <f t="shared" si="0"/>
        <v>Oct</v>
      </c>
      <c r="O24" s="5" t="str">
        <f t="shared" si="1"/>
        <v xml:space="preserve"> 2024</v>
      </c>
    </row>
    <row r="25" spans="1:15" x14ac:dyDescent="0.35">
      <c r="A25" t="s">
        <v>106</v>
      </c>
      <c r="B25" s="5" t="s">
        <v>107</v>
      </c>
      <c r="C25" s="4" t="s">
        <v>31</v>
      </c>
      <c r="D25" s="4" t="s">
        <v>50</v>
      </c>
      <c r="E25" s="4" t="s">
        <v>51</v>
      </c>
      <c r="F25" s="4" t="s">
        <v>67</v>
      </c>
      <c r="G25" s="4" t="s">
        <v>68</v>
      </c>
      <c r="H25" s="4" t="s">
        <v>72</v>
      </c>
      <c r="I25" s="4" t="s">
        <v>39</v>
      </c>
      <c r="J25" s="3">
        <v>1</v>
      </c>
      <c r="K25" s="6">
        <v>16306</v>
      </c>
      <c r="L25" s="6">
        <f t="shared" si="2"/>
        <v>11414.199999999999</v>
      </c>
      <c r="M25" s="6">
        <v>4891.8000000000011</v>
      </c>
      <c r="N25" s="5" t="str">
        <f t="shared" si="0"/>
        <v>Jan</v>
      </c>
      <c r="O25" s="5" t="str">
        <f t="shared" si="1"/>
        <v xml:space="preserve"> 2023</v>
      </c>
    </row>
    <row r="26" spans="1:15" x14ac:dyDescent="0.35">
      <c r="A26" t="s">
        <v>108</v>
      </c>
      <c r="B26" s="5" t="s">
        <v>109</v>
      </c>
      <c r="C26" s="4" t="s">
        <v>22</v>
      </c>
      <c r="D26" s="4" t="s">
        <v>90</v>
      </c>
      <c r="E26" s="4" t="s">
        <v>110</v>
      </c>
      <c r="F26" s="4" t="s">
        <v>67</v>
      </c>
      <c r="G26" s="4" t="s">
        <v>68</v>
      </c>
      <c r="H26" s="4" t="s">
        <v>72</v>
      </c>
      <c r="I26" s="4" t="s">
        <v>47</v>
      </c>
      <c r="J26" s="3">
        <v>8</v>
      </c>
      <c r="K26" s="6">
        <v>292480</v>
      </c>
      <c r="L26" s="6">
        <f t="shared" si="2"/>
        <v>204736</v>
      </c>
      <c r="M26" s="6">
        <v>87744</v>
      </c>
      <c r="N26" s="5" t="str">
        <f t="shared" si="0"/>
        <v>Jul</v>
      </c>
      <c r="O26" s="5" t="str">
        <f t="shared" si="1"/>
        <v xml:space="preserve"> 2024</v>
      </c>
    </row>
    <row r="27" spans="1:15" x14ac:dyDescent="0.35">
      <c r="A27" t="s">
        <v>111</v>
      </c>
      <c r="B27" s="5" t="s">
        <v>112</v>
      </c>
      <c r="C27" s="4" t="s">
        <v>22</v>
      </c>
      <c r="D27" s="4" t="s">
        <v>23</v>
      </c>
      <c r="E27" s="4" t="s">
        <v>24</v>
      </c>
      <c r="F27" s="4" t="s">
        <v>67</v>
      </c>
      <c r="G27" s="4" t="s">
        <v>113</v>
      </c>
      <c r="H27" s="4" t="s">
        <v>18</v>
      </c>
      <c r="I27" s="4" t="s">
        <v>28</v>
      </c>
      <c r="J27" s="3">
        <v>8</v>
      </c>
      <c r="K27" s="6">
        <v>103448</v>
      </c>
      <c r="L27" s="6">
        <f t="shared" si="2"/>
        <v>72413.599999999991</v>
      </c>
      <c r="M27" s="6">
        <v>31034.400000000009</v>
      </c>
      <c r="N27" s="5" t="str">
        <f t="shared" si="0"/>
        <v>May</v>
      </c>
      <c r="O27" s="5" t="str">
        <f t="shared" si="1"/>
        <v xml:space="preserve"> 2023</v>
      </c>
    </row>
    <row r="28" spans="1:15" x14ac:dyDescent="0.35">
      <c r="A28" t="s">
        <v>114</v>
      </c>
      <c r="B28" s="5" t="s">
        <v>115</v>
      </c>
      <c r="C28" s="4" t="s">
        <v>13</v>
      </c>
      <c r="D28" s="4" t="s">
        <v>14</v>
      </c>
      <c r="E28" s="4" t="s">
        <v>15</v>
      </c>
      <c r="F28" s="4" t="s">
        <v>16</v>
      </c>
      <c r="G28" s="4" t="s">
        <v>34</v>
      </c>
      <c r="H28" s="4" t="s">
        <v>72</v>
      </c>
      <c r="I28" s="4" t="s">
        <v>60</v>
      </c>
      <c r="J28" s="3">
        <v>3</v>
      </c>
      <c r="K28" s="6">
        <v>40641</v>
      </c>
      <c r="L28" s="6">
        <f t="shared" si="2"/>
        <v>28448.699999999997</v>
      </c>
      <c r="M28" s="6">
        <v>12192.300000000003</v>
      </c>
      <c r="N28" s="5" t="str">
        <f t="shared" si="0"/>
        <v>Jan</v>
      </c>
      <c r="O28" s="5" t="str">
        <f t="shared" si="1"/>
        <v xml:space="preserve"> 2024</v>
      </c>
    </row>
    <row r="29" spans="1:15" x14ac:dyDescent="0.35">
      <c r="A29" t="s">
        <v>116</v>
      </c>
      <c r="B29" s="5" t="s">
        <v>117</v>
      </c>
      <c r="C29" s="4" t="s">
        <v>13</v>
      </c>
      <c r="D29" s="4" t="s">
        <v>118</v>
      </c>
      <c r="E29" s="4" t="s">
        <v>119</v>
      </c>
      <c r="F29" s="4" t="s">
        <v>16</v>
      </c>
      <c r="G29" s="4" t="s">
        <v>42</v>
      </c>
      <c r="H29" s="4" t="s">
        <v>72</v>
      </c>
      <c r="I29" s="4" t="s">
        <v>28</v>
      </c>
      <c r="J29" s="3">
        <v>6</v>
      </c>
      <c r="K29" s="6">
        <v>149964</v>
      </c>
      <c r="L29" s="6">
        <f t="shared" si="2"/>
        <v>104974.79999999999</v>
      </c>
      <c r="M29" s="6">
        <v>44989.200000000012</v>
      </c>
      <c r="N29" s="5" t="str">
        <f t="shared" si="0"/>
        <v>Sep</v>
      </c>
      <c r="O29" s="5" t="str">
        <f t="shared" si="1"/>
        <v xml:space="preserve"> 2023</v>
      </c>
    </row>
    <row r="30" spans="1:15" x14ac:dyDescent="0.35">
      <c r="A30" t="s">
        <v>120</v>
      </c>
      <c r="B30" s="5" t="s">
        <v>121</v>
      </c>
      <c r="C30" s="4" t="s">
        <v>22</v>
      </c>
      <c r="D30" s="4" t="s">
        <v>86</v>
      </c>
      <c r="E30" s="4" t="s">
        <v>87</v>
      </c>
      <c r="F30" s="4" t="s">
        <v>16</v>
      </c>
      <c r="G30" s="4" t="s">
        <v>122</v>
      </c>
      <c r="H30" s="4" t="s">
        <v>72</v>
      </c>
      <c r="I30" s="4" t="s">
        <v>47</v>
      </c>
      <c r="J30" s="3">
        <v>10</v>
      </c>
      <c r="K30" s="6">
        <v>453530</v>
      </c>
      <c r="L30" s="6">
        <f t="shared" si="2"/>
        <v>317471</v>
      </c>
      <c r="M30" s="6">
        <v>136059</v>
      </c>
      <c r="N30" s="5" t="str">
        <f t="shared" si="0"/>
        <v>Oct</v>
      </c>
      <c r="O30" s="5" t="str">
        <f t="shared" si="1"/>
        <v xml:space="preserve"> 2023</v>
      </c>
    </row>
    <row r="31" spans="1:15" x14ac:dyDescent="0.35">
      <c r="A31" t="s">
        <v>123</v>
      </c>
      <c r="B31" s="5" t="s">
        <v>124</v>
      </c>
      <c r="C31" s="4" t="s">
        <v>13</v>
      </c>
      <c r="D31" s="4" t="s">
        <v>125</v>
      </c>
      <c r="E31" s="4" t="s">
        <v>126</v>
      </c>
      <c r="F31" s="4" t="s">
        <v>25</v>
      </c>
      <c r="G31" s="4" t="s">
        <v>52</v>
      </c>
      <c r="H31" s="4" t="s">
        <v>72</v>
      </c>
      <c r="I31" s="4" t="s">
        <v>39</v>
      </c>
      <c r="J31" s="3">
        <v>8</v>
      </c>
      <c r="K31" s="6">
        <v>254736</v>
      </c>
      <c r="L31" s="6">
        <f t="shared" si="2"/>
        <v>178315.19999999998</v>
      </c>
      <c r="M31" s="6">
        <v>76420.800000000017</v>
      </c>
      <c r="N31" s="5" t="str">
        <f t="shared" si="0"/>
        <v>Nov</v>
      </c>
      <c r="O31" s="5" t="str">
        <f t="shared" si="1"/>
        <v xml:space="preserve"> 2024</v>
      </c>
    </row>
    <row r="32" spans="1:15" x14ac:dyDescent="0.35">
      <c r="A32" t="s">
        <v>127</v>
      </c>
      <c r="B32" s="5" t="s">
        <v>81</v>
      </c>
      <c r="C32" s="4" t="s">
        <v>22</v>
      </c>
      <c r="D32" s="4" t="s">
        <v>90</v>
      </c>
      <c r="E32" s="4" t="s">
        <v>91</v>
      </c>
      <c r="F32" s="4" t="s">
        <v>25</v>
      </c>
      <c r="G32" s="4" t="s">
        <v>77</v>
      </c>
      <c r="H32" s="4" t="s">
        <v>18</v>
      </c>
      <c r="I32" s="4" t="s">
        <v>60</v>
      </c>
      <c r="J32" s="3">
        <v>4</v>
      </c>
      <c r="K32" s="6">
        <v>155824</v>
      </c>
      <c r="L32" s="6">
        <f t="shared" si="2"/>
        <v>109076.79999999999</v>
      </c>
      <c r="M32" s="6">
        <v>46747.200000000012</v>
      </c>
      <c r="N32" s="5" t="str">
        <f t="shared" si="0"/>
        <v>Jul</v>
      </c>
      <c r="O32" s="5" t="str">
        <f t="shared" si="1"/>
        <v xml:space="preserve"> 2023</v>
      </c>
    </row>
    <row r="33" spans="1:15" x14ac:dyDescent="0.35">
      <c r="A33" t="s">
        <v>128</v>
      </c>
      <c r="B33" s="5" t="s">
        <v>129</v>
      </c>
      <c r="C33" s="4" t="s">
        <v>13</v>
      </c>
      <c r="D33" s="4" t="s">
        <v>14</v>
      </c>
      <c r="E33" s="4" t="s">
        <v>15</v>
      </c>
      <c r="F33" s="4" t="s">
        <v>25</v>
      </c>
      <c r="G33" s="4" t="s">
        <v>26</v>
      </c>
      <c r="H33" s="4" t="s">
        <v>18</v>
      </c>
      <c r="I33" s="4" t="s">
        <v>39</v>
      </c>
      <c r="J33" s="3">
        <v>10</v>
      </c>
      <c r="K33" s="6">
        <v>57940</v>
      </c>
      <c r="L33" s="6">
        <f t="shared" si="2"/>
        <v>40558</v>
      </c>
      <c r="M33" s="6">
        <v>17382</v>
      </c>
      <c r="N33" s="5" t="str">
        <f t="shared" si="0"/>
        <v>Aug</v>
      </c>
      <c r="O33" s="5" t="str">
        <f t="shared" si="1"/>
        <v xml:space="preserve"> 2023</v>
      </c>
    </row>
    <row r="34" spans="1:15" x14ac:dyDescent="0.35">
      <c r="A34" t="s">
        <v>130</v>
      </c>
      <c r="B34" s="5" t="s">
        <v>131</v>
      </c>
      <c r="C34" s="4" t="s">
        <v>55</v>
      </c>
      <c r="D34" s="4" t="s">
        <v>82</v>
      </c>
      <c r="E34" s="4" t="s">
        <v>83</v>
      </c>
      <c r="F34" s="4" t="s">
        <v>25</v>
      </c>
      <c r="G34" s="4" t="s">
        <v>77</v>
      </c>
      <c r="H34" s="4" t="s">
        <v>72</v>
      </c>
      <c r="I34" s="4" t="s">
        <v>19</v>
      </c>
      <c r="J34" s="3">
        <v>9</v>
      </c>
      <c r="K34" s="6">
        <v>294552</v>
      </c>
      <c r="L34" s="6">
        <f t="shared" si="2"/>
        <v>206186.4</v>
      </c>
      <c r="M34" s="6">
        <v>88365.6</v>
      </c>
      <c r="N34" s="5" t="str">
        <f t="shared" si="0"/>
        <v>Feb</v>
      </c>
      <c r="O34" s="5" t="str">
        <f t="shared" si="1"/>
        <v xml:space="preserve"> 2023</v>
      </c>
    </row>
    <row r="35" spans="1:15" x14ac:dyDescent="0.35">
      <c r="A35" t="s">
        <v>132</v>
      </c>
      <c r="B35" s="5" t="s">
        <v>133</v>
      </c>
      <c r="C35" s="4" t="s">
        <v>55</v>
      </c>
      <c r="D35" s="4" t="s">
        <v>56</v>
      </c>
      <c r="E35" s="4" t="s">
        <v>57</v>
      </c>
      <c r="F35" s="4" t="s">
        <v>67</v>
      </c>
      <c r="G35" s="4" t="s">
        <v>134</v>
      </c>
      <c r="H35" s="4" t="s">
        <v>72</v>
      </c>
      <c r="I35" s="4" t="s">
        <v>39</v>
      </c>
      <c r="J35" s="3">
        <v>4</v>
      </c>
      <c r="K35" s="6">
        <v>116848</v>
      </c>
      <c r="L35" s="6">
        <f t="shared" si="2"/>
        <v>81793.599999999991</v>
      </c>
      <c r="M35" s="6">
        <v>35054.400000000009</v>
      </c>
      <c r="N35" s="5" t="str">
        <f t="shared" si="0"/>
        <v>Jun</v>
      </c>
      <c r="O35" s="5" t="str">
        <f t="shared" si="1"/>
        <v xml:space="preserve"> 2023</v>
      </c>
    </row>
    <row r="36" spans="1:15" x14ac:dyDescent="0.35">
      <c r="A36" t="s">
        <v>135</v>
      </c>
      <c r="B36" s="5" t="s">
        <v>136</v>
      </c>
      <c r="C36" s="4" t="s">
        <v>31</v>
      </c>
      <c r="D36" s="4" t="s">
        <v>32</v>
      </c>
      <c r="E36" s="4" t="s">
        <v>33</v>
      </c>
      <c r="F36" s="4" t="s">
        <v>37</v>
      </c>
      <c r="G36" s="4" t="s">
        <v>38</v>
      </c>
      <c r="H36" s="4" t="s">
        <v>72</v>
      </c>
      <c r="I36" s="4" t="s">
        <v>60</v>
      </c>
      <c r="J36" s="3">
        <v>6</v>
      </c>
      <c r="K36" s="6">
        <v>286848</v>
      </c>
      <c r="L36" s="6">
        <f t="shared" si="2"/>
        <v>200793.59999999998</v>
      </c>
      <c r="M36" s="6">
        <v>86054.400000000023</v>
      </c>
      <c r="N36" s="5" t="str">
        <f t="shared" si="0"/>
        <v>May</v>
      </c>
      <c r="O36" s="5" t="str">
        <f t="shared" si="1"/>
        <v xml:space="preserve"> 2023</v>
      </c>
    </row>
    <row r="37" spans="1:15" x14ac:dyDescent="0.35">
      <c r="A37" t="s">
        <v>137</v>
      </c>
      <c r="B37" s="5" t="s">
        <v>138</v>
      </c>
      <c r="C37" s="4" t="s">
        <v>55</v>
      </c>
      <c r="D37" s="4" t="s">
        <v>63</v>
      </c>
      <c r="E37" s="4" t="s">
        <v>64</v>
      </c>
      <c r="F37" s="4" t="s">
        <v>67</v>
      </c>
      <c r="G37" s="4" t="s">
        <v>134</v>
      </c>
      <c r="H37" s="4" t="s">
        <v>72</v>
      </c>
      <c r="I37" s="4" t="s">
        <v>60</v>
      </c>
      <c r="J37" s="3">
        <v>1</v>
      </c>
      <c r="K37" s="6">
        <v>49675</v>
      </c>
      <c r="L37" s="6">
        <f t="shared" si="2"/>
        <v>34772.5</v>
      </c>
      <c r="M37" s="6">
        <v>14902.5</v>
      </c>
      <c r="N37" s="5" t="str">
        <f t="shared" si="0"/>
        <v>Nov</v>
      </c>
      <c r="O37" s="5" t="str">
        <f t="shared" si="1"/>
        <v xml:space="preserve"> 2024</v>
      </c>
    </row>
    <row r="38" spans="1:15" x14ac:dyDescent="0.35">
      <c r="A38" t="s">
        <v>139</v>
      </c>
      <c r="B38" s="5" t="s">
        <v>140</v>
      </c>
      <c r="C38" s="4" t="s">
        <v>13</v>
      </c>
      <c r="D38" s="4" t="s">
        <v>125</v>
      </c>
      <c r="E38" s="4" t="s">
        <v>126</v>
      </c>
      <c r="F38" s="4" t="s">
        <v>16</v>
      </c>
      <c r="G38" s="4" t="s">
        <v>122</v>
      </c>
      <c r="H38" s="4" t="s">
        <v>18</v>
      </c>
      <c r="I38" s="4" t="s">
        <v>60</v>
      </c>
      <c r="J38" s="3">
        <v>2</v>
      </c>
      <c r="K38" s="6">
        <v>58642</v>
      </c>
      <c r="L38" s="6">
        <f t="shared" si="2"/>
        <v>41049.399999999994</v>
      </c>
      <c r="M38" s="6">
        <v>17592.600000000006</v>
      </c>
      <c r="N38" s="5" t="str">
        <f t="shared" si="0"/>
        <v>Aug</v>
      </c>
      <c r="O38" s="5" t="str">
        <f t="shared" si="1"/>
        <v xml:space="preserve"> 2024</v>
      </c>
    </row>
    <row r="39" spans="1:15" x14ac:dyDescent="0.35">
      <c r="A39" t="s">
        <v>141</v>
      </c>
      <c r="B39" s="5" t="s">
        <v>142</v>
      </c>
      <c r="C39" s="4" t="s">
        <v>31</v>
      </c>
      <c r="D39" s="4" t="s">
        <v>50</v>
      </c>
      <c r="E39" s="4" t="s">
        <v>51</v>
      </c>
      <c r="F39" s="4" t="s">
        <v>37</v>
      </c>
      <c r="G39" s="4" t="s">
        <v>38</v>
      </c>
      <c r="H39" s="4" t="s">
        <v>27</v>
      </c>
      <c r="I39" s="4" t="s">
        <v>60</v>
      </c>
      <c r="J39" s="3">
        <v>5</v>
      </c>
      <c r="K39" s="6">
        <v>178090</v>
      </c>
      <c r="L39" s="6">
        <f t="shared" si="2"/>
        <v>124662.99999999999</v>
      </c>
      <c r="M39" s="6">
        <v>53427.000000000015</v>
      </c>
      <c r="N39" s="5" t="str">
        <f t="shared" si="0"/>
        <v>Apr</v>
      </c>
      <c r="O39" s="5" t="str">
        <f t="shared" si="1"/>
        <v xml:space="preserve"> 2023</v>
      </c>
    </row>
    <row r="40" spans="1:15" x14ac:dyDescent="0.35">
      <c r="A40" t="s">
        <v>143</v>
      </c>
      <c r="B40" s="5" t="s">
        <v>54</v>
      </c>
      <c r="C40" s="4" t="s">
        <v>13</v>
      </c>
      <c r="D40" s="4" t="s">
        <v>118</v>
      </c>
      <c r="E40" s="4" t="s">
        <v>119</v>
      </c>
      <c r="F40" s="4" t="s">
        <v>67</v>
      </c>
      <c r="G40" s="4" t="s">
        <v>134</v>
      </c>
      <c r="H40" s="4" t="s">
        <v>18</v>
      </c>
      <c r="I40" s="4" t="s">
        <v>19</v>
      </c>
      <c r="J40" s="3">
        <v>2</v>
      </c>
      <c r="K40" s="6">
        <v>72576</v>
      </c>
      <c r="L40" s="6">
        <f t="shared" si="2"/>
        <v>50803.199999999997</v>
      </c>
      <c r="M40" s="6">
        <v>21772.800000000003</v>
      </c>
      <c r="N40" s="5" t="str">
        <f t="shared" si="0"/>
        <v>Jun</v>
      </c>
      <c r="O40" s="5" t="str">
        <f t="shared" si="1"/>
        <v xml:space="preserve"> 2024</v>
      </c>
    </row>
    <row r="41" spans="1:15" x14ac:dyDescent="0.35">
      <c r="A41" t="s">
        <v>144</v>
      </c>
      <c r="B41" s="5" t="s">
        <v>145</v>
      </c>
      <c r="C41" s="4" t="s">
        <v>31</v>
      </c>
      <c r="D41" s="4" t="s">
        <v>32</v>
      </c>
      <c r="E41" s="4" t="s">
        <v>33</v>
      </c>
      <c r="F41" s="4" t="s">
        <v>67</v>
      </c>
      <c r="G41" s="4" t="s">
        <v>134</v>
      </c>
      <c r="H41" s="4" t="s">
        <v>18</v>
      </c>
      <c r="I41" s="4" t="s">
        <v>19</v>
      </c>
      <c r="J41" s="3">
        <v>2</v>
      </c>
      <c r="K41" s="6">
        <v>40524</v>
      </c>
      <c r="L41" s="6">
        <f t="shared" si="2"/>
        <v>28366.799999999999</v>
      </c>
      <c r="M41" s="6">
        <v>12157.2</v>
      </c>
      <c r="N41" s="5" t="str">
        <f t="shared" si="0"/>
        <v>Jun</v>
      </c>
      <c r="O41" s="5" t="str">
        <f t="shared" si="1"/>
        <v xml:space="preserve"> 2024</v>
      </c>
    </row>
    <row r="42" spans="1:15" x14ac:dyDescent="0.35">
      <c r="A42" t="s">
        <v>146</v>
      </c>
      <c r="B42" s="5" t="s">
        <v>147</v>
      </c>
      <c r="C42" s="4" t="s">
        <v>22</v>
      </c>
      <c r="D42" s="4" t="s">
        <v>86</v>
      </c>
      <c r="E42" s="4" t="s">
        <v>87</v>
      </c>
      <c r="F42" s="4" t="s">
        <v>37</v>
      </c>
      <c r="G42" s="4" t="s">
        <v>148</v>
      </c>
      <c r="H42" s="4" t="s">
        <v>18</v>
      </c>
      <c r="I42" s="4" t="s">
        <v>39</v>
      </c>
      <c r="J42" s="3">
        <v>2</v>
      </c>
      <c r="K42" s="6">
        <v>63966</v>
      </c>
      <c r="L42" s="6">
        <f t="shared" si="2"/>
        <v>44776.2</v>
      </c>
      <c r="M42" s="6">
        <v>19189.800000000003</v>
      </c>
      <c r="N42" s="5" t="str">
        <f t="shared" si="0"/>
        <v>Apr</v>
      </c>
      <c r="O42" s="5" t="str">
        <f t="shared" si="1"/>
        <v xml:space="preserve"> 2023</v>
      </c>
    </row>
    <row r="43" spans="1:15" x14ac:dyDescent="0.35">
      <c r="A43" t="s">
        <v>149</v>
      </c>
      <c r="B43" s="5" t="s">
        <v>150</v>
      </c>
      <c r="C43" s="4" t="s">
        <v>31</v>
      </c>
      <c r="D43" s="4" t="s">
        <v>32</v>
      </c>
      <c r="E43" s="4" t="s">
        <v>33</v>
      </c>
      <c r="F43" s="4" t="s">
        <v>25</v>
      </c>
      <c r="G43" s="4" t="s">
        <v>52</v>
      </c>
      <c r="H43" s="4" t="s">
        <v>18</v>
      </c>
      <c r="I43" s="4" t="s">
        <v>19</v>
      </c>
      <c r="J43" s="3">
        <v>10</v>
      </c>
      <c r="K43" s="6">
        <v>109170</v>
      </c>
      <c r="L43" s="6">
        <f t="shared" si="2"/>
        <v>76419</v>
      </c>
      <c r="M43" s="6">
        <v>32751</v>
      </c>
      <c r="N43" s="5" t="str">
        <f t="shared" si="0"/>
        <v>Nov</v>
      </c>
      <c r="O43" s="5" t="str">
        <f t="shared" si="1"/>
        <v xml:space="preserve"> 2024</v>
      </c>
    </row>
    <row r="44" spans="1:15" x14ac:dyDescent="0.35">
      <c r="A44" t="s">
        <v>151</v>
      </c>
      <c r="B44" s="5" t="s">
        <v>152</v>
      </c>
      <c r="C44" s="4" t="s">
        <v>31</v>
      </c>
      <c r="D44" s="4" t="s">
        <v>32</v>
      </c>
      <c r="E44" s="4" t="s">
        <v>33</v>
      </c>
      <c r="F44" s="4" t="s">
        <v>16</v>
      </c>
      <c r="G44" s="4" t="s">
        <v>34</v>
      </c>
      <c r="H44" s="4" t="s">
        <v>27</v>
      </c>
      <c r="I44" s="4" t="s">
        <v>19</v>
      </c>
      <c r="J44" s="3">
        <v>9</v>
      </c>
      <c r="K44" s="6">
        <v>279576</v>
      </c>
      <c r="L44" s="6">
        <f t="shared" si="2"/>
        <v>195703.19999999998</v>
      </c>
      <c r="M44" s="6">
        <v>83872.800000000017</v>
      </c>
      <c r="N44" s="5" t="str">
        <f t="shared" si="0"/>
        <v>Jul</v>
      </c>
      <c r="O44" s="5" t="str">
        <f t="shared" si="1"/>
        <v xml:space="preserve"> 2024</v>
      </c>
    </row>
    <row r="45" spans="1:15" x14ac:dyDescent="0.35">
      <c r="A45" t="s">
        <v>153</v>
      </c>
      <c r="B45" s="5" t="s">
        <v>154</v>
      </c>
      <c r="C45" s="4" t="s">
        <v>55</v>
      </c>
      <c r="D45" s="4" t="s">
        <v>63</v>
      </c>
      <c r="E45" s="4" t="s">
        <v>64</v>
      </c>
      <c r="F45" s="4" t="s">
        <v>16</v>
      </c>
      <c r="G45" s="4" t="s">
        <v>34</v>
      </c>
      <c r="H45" s="4" t="s">
        <v>27</v>
      </c>
      <c r="I45" s="4" t="s">
        <v>19</v>
      </c>
      <c r="J45" s="3">
        <v>9</v>
      </c>
      <c r="K45" s="6">
        <v>99180</v>
      </c>
      <c r="L45" s="6">
        <f t="shared" si="2"/>
        <v>69426</v>
      </c>
      <c r="M45" s="6">
        <v>29754</v>
      </c>
      <c r="N45" s="5" t="str">
        <f t="shared" si="0"/>
        <v>Jul</v>
      </c>
      <c r="O45" s="5" t="str">
        <f t="shared" si="1"/>
        <v xml:space="preserve"> 2024</v>
      </c>
    </row>
    <row r="46" spans="1:15" x14ac:dyDescent="0.35">
      <c r="A46" t="s">
        <v>155</v>
      </c>
      <c r="B46" s="5" t="s">
        <v>156</v>
      </c>
      <c r="C46" s="4" t="s">
        <v>55</v>
      </c>
      <c r="D46" s="4" t="s">
        <v>63</v>
      </c>
      <c r="E46" s="4" t="s">
        <v>64</v>
      </c>
      <c r="F46" s="4" t="s">
        <v>67</v>
      </c>
      <c r="G46" s="4" t="s">
        <v>113</v>
      </c>
      <c r="H46" s="4" t="s">
        <v>18</v>
      </c>
      <c r="I46" s="4" t="s">
        <v>28</v>
      </c>
      <c r="J46" s="3">
        <v>6</v>
      </c>
      <c r="K46" s="6">
        <v>58242</v>
      </c>
      <c r="L46" s="6">
        <f t="shared" si="2"/>
        <v>40769.399999999994</v>
      </c>
      <c r="M46" s="6">
        <v>17472.600000000006</v>
      </c>
      <c r="N46" s="5" t="str">
        <f t="shared" si="0"/>
        <v>Feb</v>
      </c>
      <c r="O46" s="5" t="str">
        <f t="shared" si="1"/>
        <v xml:space="preserve"> 2024</v>
      </c>
    </row>
    <row r="47" spans="1:15" x14ac:dyDescent="0.35">
      <c r="A47" t="s">
        <v>157</v>
      </c>
      <c r="B47" s="5" t="s">
        <v>158</v>
      </c>
      <c r="C47" s="4" t="s">
        <v>13</v>
      </c>
      <c r="D47" s="4" t="s">
        <v>118</v>
      </c>
      <c r="E47" s="4" t="s">
        <v>119</v>
      </c>
      <c r="F47" s="4" t="s">
        <v>37</v>
      </c>
      <c r="G47" s="4" t="s">
        <v>38</v>
      </c>
      <c r="H47" s="4" t="s">
        <v>72</v>
      </c>
      <c r="I47" s="4" t="s">
        <v>19</v>
      </c>
      <c r="J47" s="3">
        <v>7</v>
      </c>
      <c r="K47" s="6">
        <v>55356</v>
      </c>
      <c r="L47" s="6">
        <f t="shared" si="2"/>
        <v>38749.199999999997</v>
      </c>
      <c r="M47" s="6">
        <v>16606.800000000003</v>
      </c>
      <c r="N47" s="5" t="str">
        <f t="shared" si="0"/>
        <v>Mar</v>
      </c>
      <c r="O47" s="5" t="str">
        <f t="shared" si="1"/>
        <v xml:space="preserve"> 2023</v>
      </c>
    </row>
    <row r="48" spans="1:15" x14ac:dyDescent="0.35">
      <c r="A48" t="s">
        <v>159</v>
      </c>
      <c r="B48" s="5" t="s">
        <v>160</v>
      </c>
      <c r="C48" s="4" t="s">
        <v>22</v>
      </c>
      <c r="D48" s="4" t="s">
        <v>86</v>
      </c>
      <c r="E48" s="4" t="s">
        <v>87</v>
      </c>
      <c r="F48" s="4" t="s">
        <v>25</v>
      </c>
      <c r="G48" s="4" t="s">
        <v>52</v>
      </c>
      <c r="H48" s="4" t="s">
        <v>72</v>
      </c>
      <c r="I48" s="4" t="s">
        <v>39</v>
      </c>
      <c r="J48" s="3">
        <v>2</v>
      </c>
      <c r="K48" s="6">
        <v>53960</v>
      </c>
      <c r="L48" s="6">
        <f t="shared" si="2"/>
        <v>37772</v>
      </c>
      <c r="M48" s="6">
        <v>16188</v>
      </c>
      <c r="N48" s="5" t="str">
        <f t="shared" si="0"/>
        <v>Mar</v>
      </c>
      <c r="O48" s="5" t="str">
        <f t="shared" si="1"/>
        <v xml:space="preserve"> 2023</v>
      </c>
    </row>
    <row r="49" spans="1:15" x14ac:dyDescent="0.35">
      <c r="A49" t="s">
        <v>161</v>
      </c>
      <c r="B49" s="5" t="s">
        <v>21</v>
      </c>
      <c r="C49" s="4" t="s">
        <v>13</v>
      </c>
      <c r="D49" s="4" t="s">
        <v>162</v>
      </c>
      <c r="E49" s="4" t="s">
        <v>163</v>
      </c>
      <c r="F49" s="4" t="s">
        <v>67</v>
      </c>
      <c r="G49" s="4" t="s">
        <v>68</v>
      </c>
      <c r="H49" s="4" t="s">
        <v>18</v>
      </c>
      <c r="I49" s="4" t="s">
        <v>28</v>
      </c>
      <c r="J49" s="3">
        <v>9</v>
      </c>
      <c r="K49" s="6">
        <v>374013</v>
      </c>
      <c r="L49" s="6">
        <f t="shared" si="2"/>
        <v>261809.09999999998</v>
      </c>
      <c r="M49" s="6">
        <v>112203.90000000002</v>
      </c>
      <c r="N49" s="5" t="str">
        <f t="shared" si="0"/>
        <v>Feb</v>
      </c>
      <c r="O49" s="5" t="str">
        <f t="shared" si="1"/>
        <v xml:space="preserve"> 2024</v>
      </c>
    </row>
    <row r="50" spans="1:15" x14ac:dyDescent="0.35">
      <c r="A50" t="s">
        <v>164</v>
      </c>
      <c r="B50" s="5" t="s">
        <v>165</v>
      </c>
      <c r="C50" s="4" t="s">
        <v>55</v>
      </c>
      <c r="D50" s="4" t="s">
        <v>82</v>
      </c>
      <c r="E50" s="4" t="s">
        <v>83</v>
      </c>
      <c r="F50" s="4" t="s">
        <v>25</v>
      </c>
      <c r="G50" s="4" t="s">
        <v>26</v>
      </c>
      <c r="H50" s="4" t="s">
        <v>72</v>
      </c>
      <c r="I50" s="4" t="s">
        <v>19</v>
      </c>
      <c r="J50" s="3">
        <v>5</v>
      </c>
      <c r="K50" s="6">
        <v>145540</v>
      </c>
      <c r="L50" s="6">
        <f t="shared" si="2"/>
        <v>101878</v>
      </c>
      <c r="M50" s="6">
        <v>43662</v>
      </c>
      <c r="N50" s="5" t="str">
        <f t="shared" si="0"/>
        <v>Jul</v>
      </c>
      <c r="O50" s="5" t="str">
        <f t="shared" si="1"/>
        <v xml:space="preserve"> 2024</v>
      </c>
    </row>
    <row r="51" spans="1:15" x14ac:dyDescent="0.35">
      <c r="A51" t="s">
        <v>166</v>
      </c>
      <c r="B51" s="5" t="s">
        <v>167</v>
      </c>
      <c r="C51" s="4" t="s">
        <v>22</v>
      </c>
      <c r="D51" s="4" t="s">
        <v>86</v>
      </c>
      <c r="E51" s="4" t="s">
        <v>87</v>
      </c>
      <c r="F51" s="4" t="s">
        <v>25</v>
      </c>
      <c r="G51" s="4" t="s">
        <v>26</v>
      </c>
      <c r="H51" s="4" t="s">
        <v>18</v>
      </c>
      <c r="I51" s="4" t="s">
        <v>47</v>
      </c>
      <c r="J51" s="3">
        <v>10</v>
      </c>
      <c r="K51" s="6">
        <v>172860</v>
      </c>
      <c r="L51" s="6">
        <f t="shared" si="2"/>
        <v>121001.99999999999</v>
      </c>
      <c r="M51" s="6">
        <v>51858.000000000015</v>
      </c>
      <c r="N51" s="5" t="str">
        <f t="shared" si="0"/>
        <v>Nov</v>
      </c>
      <c r="O51" s="5" t="str">
        <f t="shared" si="1"/>
        <v xml:space="preserve"> 2023</v>
      </c>
    </row>
    <row r="52" spans="1:15" x14ac:dyDescent="0.35">
      <c r="A52" t="s">
        <v>168</v>
      </c>
      <c r="B52" s="5" t="s">
        <v>169</v>
      </c>
      <c r="C52" s="4" t="s">
        <v>55</v>
      </c>
      <c r="D52" s="4" t="s">
        <v>63</v>
      </c>
      <c r="E52" s="4" t="s">
        <v>64</v>
      </c>
      <c r="F52" s="4" t="s">
        <v>16</v>
      </c>
      <c r="G52" s="4" t="s">
        <v>34</v>
      </c>
      <c r="H52" s="4" t="s">
        <v>27</v>
      </c>
      <c r="I52" s="4" t="s">
        <v>47</v>
      </c>
      <c r="J52" s="3">
        <v>5</v>
      </c>
      <c r="K52" s="6">
        <v>237525</v>
      </c>
      <c r="L52" s="6">
        <f t="shared" si="2"/>
        <v>166267.5</v>
      </c>
      <c r="M52" s="6">
        <v>71257.5</v>
      </c>
      <c r="N52" s="5" t="str">
        <f t="shared" si="0"/>
        <v>Jul</v>
      </c>
      <c r="O52" s="5" t="str">
        <f t="shared" si="1"/>
        <v xml:space="preserve"> 2024</v>
      </c>
    </row>
    <row r="53" spans="1:15" x14ac:dyDescent="0.35">
      <c r="A53" t="s">
        <v>170</v>
      </c>
      <c r="B53" s="5" t="s">
        <v>171</v>
      </c>
      <c r="C53" s="4" t="s">
        <v>55</v>
      </c>
      <c r="D53" s="4" t="s">
        <v>63</v>
      </c>
      <c r="E53" s="4" t="s">
        <v>64</v>
      </c>
      <c r="F53" s="4" t="s">
        <v>16</v>
      </c>
      <c r="G53" s="4" t="s">
        <v>42</v>
      </c>
      <c r="H53" s="4" t="s">
        <v>18</v>
      </c>
      <c r="I53" s="4" t="s">
        <v>19</v>
      </c>
      <c r="J53" s="3">
        <v>7</v>
      </c>
      <c r="K53" s="6">
        <v>96908</v>
      </c>
      <c r="L53" s="6">
        <f t="shared" si="2"/>
        <v>67835.599999999991</v>
      </c>
      <c r="M53" s="6">
        <v>29072.400000000009</v>
      </c>
      <c r="N53" s="5" t="str">
        <f t="shared" si="0"/>
        <v>Mar</v>
      </c>
      <c r="O53" s="5" t="str">
        <f t="shared" si="1"/>
        <v xml:space="preserve"> 2023</v>
      </c>
    </row>
    <row r="54" spans="1:15" x14ac:dyDescent="0.35">
      <c r="A54" t="s">
        <v>172</v>
      </c>
      <c r="B54" s="5" t="s">
        <v>173</v>
      </c>
      <c r="C54" s="4" t="s">
        <v>22</v>
      </c>
      <c r="D54" s="4" t="s">
        <v>90</v>
      </c>
      <c r="E54" s="4" t="s">
        <v>91</v>
      </c>
      <c r="F54" s="4" t="s">
        <v>37</v>
      </c>
      <c r="G54" s="4" t="s">
        <v>148</v>
      </c>
      <c r="H54" s="4" t="s">
        <v>27</v>
      </c>
      <c r="I54" s="4" t="s">
        <v>39</v>
      </c>
      <c r="J54" s="3">
        <v>8</v>
      </c>
      <c r="K54" s="6">
        <v>27400</v>
      </c>
      <c r="L54" s="6">
        <f t="shared" si="2"/>
        <v>19180</v>
      </c>
      <c r="M54" s="6">
        <v>8220</v>
      </c>
      <c r="N54" s="5" t="str">
        <f t="shared" si="0"/>
        <v>Mar</v>
      </c>
      <c r="O54" s="5" t="str">
        <f t="shared" si="1"/>
        <v xml:space="preserve"> 2023</v>
      </c>
    </row>
    <row r="55" spans="1:15" x14ac:dyDescent="0.35">
      <c r="A55" t="s">
        <v>174</v>
      </c>
      <c r="B55" s="5" t="s">
        <v>175</v>
      </c>
      <c r="C55" s="4" t="s">
        <v>22</v>
      </c>
      <c r="D55" s="4" t="s">
        <v>90</v>
      </c>
      <c r="E55" s="4" t="s">
        <v>110</v>
      </c>
      <c r="F55" s="4" t="s">
        <v>25</v>
      </c>
      <c r="G55" s="4" t="s">
        <v>77</v>
      </c>
      <c r="H55" s="4" t="s">
        <v>72</v>
      </c>
      <c r="I55" s="4" t="s">
        <v>39</v>
      </c>
      <c r="J55" s="3">
        <v>7</v>
      </c>
      <c r="K55" s="6">
        <v>110803</v>
      </c>
      <c r="L55" s="6">
        <f t="shared" si="2"/>
        <v>77562.099999999991</v>
      </c>
      <c r="M55" s="6">
        <v>33240.900000000009</v>
      </c>
      <c r="N55" s="5" t="str">
        <f t="shared" si="0"/>
        <v>Nov</v>
      </c>
      <c r="O55" s="5" t="str">
        <f t="shared" si="1"/>
        <v xml:space="preserve"> 2023</v>
      </c>
    </row>
    <row r="56" spans="1:15" x14ac:dyDescent="0.35">
      <c r="A56" t="s">
        <v>176</v>
      </c>
      <c r="B56" s="5" t="s">
        <v>177</v>
      </c>
      <c r="C56" s="4" t="s">
        <v>22</v>
      </c>
      <c r="D56" s="4" t="s">
        <v>90</v>
      </c>
      <c r="E56" s="4" t="s">
        <v>91</v>
      </c>
      <c r="F56" s="4" t="s">
        <v>67</v>
      </c>
      <c r="G56" s="4" t="s">
        <v>113</v>
      </c>
      <c r="H56" s="4" t="s">
        <v>72</v>
      </c>
      <c r="I56" s="4" t="s">
        <v>19</v>
      </c>
      <c r="J56" s="3">
        <v>2</v>
      </c>
      <c r="K56" s="6">
        <v>77128</v>
      </c>
      <c r="L56" s="6">
        <f t="shared" si="2"/>
        <v>53989.599999999999</v>
      </c>
      <c r="M56" s="6">
        <v>23138.400000000001</v>
      </c>
      <c r="N56" s="5" t="str">
        <f t="shared" si="0"/>
        <v>Sep</v>
      </c>
      <c r="O56" s="5" t="str">
        <f t="shared" si="1"/>
        <v xml:space="preserve"> 2023</v>
      </c>
    </row>
    <row r="57" spans="1:15" x14ac:dyDescent="0.35">
      <c r="A57" t="s">
        <v>178</v>
      </c>
      <c r="B57" s="5" t="s">
        <v>179</v>
      </c>
      <c r="C57" s="4" t="s">
        <v>22</v>
      </c>
      <c r="D57" s="4" t="s">
        <v>86</v>
      </c>
      <c r="E57" s="4" t="s">
        <v>87</v>
      </c>
      <c r="F57" s="4" t="s">
        <v>67</v>
      </c>
      <c r="G57" s="4" t="s">
        <v>180</v>
      </c>
      <c r="H57" s="4" t="s">
        <v>72</v>
      </c>
      <c r="I57" s="4" t="s">
        <v>47</v>
      </c>
      <c r="J57" s="3">
        <v>6</v>
      </c>
      <c r="K57" s="6">
        <v>184158</v>
      </c>
      <c r="L57" s="6">
        <f t="shared" si="2"/>
        <v>128910.59999999999</v>
      </c>
      <c r="M57" s="6">
        <v>55247.400000000009</v>
      </c>
      <c r="N57" s="5" t="str">
        <f t="shared" si="0"/>
        <v>Apr</v>
      </c>
      <c r="O57" s="5" t="str">
        <f t="shared" si="1"/>
        <v xml:space="preserve"> 2024</v>
      </c>
    </row>
    <row r="58" spans="1:15" x14ac:dyDescent="0.35">
      <c r="A58" t="s">
        <v>181</v>
      </c>
      <c r="B58" s="5" t="s">
        <v>182</v>
      </c>
      <c r="C58" s="4" t="s">
        <v>31</v>
      </c>
      <c r="D58" s="4" t="s">
        <v>50</v>
      </c>
      <c r="E58" s="4" t="s">
        <v>51</v>
      </c>
      <c r="F58" s="4" t="s">
        <v>37</v>
      </c>
      <c r="G58" s="4" t="s">
        <v>183</v>
      </c>
      <c r="H58" s="4" t="s">
        <v>72</v>
      </c>
      <c r="I58" s="4" t="s">
        <v>39</v>
      </c>
      <c r="J58" s="3">
        <v>1</v>
      </c>
      <c r="K58" s="6">
        <v>41197</v>
      </c>
      <c r="L58" s="6">
        <f t="shared" si="2"/>
        <v>28837.899999999998</v>
      </c>
      <c r="M58" s="6">
        <v>12359.100000000002</v>
      </c>
      <c r="N58" s="5" t="str">
        <f t="shared" si="0"/>
        <v>Apr</v>
      </c>
      <c r="O58" s="5" t="str">
        <f t="shared" si="1"/>
        <v xml:space="preserve"> 2023</v>
      </c>
    </row>
    <row r="59" spans="1:15" x14ac:dyDescent="0.35">
      <c r="A59" t="s">
        <v>184</v>
      </c>
      <c r="B59" s="5" t="s">
        <v>185</v>
      </c>
      <c r="C59" s="4" t="s">
        <v>55</v>
      </c>
      <c r="D59" s="4" t="s">
        <v>98</v>
      </c>
      <c r="E59" s="4" t="s">
        <v>99</v>
      </c>
      <c r="F59" s="4" t="s">
        <v>37</v>
      </c>
      <c r="G59" s="4" t="s">
        <v>186</v>
      </c>
      <c r="H59" s="4" t="s">
        <v>72</v>
      </c>
      <c r="I59" s="4" t="s">
        <v>39</v>
      </c>
      <c r="J59" s="3">
        <v>6</v>
      </c>
      <c r="K59" s="6">
        <v>298038</v>
      </c>
      <c r="L59" s="6">
        <f t="shared" si="2"/>
        <v>208626.59999999998</v>
      </c>
      <c r="M59" s="6">
        <v>89411.400000000023</v>
      </c>
      <c r="N59" s="5" t="str">
        <f t="shared" si="0"/>
        <v>Feb</v>
      </c>
      <c r="O59" s="5" t="str">
        <f t="shared" si="1"/>
        <v xml:space="preserve"> 2024</v>
      </c>
    </row>
    <row r="60" spans="1:15" x14ac:dyDescent="0.35">
      <c r="A60" t="s">
        <v>187</v>
      </c>
      <c r="B60" s="5" t="s">
        <v>188</v>
      </c>
      <c r="C60" s="4" t="s">
        <v>13</v>
      </c>
      <c r="D60" s="4" t="s">
        <v>118</v>
      </c>
      <c r="E60" s="4" t="s">
        <v>119</v>
      </c>
      <c r="F60" s="4" t="s">
        <v>67</v>
      </c>
      <c r="G60" s="4" t="s">
        <v>180</v>
      </c>
      <c r="H60" s="4" t="s">
        <v>18</v>
      </c>
      <c r="I60" s="4" t="s">
        <v>28</v>
      </c>
      <c r="J60" s="3">
        <v>8</v>
      </c>
      <c r="K60" s="6">
        <v>139280</v>
      </c>
      <c r="L60" s="6">
        <f t="shared" si="2"/>
        <v>97496</v>
      </c>
      <c r="M60" s="6">
        <v>41784</v>
      </c>
      <c r="N60" s="5" t="str">
        <f t="shared" si="0"/>
        <v>Oct</v>
      </c>
      <c r="O60" s="5" t="str">
        <f t="shared" si="1"/>
        <v xml:space="preserve"> 2024</v>
      </c>
    </row>
    <row r="61" spans="1:15" x14ac:dyDescent="0.35">
      <c r="A61" t="s">
        <v>189</v>
      </c>
      <c r="B61" s="5" t="s">
        <v>190</v>
      </c>
      <c r="C61" s="4" t="s">
        <v>13</v>
      </c>
      <c r="D61" s="4" t="s">
        <v>14</v>
      </c>
      <c r="E61" s="4" t="s">
        <v>15</v>
      </c>
      <c r="F61" s="4" t="s">
        <v>37</v>
      </c>
      <c r="G61" s="4" t="s">
        <v>186</v>
      </c>
      <c r="H61" s="4" t="s">
        <v>72</v>
      </c>
      <c r="I61" s="4" t="s">
        <v>19</v>
      </c>
      <c r="J61" s="3">
        <v>8</v>
      </c>
      <c r="K61" s="6">
        <v>43928</v>
      </c>
      <c r="L61" s="6">
        <f t="shared" si="2"/>
        <v>30749.599999999999</v>
      </c>
      <c r="M61" s="6">
        <v>13178.400000000001</v>
      </c>
      <c r="N61" s="5" t="str">
        <f t="shared" si="0"/>
        <v>Nov</v>
      </c>
      <c r="O61" s="5" t="str">
        <f t="shared" si="1"/>
        <v xml:space="preserve"> 2024</v>
      </c>
    </row>
    <row r="62" spans="1:15" x14ac:dyDescent="0.35">
      <c r="A62" t="s">
        <v>191</v>
      </c>
      <c r="B62" s="5" t="s">
        <v>192</v>
      </c>
      <c r="C62" s="4" t="s">
        <v>22</v>
      </c>
      <c r="D62" s="4" t="s">
        <v>90</v>
      </c>
      <c r="E62" s="4" t="s">
        <v>110</v>
      </c>
      <c r="F62" s="4" t="s">
        <v>16</v>
      </c>
      <c r="G62" s="4" t="s">
        <v>17</v>
      </c>
      <c r="H62" s="4" t="s">
        <v>27</v>
      </c>
      <c r="I62" s="4" t="s">
        <v>47</v>
      </c>
      <c r="J62" s="3">
        <v>2</v>
      </c>
      <c r="K62" s="6">
        <v>25058</v>
      </c>
      <c r="L62" s="6">
        <f t="shared" si="2"/>
        <v>17540.599999999999</v>
      </c>
      <c r="M62" s="6">
        <v>7517.4000000000015</v>
      </c>
      <c r="N62" s="5" t="str">
        <f t="shared" si="0"/>
        <v>Sep</v>
      </c>
      <c r="O62" s="5" t="str">
        <f t="shared" si="1"/>
        <v xml:space="preserve"> 2024</v>
      </c>
    </row>
    <row r="63" spans="1:15" x14ac:dyDescent="0.35">
      <c r="A63" t="s">
        <v>193</v>
      </c>
      <c r="B63" s="5" t="s">
        <v>112</v>
      </c>
      <c r="C63" s="4" t="s">
        <v>31</v>
      </c>
      <c r="D63" s="4" t="s">
        <v>104</v>
      </c>
      <c r="E63" s="4" t="s">
        <v>105</v>
      </c>
      <c r="F63" s="4" t="s">
        <v>37</v>
      </c>
      <c r="G63" s="4" t="s">
        <v>148</v>
      </c>
      <c r="H63" s="4" t="s">
        <v>27</v>
      </c>
      <c r="I63" s="4" t="s">
        <v>39</v>
      </c>
      <c r="J63" s="3">
        <v>5</v>
      </c>
      <c r="K63" s="6">
        <v>174960</v>
      </c>
      <c r="L63" s="6">
        <f t="shared" si="2"/>
        <v>122471.99999999999</v>
      </c>
      <c r="M63" s="6">
        <v>52488.000000000015</v>
      </c>
      <c r="N63" s="5" t="str">
        <f t="shared" si="0"/>
        <v>May</v>
      </c>
      <c r="O63" s="5" t="str">
        <f t="shared" si="1"/>
        <v xml:space="preserve"> 2023</v>
      </c>
    </row>
    <row r="64" spans="1:15" x14ac:dyDescent="0.35">
      <c r="A64" t="s">
        <v>194</v>
      </c>
      <c r="B64" s="5" t="s">
        <v>195</v>
      </c>
      <c r="C64" s="4" t="s">
        <v>22</v>
      </c>
      <c r="D64" s="4" t="s">
        <v>86</v>
      </c>
      <c r="E64" s="4" t="s">
        <v>87</v>
      </c>
      <c r="F64" s="4" t="s">
        <v>25</v>
      </c>
      <c r="G64" s="4" t="s">
        <v>52</v>
      </c>
      <c r="H64" s="4" t="s">
        <v>72</v>
      </c>
      <c r="I64" s="4" t="s">
        <v>19</v>
      </c>
      <c r="J64" s="3">
        <v>8</v>
      </c>
      <c r="K64" s="6">
        <v>226648</v>
      </c>
      <c r="L64" s="6">
        <f t="shared" si="2"/>
        <v>158653.59999999998</v>
      </c>
      <c r="M64" s="6">
        <v>67994.400000000023</v>
      </c>
      <c r="N64" s="5" t="str">
        <f t="shared" si="0"/>
        <v>Dec</v>
      </c>
      <c r="O64" s="5" t="str">
        <f t="shared" si="1"/>
        <v xml:space="preserve"> 2023</v>
      </c>
    </row>
    <row r="65" spans="1:15" x14ac:dyDescent="0.35">
      <c r="A65" t="s">
        <v>196</v>
      </c>
      <c r="B65" s="5" t="s">
        <v>197</v>
      </c>
      <c r="C65" s="4" t="s">
        <v>22</v>
      </c>
      <c r="D65" s="4" t="s">
        <v>86</v>
      </c>
      <c r="E65" s="4" t="s">
        <v>87</v>
      </c>
      <c r="F65" s="4" t="s">
        <v>25</v>
      </c>
      <c r="G65" s="4" t="s">
        <v>77</v>
      </c>
      <c r="H65" s="4" t="s">
        <v>27</v>
      </c>
      <c r="I65" s="4" t="s">
        <v>60</v>
      </c>
      <c r="J65" s="3">
        <v>6</v>
      </c>
      <c r="K65" s="6">
        <v>67638</v>
      </c>
      <c r="L65" s="6">
        <f t="shared" si="2"/>
        <v>47346.6</v>
      </c>
      <c r="M65" s="6">
        <v>20291.400000000001</v>
      </c>
      <c r="N65" s="5" t="str">
        <f t="shared" si="0"/>
        <v>Apr</v>
      </c>
      <c r="O65" s="5" t="str">
        <f t="shared" si="1"/>
        <v xml:space="preserve"> 2024</v>
      </c>
    </row>
    <row r="66" spans="1:15" x14ac:dyDescent="0.35">
      <c r="A66" t="s">
        <v>198</v>
      </c>
      <c r="B66" s="5" t="s">
        <v>199</v>
      </c>
      <c r="C66" s="4" t="s">
        <v>31</v>
      </c>
      <c r="D66" s="4" t="s">
        <v>50</v>
      </c>
      <c r="E66" s="4" t="s">
        <v>51</v>
      </c>
      <c r="F66" s="4" t="s">
        <v>37</v>
      </c>
      <c r="G66" s="4" t="s">
        <v>148</v>
      </c>
      <c r="H66" s="4" t="s">
        <v>18</v>
      </c>
      <c r="I66" s="4" t="s">
        <v>28</v>
      </c>
      <c r="J66" s="3">
        <v>1</v>
      </c>
      <c r="K66" s="6">
        <v>31720</v>
      </c>
      <c r="L66" s="6">
        <f t="shared" ref="L66:L129" si="3">K66*0.7</f>
        <v>22204</v>
      </c>
      <c r="M66" s="6">
        <v>9516</v>
      </c>
      <c r="N66" s="5" t="str">
        <f t="shared" ref="N66:N129" si="4">TEXT(B66,"mmm")</f>
        <v>Jul</v>
      </c>
      <c r="O66" s="5" t="str">
        <f t="shared" ref="O66:O129" si="5">TEXT(B66," yyyy")</f>
        <v xml:space="preserve"> 2023</v>
      </c>
    </row>
    <row r="67" spans="1:15" x14ac:dyDescent="0.35">
      <c r="A67" t="s">
        <v>200</v>
      </c>
      <c r="B67" s="5" t="s">
        <v>201</v>
      </c>
      <c r="C67" s="4" t="s">
        <v>55</v>
      </c>
      <c r="D67" s="4" t="s">
        <v>56</v>
      </c>
      <c r="E67" s="4" t="s">
        <v>57</v>
      </c>
      <c r="F67" s="4" t="s">
        <v>25</v>
      </c>
      <c r="G67" s="4" t="s">
        <v>77</v>
      </c>
      <c r="H67" s="4" t="s">
        <v>27</v>
      </c>
      <c r="I67" s="4" t="s">
        <v>60</v>
      </c>
      <c r="J67" s="3">
        <v>2</v>
      </c>
      <c r="K67" s="6">
        <v>33588</v>
      </c>
      <c r="L67" s="6">
        <f t="shared" si="3"/>
        <v>23511.599999999999</v>
      </c>
      <c r="M67" s="6">
        <v>10076.400000000001</v>
      </c>
      <c r="N67" s="5" t="str">
        <f t="shared" si="4"/>
        <v>Nov</v>
      </c>
      <c r="O67" s="5" t="str">
        <f t="shared" si="5"/>
        <v xml:space="preserve"> 2023</v>
      </c>
    </row>
    <row r="68" spans="1:15" x14ac:dyDescent="0.35">
      <c r="A68" t="s">
        <v>202</v>
      </c>
      <c r="B68" s="5" t="s">
        <v>203</v>
      </c>
      <c r="C68" s="4" t="s">
        <v>55</v>
      </c>
      <c r="D68" s="4" t="s">
        <v>56</v>
      </c>
      <c r="E68" s="4" t="s">
        <v>57</v>
      </c>
      <c r="F68" s="4" t="s">
        <v>25</v>
      </c>
      <c r="G68" s="4" t="s">
        <v>26</v>
      </c>
      <c r="H68" s="4" t="s">
        <v>18</v>
      </c>
      <c r="I68" s="4" t="s">
        <v>39</v>
      </c>
      <c r="J68" s="3">
        <v>6</v>
      </c>
      <c r="K68" s="6">
        <v>42726</v>
      </c>
      <c r="L68" s="6">
        <f t="shared" si="3"/>
        <v>29908.199999999997</v>
      </c>
      <c r="M68" s="6">
        <v>12817.800000000003</v>
      </c>
      <c r="N68" s="5" t="str">
        <f t="shared" si="4"/>
        <v>Oct</v>
      </c>
      <c r="O68" s="5" t="str">
        <f t="shared" si="5"/>
        <v xml:space="preserve"> 2023</v>
      </c>
    </row>
    <row r="69" spans="1:15" x14ac:dyDescent="0.35">
      <c r="A69" t="s">
        <v>204</v>
      </c>
      <c r="B69" s="5" t="s">
        <v>205</v>
      </c>
      <c r="C69" s="4" t="s">
        <v>22</v>
      </c>
      <c r="D69" s="4" t="s">
        <v>86</v>
      </c>
      <c r="E69" s="4" t="s">
        <v>87</v>
      </c>
      <c r="F69" s="4" t="s">
        <v>25</v>
      </c>
      <c r="G69" s="4" t="s">
        <v>71</v>
      </c>
      <c r="H69" s="4" t="s">
        <v>18</v>
      </c>
      <c r="I69" s="4" t="s">
        <v>28</v>
      </c>
      <c r="J69" s="3">
        <v>6</v>
      </c>
      <c r="K69" s="6">
        <v>26460</v>
      </c>
      <c r="L69" s="6">
        <f t="shared" si="3"/>
        <v>18522</v>
      </c>
      <c r="M69" s="6">
        <v>7938</v>
      </c>
      <c r="N69" s="5" t="str">
        <f t="shared" si="4"/>
        <v>Oct</v>
      </c>
      <c r="O69" s="5" t="str">
        <f t="shared" si="5"/>
        <v xml:space="preserve"> 2024</v>
      </c>
    </row>
    <row r="70" spans="1:15" x14ac:dyDescent="0.35">
      <c r="A70" t="s">
        <v>206</v>
      </c>
      <c r="B70" s="5" t="s">
        <v>207</v>
      </c>
      <c r="C70" s="4" t="s">
        <v>55</v>
      </c>
      <c r="D70" s="4" t="s">
        <v>98</v>
      </c>
      <c r="E70" s="4" t="s">
        <v>99</v>
      </c>
      <c r="F70" s="4" t="s">
        <v>25</v>
      </c>
      <c r="G70" s="4" t="s">
        <v>52</v>
      </c>
      <c r="H70" s="4" t="s">
        <v>27</v>
      </c>
      <c r="I70" s="4" t="s">
        <v>28</v>
      </c>
      <c r="J70" s="3">
        <v>9</v>
      </c>
      <c r="K70" s="6">
        <v>292869</v>
      </c>
      <c r="L70" s="6">
        <f t="shared" si="3"/>
        <v>205008.3</v>
      </c>
      <c r="M70" s="6">
        <v>87860.700000000012</v>
      </c>
      <c r="N70" s="5" t="str">
        <f t="shared" si="4"/>
        <v>Mar</v>
      </c>
      <c r="O70" s="5" t="str">
        <f t="shared" si="5"/>
        <v xml:space="preserve"> 2023</v>
      </c>
    </row>
    <row r="71" spans="1:15" x14ac:dyDescent="0.35">
      <c r="A71" t="s">
        <v>208</v>
      </c>
      <c r="B71" s="5" t="s">
        <v>209</v>
      </c>
      <c r="C71" s="4" t="s">
        <v>31</v>
      </c>
      <c r="D71" s="4" t="s">
        <v>45</v>
      </c>
      <c r="E71" s="4" t="s">
        <v>46</v>
      </c>
      <c r="F71" s="4" t="s">
        <v>37</v>
      </c>
      <c r="G71" s="4" t="s">
        <v>186</v>
      </c>
      <c r="H71" s="4" t="s">
        <v>72</v>
      </c>
      <c r="I71" s="4" t="s">
        <v>28</v>
      </c>
      <c r="J71" s="3">
        <v>2</v>
      </c>
      <c r="K71" s="6">
        <v>63510</v>
      </c>
      <c r="L71" s="6">
        <f t="shared" si="3"/>
        <v>44457</v>
      </c>
      <c r="M71" s="6">
        <v>19053</v>
      </c>
      <c r="N71" s="5" t="str">
        <f t="shared" si="4"/>
        <v>Oct</v>
      </c>
      <c r="O71" s="5" t="str">
        <f t="shared" si="5"/>
        <v xml:space="preserve"> 2024</v>
      </c>
    </row>
    <row r="72" spans="1:15" x14ac:dyDescent="0.35">
      <c r="A72" t="s">
        <v>210</v>
      </c>
      <c r="B72" s="5" t="s">
        <v>211</v>
      </c>
      <c r="C72" s="4" t="s">
        <v>22</v>
      </c>
      <c r="D72" s="4" t="s">
        <v>90</v>
      </c>
      <c r="E72" s="4" t="s">
        <v>91</v>
      </c>
      <c r="F72" s="4" t="s">
        <v>37</v>
      </c>
      <c r="G72" s="4" t="s">
        <v>148</v>
      </c>
      <c r="H72" s="4" t="s">
        <v>72</v>
      </c>
      <c r="I72" s="4" t="s">
        <v>39</v>
      </c>
      <c r="J72" s="3">
        <v>5</v>
      </c>
      <c r="K72" s="6">
        <v>169510</v>
      </c>
      <c r="L72" s="6">
        <f t="shared" si="3"/>
        <v>118656.99999999999</v>
      </c>
      <c r="M72" s="6">
        <v>50853.000000000015</v>
      </c>
      <c r="N72" s="5" t="str">
        <f t="shared" si="4"/>
        <v>Apr</v>
      </c>
      <c r="O72" s="5" t="str">
        <f t="shared" si="5"/>
        <v xml:space="preserve"> 2024</v>
      </c>
    </row>
    <row r="73" spans="1:15" x14ac:dyDescent="0.35">
      <c r="A73" t="s">
        <v>212</v>
      </c>
      <c r="B73" s="5" t="s">
        <v>213</v>
      </c>
      <c r="C73" s="4" t="s">
        <v>13</v>
      </c>
      <c r="D73" s="4" t="s">
        <v>14</v>
      </c>
      <c r="E73" s="4" t="s">
        <v>15</v>
      </c>
      <c r="F73" s="4" t="s">
        <v>25</v>
      </c>
      <c r="G73" s="4" t="s">
        <v>52</v>
      </c>
      <c r="H73" s="4" t="s">
        <v>72</v>
      </c>
      <c r="I73" s="4" t="s">
        <v>28</v>
      </c>
      <c r="J73" s="3">
        <v>5</v>
      </c>
      <c r="K73" s="6">
        <v>195915</v>
      </c>
      <c r="L73" s="6">
        <f t="shared" si="3"/>
        <v>137140.5</v>
      </c>
      <c r="M73" s="6">
        <v>58774.5</v>
      </c>
      <c r="N73" s="5" t="str">
        <f t="shared" si="4"/>
        <v>Jun</v>
      </c>
      <c r="O73" s="5" t="str">
        <f t="shared" si="5"/>
        <v xml:space="preserve"> 2024</v>
      </c>
    </row>
    <row r="74" spans="1:15" x14ac:dyDescent="0.35">
      <c r="A74" t="s">
        <v>214</v>
      </c>
      <c r="B74" s="5" t="s">
        <v>215</v>
      </c>
      <c r="C74" s="4" t="s">
        <v>13</v>
      </c>
      <c r="D74" s="4" t="s">
        <v>14</v>
      </c>
      <c r="E74" s="4" t="s">
        <v>15</v>
      </c>
      <c r="F74" s="4" t="s">
        <v>25</v>
      </c>
      <c r="G74" s="4" t="s">
        <v>26</v>
      </c>
      <c r="H74" s="4" t="s">
        <v>27</v>
      </c>
      <c r="I74" s="4" t="s">
        <v>47</v>
      </c>
      <c r="J74" s="3">
        <v>4</v>
      </c>
      <c r="K74" s="6">
        <v>176388</v>
      </c>
      <c r="L74" s="6">
        <f t="shared" si="3"/>
        <v>123471.59999999999</v>
      </c>
      <c r="M74" s="6">
        <v>52916.400000000009</v>
      </c>
      <c r="N74" s="5" t="str">
        <f t="shared" si="4"/>
        <v>Jun</v>
      </c>
      <c r="O74" s="5" t="str">
        <f t="shared" si="5"/>
        <v xml:space="preserve"> 2024</v>
      </c>
    </row>
    <row r="75" spans="1:15" x14ac:dyDescent="0.35">
      <c r="A75" t="s">
        <v>216</v>
      </c>
      <c r="B75" s="5" t="s">
        <v>217</v>
      </c>
      <c r="C75" s="4" t="s">
        <v>13</v>
      </c>
      <c r="D75" s="4" t="s">
        <v>118</v>
      </c>
      <c r="E75" s="4" t="s">
        <v>119</v>
      </c>
      <c r="F75" s="4" t="s">
        <v>16</v>
      </c>
      <c r="G75" s="4" t="s">
        <v>42</v>
      </c>
      <c r="H75" s="4" t="s">
        <v>18</v>
      </c>
      <c r="I75" s="4" t="s">
        <v>47</v>
      </c>
      <c r="J75" s="3">
        <v>9</v>
      </c>
      <c r="K75" s="6">
        <v>348462</v>
      </c>
      <c r="L75" s="6">
        <f t="shared" si="3"/>
        <v>243923.4</v>
      </c>
      <c r="M75" s="6">
        <v>104538.6</v>
      </c>
      <c r="N75" s="5" t="str">
        <f t="shared" si="4"/>
        <v>Mar</v>
      </c>
      <c r="O75" s="5" t="str">
        <f t="shared" si="5"/>
        <v xml:space="preserve"> 2024</v>
      </c>
    </row>
    <row r="76" spans="1:15" x14ac:dyDescent="0.35">
      <c r="A76" t="s">
        <v>218</v>
      </c>
      <c r="B76" s="5" t="s">
        <v>219</v>
      </c>
      <c r="C76" s="4" t="s">
        <v>13</v>
      </c>
      <c r="D76" s="4" t="s">
        <v>14</v>
      </c>
      <c r="E76" s="4" t="s">
        <v>15</v>
      </c>
      <c r="F76" s="4" t="s">
        <v>37</v>
      </c>
      <c r="G76" s="4" t="s">
        <v>38</v>
      </c>
      <c r="H76" s="4" t="s">
        <v>27</v>
      </c>
      <c r="I76" s="4" t="s">
        <v>19</v>
      </c>
      <c r="J76" s="3">
        <v>5</v>
      </c>
      <c r="K76" s="6">
        <v>125435</v>
      </c>
      <c r="L76" s="6">
        <f t="shared" si="3"/>
        <v>87804.5</v>
      </c>
      <c r="M76" s="6">
        <v>37630.5</v>
      </c>
      <c r="N76" s="5" t="str">
        <f t="shared" si="4"/>
        <v>Jan</v>
      </c>
      <c r="O76" s="5" t="str">
        <f t="shared" si="5"/>
        <v xml:space="preserve"> 2023</v>
      </c>
    </row>
    <row r="77" spans="1:15" x14ac:dyDescent="0.35">
      <c r="A77" t="s">
        <v>220</v>
      </c>
      <c r="B77" s="5" t="s">
        <v>221</v>
      </c>
      <c r="C77" s="4" t="s">
        <v>22</v>
      </c>
      <c r="D77" s="4" t="s">
        <v>90</v>
      </c>
      <c r="E77" s="4" t="s">
        <v>91</v>
      </c>
      <c r="F77" s="4" t="s">
        <v>67</v>
      </c>
      <c r="G77" s="4" t="s">
        <v>113</v>
      </c>
      <c r="H77" s="4" t="s">
        <v>27</v>
      </c>
      <c r="I77" s="4" t="s">
        <v>47</v>
      </c>
      <c r="J77" s="3">
        <v>5</v>
      </c>
      <c r="K77" s="6">
        <v>100960</v>
      </c>
      <c r="L77" s="6">
        <f t="shared" si="3"/>
        <v>70672</v>
      </c>
      <c r="M77" s="6">
        <v>30288</v>
      </c>
      <c r="N77" s="5" t="str">
        <f t="shared" si="4"/>
        <v>Apr</v>
      </c>
      <c r="O77" s="5" t="str">
        <f t="shared" si="5"/>
        <v xml:space="preserve"> 2024</v>
      </c>
    </row>
    <row r="78" spans="1:15" x14ac:dyDescent="0.35">
      <c r="A78" t="s">
        <v>222</v>
      </c>
      <c r="B78" s="5" t="s">
        <v>223</v>
      </c>
      <c r="C78" s="4" t="s">
        <v>13</v>
      </c>
      <c r="D78" s="4" t="s">
        <v>14</v>
      </c>
      <c r="E78" s="4" t="s">
        <v>15</v>
      </c>
      <c r="F78" s="4" t="s">
        <v>25</v>
      </c>
      <c r="G78" s="4" t="s">
        <v>52</v>
      </c>
      <c r="H78" s="4" t="s">
        <v>18</v>
      </c>
      <c r="I78" s="4" t="s">
        <v>19</v>
      </c>
      <c r="J78" s="3">
        <v>4</v>
      </c>
      <c r="K78" s="6">
        <v>157492</v>
      </c>
      <c r="L78" s="6">
        <f t="shared" si="3"/>
        <v>110244.4</v>
      </c>
      <c r="M78" s="6">
        <v>47247.600000000006</v>
      </c>
      <c r="N78" s="5" t="str">
        <f t="shared" si="4"/>
        <v>Nov</v>
      </c>
      <c r="O78" s="5" t="str">
        <f t="shared" si="5"/>
        <v xml:space="preserve"> 2024</v>
      </c>
    </row>
    <row r="79" spans="1:15" x14ac:dyDescent="0.35">
      <c r="A79" t="s">
        <v>224</v>
      </c>
      <c r="B79" s="5" t="s">
        <v>225</v>
      </c>
      <c r="C79" s="4" t="s">
        <v>22</v>
      </c>
      <c r="D79" s="4" t="s">
        <v>90</v>
      </c>
      <c r="E79" s="4" t="s">
        <v>110</v>
      </c>
      <c r="F79" s="4" t="s">
        <v>37</v>
      </c>
      <c r="G79" s="4" t="s">
        <v>186</v>
      </c>
      <c r="H79" s="4" t="s">
        <v>18</v>
      </c>
      <c r="I79" s="4" t="s">
        <v>28</v>
      </c>
      <c r="J79" s="3">
        <v>8</v>
      </c>
      <c r="K79" s="6">
        <v>234872</v>
      </c>
      <c r="L79" s="6">
        <f t="shared" si="3"/>
        <v>164410.4</v>
      </c>
      <c r="M79" s="6">
        <v>70461.600000000006</v>
      </c>
      <c r="N79" s="5" t="str">
        <f t="shared" si="4"/>
        <v>Feb</v>
      </c>
      <c r="O79" s="5" t="str">
        <f t="shared" si="5"/>
        <v xml:space="preserve"> 2024</v>
      </c>
    </row>
    <row r="80" spans="1:15" x14ac:dyDescent="0.35">
      <c r="A80" t="s">
        <v>226</v>
      </c>
      <c r="B80" s="5" t="s">
        <v>227</v>
      </c>
      <c r="C80" s="4" t="s">
        <v>55</v>
      </c>
      <c r="D80" s="4" t="s">
        <v>82</v>
      </c>
      <c r="E80" s="4" t="s">
        <v>83</v>
      </c>
      <c r="F80" s="4" t="s">
        <v>37</v>
      </c>
      <c r="G80" s="4" t="s">
        <v>186</v>
      </c>
      <c r="H80" s="4" t="s">
        <v>72</v>
      </c>
      <c r="I80" s="4" t="s">
        <v>47</v>
      </c>
      <c r="J80" s="3">
        <v>5</v>
      </c>
      <c r="K80" s="6">
        <v>112665</v>
      </c>
      <c r="L80" s="6">
        <f t="shared" si="3"/>
        <v>78865.5</v>
      </c>
      <c r="M80" s="6">
        <v>33799.5</v>
      </c>
      <c r="N80" s="5" t="str">
        <f t="shared" si="4"/>
        <v>May</v>
      </c>
      <c r="O80" s="5" t="str">
        <f t="shared" si="5"/>
        <v xml:space="preserve"> 2024</v>
      </c>
    </row>
    <row r="81" spans="1:15" x14ac:dyDescent="0.35">
      <c r="A81" t="s">
        <v>228</v>
      </c>
      <c r="B81" s="5" t="s">
        <v>229</v>
      </c>
      <c r="C81" s="4" t="s">
        <v>22</v>
      </c>
      <c r="D81" s="4" t="s">
        <v>90</v>
      </c>
      <c r="E81" s="4" t="s">
        <v>110</v>
      </c>
      <c r="F81" s="4" t="s">
        <v>37</v>
      </c>
      <c r="G81" s="4" t="s">
        <v>186</v>
      </c>
      <c r="H81" s="4" t="s">
        <v>72</v>
      </c>
      <c r="I81" s="4" t="s">
        <v>39</v>
      </c>
      <c r="J81" s="3">
        <v>8</v>
      </c>
      <c r="K81" s="6">
        <v>248320</v>
      </c>
      <c r="L81" s="6">
        <f t="shared" si="3"/>
        <v>173824</v>
      </c>
      <c r="M81" s="6">
        <v>74496</v>
      </c>
      <c r="N81" s="5" t="str">
        <f t="shared" si="4"/>
        <v>Aug</v>
      </c>
      <c r="O81" s="5" t="str">
        <f t="shared" si="5"/>
        <v xml:space="preserve"> 2023</v>
      </c>
    </row>
    <row r="82" spans="1:15" x14ac:dyDescent="0.35">
      <c r="A82" t="s">
        <v>230</v>
      </c>
      <c r="B82" s="5" t="s">
        <v>179</v>
      </c>
      <c r="C82" s="4" t="s">
        <v>31</v>
      </c>
      <c r="D82" s="4" t="s">
        <v>45</v>
      </c>
      <c r="E82" s="4" t="s">
        <v>46</v>
      </c>
      <c r="F82" s="4" t="s">
        <v>67</v>
      </c>
      <c r="G82" s="4" t="s">
        <v>180</v>
      </c>
      <c r="H82" s="4" t="s">
        <v>72</v>
      </c>
      <c r="I82" s="4" t="s">
        <v>19</v>
      </c>
      <c r="J82" s="3">
        <v>9</v>
      </c>
      <c r="K82" s="6">
        <v>196695</v>
      </c>
      <c r="L82" s="6">
        <f t="shared" si="3"/>
        <v>137686.5</v>
      </c>
      <c r="M82" s="6">
        <v>59008.5</v>
      </c>
      <c r="N82" s="5" t="str">
        <f t="shared" si="4"/>
        <v>Apr</v>
      </c>
      <c r="O82" s="5" t="str">
        <f t="shared" si="5"/>
        <v xml:space="preserve"> 2024</v>
      </c>
    </row>
    <row r="83" spans="1:15" x14ac:dyDescent="0.35">
      <c r="A83" t="s">
        <v>231</v>
      </c>
      <c r="B83" s="5" t="s">
        <v>232</v>
      </c>
      <c r="C83" s="4" t="s">
        <v>13</v>
      </c>
      <c r="D83" s="4" t="s">
        <v>14</v>
      </c>
      <c r="E83" s="4" t="s">
        <v>15</v>
      </c>
      <c r="F83" s="4" t="s">
        <v>37</v>
      </c>
      <c r="G83" s="4" t="s">
        <v>186</v>
      </c>
      <c r="H83" s="4" t="s">
        <v>18</v>
      </c>
      <c r="I83" s="4" t="s">
        <v>19</v>
      </c>
      <c r="J83" s="3">
        <v>6</v>
      </c>
      <c r="K83" s="6">
        <v>123666</v>
      </c>
      <c r="L83" s="6">
        <f t="shared" si="3"/>
        <v>86566.2</v>
      </c>
      <c r="M83" s="6">
        <v>37099.800000000003</v>
      </c>
      <c r="N83" s="5" t="str">
        <f t="shared" si="4"/>
        <v>May</v>
      </c>
      <c r="O83" s="5" t="str">
        <f t="shared" si="5"/>
        <v xml:space="preserve"> 2024</v>
      </c>
    </row>
    <row r="84" spans="1:15" x14ac:dyDescent="0.35">
      <c r="A84" t="s">
        <v>233</v>
      </c>
      <c r="B84" s="5" t="s">
        <v>234</v>
      </c>
      <c r="C84" s="4" t="s">
        <v>13</v>
      </c>
      <c r="D84" s="4" t="s">
        <v>125</v>
      </c>
      <c r="E84" s="4" t="s">
        <v>126</v>
      </c>
      <c r="F84" s="4" t="s">
        <v>67</v>
      </c>
      <c r="G84" s="4" t="s">
        <v>113</v>
      </c>
      <c r="H84" s="4" t="s">
        <v>72</v>
      </c>
      <c r="I84" s="4" t="s">
        <v>28</v>
      </c>
      <c r="J84" s="3">
        <v>4</v>
      </c>
      <c r="K84" s="6">
        <v>60856</v>
      </c>
      <c r="L84" s="6">
        <f t="shared" si="3"/>
        <v>42599.199999999997</v>
      </c>
      <c r="M84" s="6">
        <v>18256.800000000003</v>
      </c>
      <c r="N84" s="5" t="str">
        <f t="shared" si="4"/>
        <v>May</v>
      </c>
      <c r="O84" s="5" t="str">
        <f t="shared" si="5"/>
        <v xml:space="preserve"> 2024</v>
      </c>
    </row>
    <row r="85" spans="1:15" x14ac:dyDescent="0.35">
      <c r="A85" t="s">
        <v>235</v>
      </c>
      <c r="B85" s="5" t="s">
        <v>236</v>
      </c>
      <c r="C85" s="4" t="s">
        <v>22</v>
      </c>
      <c r="D85" s="4" t="s">
        <v>90</v>
      </c>
      <c r="E85" s="4" t="s">
        <v>91</v>
      </c>
      <c r="F85" s="4" t="s">
        <v>16</v>
      </c>
      <c r="G85" s="4" t="s">
        <v>42</v>
      </c>
      <c r="H85" s="4" t="s">
        <v>18</v>
      </c>
      <c r="I85" s="4" t="s">
        <v>60</v>
      </c>
      <c r="J85" s="3">
        <v>5</v>
      </c>
      <c r="K85" s="6">
        <v>85425</v>
      </c>
      <c r="L85" s="6">
        <f t="shared" si="3"/>
        <v>59797.499999999993</v>
      </c>
      <c r="M85" s="6">
        <v>25627.500000000007</v>
      </c>
      <c r="N85" s="5" t="str">
        <f t="shared" si="4"/>
        <v>Jul</v>
      </c>
      <c r="O85" s="5" t="str">
        <f t="shared" si="5"/>
        <v xml:space="preserve"> 2023</v>
      </c>
    </row>
    <row r="86" spans="1:15" x14ac:dyDescent="0.35">
      <c r="A86" t="s">
        <v>237</v>
      </c>
      <c r="B86" s="5" t="s">
        <v>238</v>
      </c>
      <c r="C86" s="4" t="s">
        <v>31</v>
      </c>
      <c r="D86" s="4" t="s">
        <v>45</v>
      </c>
      <c r="E86" s="4" t="s">
        <v>46</v>
      </c>
      <c r="F86" s="4" t="s">
        <v>25</v>
      </c>
      <c r="G86" s="4" t="s">
        <v>26</v>
      </c>
      <c r="H86" s="4" t="s">
        <v>72</v>
      </c>
      <c r="I86" s="4" t="s">
        <v>60</v>
      </c>
      <c r="J86" s="3">
        <v>1</v>
      </c>
      <c r="K86" s="6">
        <v>34612</v>
      </c>
      <c r="L86" s="6">
        <f t="shared" si="3"/>
        <v>24228.399999999998</v>
      </c>
      <c r="M86" s="6">
        <v>10383.600000000002</v>
      </c>
      <c r="N86" s="5" t="str">
        <f t="shared" si="4"/>
        <v>Sep</v>
      </c>
      <c r="O86" s="5" t="str">
        <f t="shared" si="5"/>
        <v xml:space="preserve"> 2023</v>
      </c>
    </row>
    <row r="87" spans="1:15" x14ac:dyDescent="0.35">
      <c r="A87" t="s">
        <v>239</v>
      </c>
      <c r="B87" s="5" t="s">
        <v>85</v>
      </c>
      <c r="C87" s="4" t="s">
        <v>13</v>
      </c>
      <c r="D87" s="4" t="s">
        <v>118</v>
      </c>
      <c r="E87" s="4" t="s">
        <v>119</v>
      </c>
      <c r="F87" s="4" t="s">
        <v>16</v>
      </c>
      <c r="G87" s="4" t="s">
        <v>122</v>
      </c>
      <c r="H87" s="4" t="s">
        <v>18</v>
      </c>
      <c r="I87" s="4" t="s">
        <v>39</v>
      </c>
      <c r="J87" s="3">
        <v>1</v>
      </c>
      <c r="K87" s="6">
        <v>24926</v>
      </c>
      <c r="L87" s="6">
        <f t="shared" si="3"/>
        <v>17448.199999999997</v>
      </c>
      <c r="M87" s="6">
        <v>7477.8000000000029</v>
      </c>
      <c r="N87" s="5" t="str">
        <f t="shared" si="4"/>
        <v>Nov</v>
      </c>
      <c r="O87" s="5" t="str">
        <f t="shared" si="5"/>
        <v xml:space="preserve"> 2023</v>
      </c>
    </row>
    <row r="88" spans="1:15" x14ac:dyDescent="0.35">
      <c r="A88" t="s">
        <v>240</v>
      </c>
      <c r="B88" s="5" t="s">
        <v>241</v>
      </c>
      <c r="C88" s="4" t="s">
        <v>22</v>
      </c>
      <c r="D88" s="4" t="s">
        <v>23</v>
      </c>
      <c r="E88" s="4" t="s">
        <v>24</v>
      </c>
      <c r="F88" s="4" t="s">
        <v>37</v>
      </c>
      <c r="G88" s="4" t="s">
        <v>186</v>
      </c>
      <c r="H88" s="4" t="s">
        <v>27</v>
      </c>
      <c r="I88" s="4" t="s">
        <v>28</v>
      </c>
      <c r="J88" s="3">
        <v>1</v>
      </c>
      <c r="K88" s="6">
        <v>15196</v>
      </c>
      <c r="L88" s="6">
        <f t="shared" si="3"/>
        <v>10637.199999999999</v>
      </c>
      <c r="M88" s="6">
        <v>4558.8000000000011</v>
      </c>
      <c r="N88" s="5" t="str">
        <f t="shared" si="4"/>
        <v>Aug</v>
      </c>
      <c r="O88" s="5" t="str">
        <f t="shared" si="5"/>
        <v xml:space="preserve"> 2023</v>
      </c>
    </row>
    <row r="89" spans="1:15" x14ac:dyDescent="0.35">
      <c r="A89" t="s">
        <v>242</v>
      </c>
      <c r="B89" s="5" t="s">
        <v>243</v>
      </c>
      <c r="C89" s="4" t="s">
        <v>22</v>
      </c>
      <c r="D89" s="4" t="s">
        <v>23</v>
      </c>
      <c r="E89" s="4" t="s">
        <v>24</v>
      </c>
      <c r="F89" s="4" t="s">
        <v>37</v>
      </c>
      <c r="G89" s="4" t="s">
        <v>183</v>
      </c>
      <c r="H89" s="4" t="s">
        <v>27</v>
      </c>
      <c r="I89" s="4" t="s">
        <v>19</v>
      </c>
      <c r="J89" s="3">
        <v>9</v>
      </c>
      <c r="K89" s="6">
        <v>50409</v>
      </c>
      <c r="L89" s="6">
        <f t="shared" si="3"/>
        <v>35286.299999999996</v>
      </c>
      <c r="M89" s="6">
        <v>15122.700000000004</v>
      </c>
      <c r="N89" s="5" t="str">
        <f t="shared" si="4"/>
        <v>Jan</v>
      </c>
      <c r="O89" s="5" t="str">
        <f t="shared" si="5"/>
        <v xml:space="preserve"> 2024</v>
      </c>
    </row>
    <row r="90" spans="1:15" x14ac:dyDescent="0.35">
      <c r="A90" t="s">
        <v>244</v>
      </c>
      <c r="B90" s="5" t="s">
        <v>229</v>
      </c>
      <c r="C90" s="4" t="s">
        <v>31</v>
      </c>
      <c r="D90" s="4" t="s">
        <v>32</v>
      </c>
      <c r="E90" s="4" t="s">
        <v>33</v>
      </c>
      <c r="F90" s="4" t="s">
        <v>37</v>
      </c>
      <c r="G90" s="4" t="s">
        <v>183</v>
      </c>
      <c r="H90" s="4" t="s">
        <v>18</v>
      </c>
      <c r="I90" s="4" t="s">
        <v>47</v>
      </c>
      <c r="J90" s="3">
        <v>1</v>
      </c>
      <c r="K90" s="6">
        <v>29978</v>
      </c>
      <c r="L90" s="6">
        <f t="shared" si="3"/>
        <v>20984.6</v>
      </c>
      <c r="M90" s="6">
        <v>8993.4000000000015</v>
      </c>
      <c r="N90" s="5" t="str">
        <f t="shared" si="4"/>
        <v>Aug</v>
      </c>
      <c r="O90" s="5" t="str">
        <f t="shared" si="5"/>
        <v xml:space="preserve"> 2023</v>
      </c>
    </row>
    <row r="91" spans="1:15" x14ac:dyDescent="0.35">
      <c r="A91" t="s">
        <v>245</v>
      </c>
      <c r="B91" s="5" t="s">
        <v>246</v>
      </c>
      <c r="C91" s="4" t="s">
        <v>22</v>
      </c>
      <c r="D91" s="4" t="s">
        <v>90</v>
      </c>
      <c r="E91" s="4" t="s">
        <v>91</v>
      </c>
      <c r="F91" s="4" t="s">
        <v>16</v>
      </c>
      <c r="G91" s="4" t="s">
        <v>34</v>
      </c>
      <c r="H91" s="4" t="s">
        <v>18</v>
      </c>
      <c r="I91" s="4" t="s">
        <v>39</v>
      </c>
      <c r="J91" s="3">
        <v>1</v>
      </c>
      <c r="K91" s="6">
        <v>8919</v>
      </c>
      <c r="L91" s="6">
        <f t="shared" si="3"/>
        <v>6243.2999999999993</v>
      </c>
      <c r="M91" s="6">
        <v>2675.7000000000007</v>
      </c>
      <c r="N91" s="5" t="str">
        <f t="shared" si="4"/>
        <v>Oct</v>
      </c>
      <c r="O91" s="5" t="str">
        <f t="shared" si="5"/>
        <v xml:space="preserve"> 2023</v>
      </c>
    </row>
    <row r="92" spans="1:15" x14ac:dyDescent="0.35">
      <c r="A92" t="s">
        <v>247</v>
      </c>
      <c r="B92" s="5" t="s">
        <v>248</v>
      </c>
      <c r="C92" s="4" t="s">
        <v>31</v>
      </c>
      <c r="D92" s="4" t="s">
        <v>45</v>
      </c>
      <c r="E92" s="4" t="s">
        <v>46</v>
      </c>
      <c r="F92" s="4" t="s">
        <v>16</v>
      </c>
      <c r="G92" s="4" t="s">
        <v>17</v>
      </c>
      <c r="H92" s="4" t="s">
        <v>18</v>
      </c>
      <c r="I92" s="4" t="s">
        <v>39</v>
      </c>
      <c r="J92" s="3">
        <v>3</v>
      </c>
      <c r="K92" s="6">
        <v>147123</v>
      </c>
      <c r="L92" s="6">
        <f t="shared" si="3"/>
        <v>102986.09999999999</v>
      </c>
      <c r="M92" s="6">
        <v>44136.900000000009</v>
      </c>
      <c r="N92" s="5" t="str">
        <f t="shared" si="4"/>
        <v>Jun</v>
      </c>
      <c r="O92" s="5" t="str">
        <f t="shared" si="5"/>
        <v xml:space="preserve"> 2024</v>
      </c>
    </row>
    <row r="93" spans="1:15" x14ac:dyDescent="0.35">
      <c r="A93" t="s">
        <v>249</v>
      </c>
      <c r="B93" s="5" t="s">
        <v>234</v>
      </c>
      <c r="C93" s="4" t="s">
        <v>22</v>
      </c>
      <c r="D93" s="4" t="s">
        <v>86</v>
      </c>
      <c r="E93" s="4" t="s">
        <v>87</v>
      </c>
      <c r="F93" s="4" t="s">
        <v>67</v>
      </c>
      <c r="G93" s="4" t="s">
        <v>134</v>
      </c>
      <c r="H93" s="4" t="s">
        <v>18</v>
      </c>
      <c r="I93" s="4" t="s">
        <v>19</v>
      </c>
      <c r="J93" s="3">
        <v>3</v>
      </c>
      <c r="K93" s="6">
        <v>60960</v>
      </c>
      <c r="L93" s="6">
        <f t="shared" si="3"/>
        <v>42672</v>
      </c>
      <c r="M93" s="6">
        <v>18288</v>
      </c>
      <c r="N93" s="5" t="str">
        <f t="shared" si="4"/>
        <v>May</v>
      </c>
      <c r="O93" s="5" t="str">
        <f t="shared" si="5"/>
        <v xml:space="preserve"> 2024</v>
      </c>
    </row>
    <row r="94" spans="1:15" x14ac:dyDescent="0.35">
      <c r="A94" t="s">
        <v>250</v>
      </c>
      <c r="B94" s="5" t="s">
        <v>251</v>
      </c>
      <c r="C94" s="4" t="s">
        <v>31</v>
      </c>
      <c r="D94" s="4" t="s">
        <v>104</v>
      </c>
      <c r="E94" s="4" t="s">
        <v>105</v>
      </c>
      <c r="F94" s="4" t="s">
        <v>37</v>
      </c>
      <c r="G94" s="4" t="s">
        <v>148</v>
      </c>
      <c r="H94" s="4" t="s">
        <v>27</v>
      </c>
      <c r="I94" s="4" t="s">
        <v>47</v>
      </c>
      <c r="J94" s="3">
        <v>2</v>
      </c>
      <c r="K94" s="6">
        <v>65666</v>
      </c>
      <c r="L94" s="6">
        <f t="shared" si="3"/>
        <v>45966.2</v>
      </c>
      <c r="M94" s="6">
        <v>19699.800000000003</v>
      </c>
      <c r="N94" s="5" t="str">
        <f t="shared" si="4"/>
        <v>Sep</v>
      </c>
      <c r="O94" s="5" t="str">
        <f t="shared" si="5"/>
        <v xml:space="preserve"> 2024</v>
      </c>
    </row>
    <row r="95" spans="1:15" x14ac:dyDescent="0.35">
      <c r="A95" t="s">
        <v>252</v>
      </c>
      <c r="B95" s="5" t="s">
        <v>253</v>
      </c>
      <c r="C95" s="4" t="s">
        <v>31</v>
      </c>
      <c r="D95" s="4" t="s">
        <v>50</v>
      </c>
      <c r="E95" s="4" t="s">
        <v>51</v>
      </c>
      <c r="F95" s="4" t="s">
        <v>37</v>
      </c>
      <c r="G95" s="4" t="s">
        <v>148</v>
      </c>
      <c r="H95" s="4" t="s">
        <v>72</v>
      </c>
      <c r="I95" s="4" t="s">
        <v>19</v>
      </c>
      <c r="J95" s="3">
        <v>9</v>
      </c>
      <c r="K95" s="6">
        <v>378504</v>
      </c>
      <c r="L95" s="6">
        <f t="shared" si="3"/>
        <v>264952.8</v>
      </c>
      <c r="M95" s="6">
        <v>113551.20000000001</v>
      </c>
      <c r="N95" s="5" t="str">
        <f t="shared" si="4"/>
        <v>Sep</v>
      </c>
      <c r="O95" s="5" t="str">
        <f t="shared" si="5"/>
        <v xml:space="preserve"> 2024</v>
      </c>
    </row>
    <row r="96" spans="1:15" x14ac:dyDescent="0.35">
      <c r="A96" t="s">
        <v>254</v>
      </c>
      <c r="B96" s="5" t="s">
        <v>255</v>
      </c>
      <c r="C96" s="4" t="s">
        <v>55</v>
      </c>
      <c r="D96" s="4" t="s">
        <v>56</v>
      </c>
      <c r="E96" s="4" t="s">
        <v>57</v>
      </c>
      <c r="F96" s="4" t="s">
        <v>16</v>
      </c>
      <c r="G96" s="4" t="s">
        <v>17</v>
      </c>
      <c r="H96" s="4" t="s">
        <v>72</v>
      </c>
      <c r="I96" s="4" t="s">
        <v>39</v>
      </c>
      <c r="J96" s="3">
        <v>4</v>
      </c>
      <c r="K96" s="6">
        <v>162560</v>
      </c>
      <c r="L96" s="6">
        <f t="shared" si="3"/>
        <v>113792</v>
      </c>
      <c r="M96" s="6">
        <v>48768</v>
      </c>
      <c r="N96" s="5" t="str">
        <f t="shared" si="4"/>
        <v>Nov</v>
      </c>
      <c r="O96" s="5" t="str">
        <f t="shared" si="5"/>
        <v xml:space="preserve"> 2023</v>
      </c>
    </row>
    <row r="97" spans="1:15" x14ac:dyDescent="0.35">
      <c r="A97" t="s">
        <v>256</v>
      </c>
      <c r="B97" s="5" t="s">
        <v>257</v>
      </c>
      <c r="C97" s="4" t="s">
        <v>31</v>
      </c>
      <c r="D97" s="4" t="s">
        <v>50</v>
      </c>
      <c r="E97" s="4" t="s">
        <v>51</v>
      </c>
      <c r="F97" s="4" t="s">
        <v>37</v>
      </c>
      <c r="G97" s="4" t="s">
        <v>183</v>
      </c>
      <c r="H97" s="4" t="s">
        <v>27</v>
      </c>
      <c r="I97" s="4" t="s">
        <v>19</v>
      </c>
      <c r="J97" s="3">
        <v>3</v>
      </c>
      <c r="K97" s="6">
        <v>115191</v>
      </c>
      <c r="L97" s="6">
        <f t="shared" si="3"/>
        <v>80633.7</v>
      </c>
      <c r="M97" s="6">
        <v>34557.300000000003</v>
      </c>
      <c r="N97" s="5" t="str">
        <f t="shared" si="4"/>
        <v>Nov</v>
      </c>
      <c r="O97" s="5" t="str">
        <f t="shared" si="5"/>
        <v xml:space="preserve"> 2024</v>
      </c>
    </row>
    <row r="98" spans="1:15" x14ac:dyDescent="0.35">
      <c r="A98" t="s">
        <v>258</v>
      </c>
      <c r="B98" s="5" t="s">
        <v>175</v>
      </c>
      <c r="C98" s="4" t="s">
        <v>22</v>
      </c>
      <c r="D98" s="4" t="s">
        <v>86</v>
      </c>
      <c r="E98" s="4" t="s">
        <v>87</v>
      </c>
      <c r="F98" s="4" t="s">
        <v>25</v>
      </c>
      <c r="G98" s="4" t="s">
        <v>26</v>
      </c>
      <c r="H98" s="4" t="s">
        <v>72</v>
      </c>
      <c r="I98" s="4" t="s">
        <v>39</v>
      </c>
      <c r="J98" s="3">
        <v>6</v>
      </c>
      <c r="K98" s="6">
        <v>57066</v>
      </c>
      <c r="L98" s="6">
        <f t="shared" si="3"/>
        <v>39946.199999999997</v>
      </c>
      <c r="M98" s="6">
        <v>17119.800000000003</v>
      </c>
      <c r="N98" s="5" t="str">
        <f t="shared" si="4"/>
        <v>Nov</v>
      </c>
      <c r="O98" s="5" t="str">
        <f t="shared" si="5"/>
        <v xml:space="preserve"> 2023</v>
      </c>
    </row>
    <row r="99" spans="1:15" x14ac:dyDescent="0.35">
      <c r="A99" t="s">
        <v>259</v>
      </c>
      <c r="B99" s="5" t="s">
        <v>260</v>
      </c>
      <c r="C99" s="4" t="s">
        <v>55</v>
      </c>
      <c r="D99" s="4" t="s">
        <v>56</v>
      </c>
      <c r="E99" s="4" t="s">
        <v>57</v>
      </c>
      <c r="F99" s="4" t="s">
        <v>67</v>
      </c>
      <c r="G99" s="4" t="s">
        <v>113</v>
      </c>
      <c r="H99" s="4" t="s">
        <v>72</v>
      </c>
      <c r="I99" s="4" t="s">
        <v>39</v>
      </c>
      <c r="J99" s="3">
        <v>10</v>
      </c>
      <c r="K99" s="6">
        <v>63970</v>
      </c>
      <c r="L99" s="6">
        <f t="shared" si="3"/>
        <v>44779</v>
      </c>
      <c r="M99" s="6">
        <v>19191</v>
      </c>
      <c r="N99" s="5" t="str">
        <f t="shared" si="4"/>
        <v>Jan</v>
      </c>
      <c r="O99" s="5" t="str">
        <f t="shared" si="5"/>
        <v xml:space="preserve"> 2023</v>
      </c>
    </row>
    <row r="100" spans="1:15" x14ac:dyDescent="0.35">
      <c r="A100" t="s">
        <v>261</v>
      </c>
      <c r="B100" s="5" t="s">
        <v>262</v>
      </c>
      <c r="C100" s="4" t="s">
        <v>55</v>
      </c>
      <c r="D100" s="4" t="s">
        <v>98</v>
      </c>
      <c r="E100" s="4" t="s">
        <v>99</v>
      </c>
      <c r="F100" s="4" t="s">
        <v>37</v>
      </c>
      <c r="G100" s="4" t="s">
        <v>38</v>
      </c>
      <c r="H100" s="4" t="s">
        <v>27</v>
      </c>
      <c r="I100" s="4" t="s">
        <v>60</v>
      </c>
      <c r="J100" s="3">
        <v>3</v>
      </c>
      <c r="K100" s="6">
        <v>66519</v>
      </c>
      <c r="L100" s="6">
        <f t="shared" si="3"/>
        <v>46563.299999999996</v>
      </c>
      <c r="M100" s="6">
        <v>19955.700000000004</v>
      </c>
      <c r="N100" s="5" t="str">
        <f t="shared" si="4"/>
        <v>Oct</v>
      </c>
      <c r="O100" s="5" t="str">
        <f t="shared" si="5"/>
        <v xml:space="preserve"> 2024</v>
      </c>
    </row>
    <row r="101" spans="1:15" x14ac:dyDescent="0.35">
      <c r="A101" t="s">
        <v>263</v>
      </c>
      <c r="B101" s="5" t="s">
        <v>165</v>
      </c>
      <c r="C101" s="4" t="s">
        <v>13</v>
      </c>
      <c r="D101" s="4" t="s">
        <v>125</v>
      </c>
      <c r="E101" s="4" t="s">
        <v>126</v>
      </c>
      <c r="F101" s="4" t="s">
        <v>67</v>
      </c>
      <c r="G101" s="4" t="s">
        <v>68</v>
      </c>
      <c r="H101" s="4" t="s">
        <v>27</v>
      </c>
      <c r="I101" s="4" t="s">
        <v>60</v>
      </c>
      <c r="J101" s="3">
        <v>9</v>
      </c>
      <c r="K101" s="6">
        <v>370881</v>
      </c>
      <c r="L101" s="6">
        <f t="shared" si="3"/>
        <v>259616.69999999998</v>
      </c>
      <c r="M101" s="6">
        <v>111264.30000000002</v>
      </c>
      <c r="N101" s="5" t="str">
        <f t="shared" si="4"/>
        <v>Jul</v>
      </c>
      <c r="O101" s="5" t="str">
        <f t="shared" si="5"/>
        <v xml:space="preserve"> 2024</v>
      </c>
    </row>
    <row r="102" spans="1:15" x14ac:dyDescent="0.35">
      <c r="A102" t="s">
        <v>264</v>
      </c>
      <c r="B102" s="5" t="s">
        <v>265</v>
      </c>
      <c r="C102" s="4" t="s">
        <v>13</v>
      </c>
      <c r="D102" s="4" t="s">
        <v>14</v>
      </c>
      <c r="E102" s="4" t="s">
        <v>15</v>
      </c>
      <c r="F102" s="4" t="s">
        <v>67</v>
      </c>
      <c r="G102" s="4" t="s">
        <v>180</v>
      </c>
      <c r="H102" s="4" t="s">
        <v>18</v>
      </c>
      <c r="I102" s="4" t="s">
        <v>39</v>
      </c>
      <c r="J102" s="3">
        <v>3</v>
      </c>
      <c r="K102" s="6">
        <v>68181</v>
      </c>
      <c r="L102" s="6">
        <f t="shared" si="3"/>
        <v>47726.7</v>
      </c>
      <c r="M102" s="6">
        <v>20454.300000000003</v>
      </c>
      <c r="N102" s="5" t="str">
        <f t="shared" si="4"/>
        <v>Apr</v>
      </c>
      <c r="O102" s="5" t="str">
        <f t="shared" si="5"/>
        <v xml:space="preserve"> 2024</v>
      </c>
    </row>
    <row r="103" spans="1:15" x14ac:dyDescent="0.35">
      <c r="A103" t="s">
        <v>266</v>
      </c>
      <c r="B103" s="5" t="s">
        <v>267</v>
      </c>
      <c r="C103" s="4" t="s">
        <v>55</v>
      </c>
      <c r="D103" s="4" t="s">
        <v>63</v>
      </c>
      <c r="E103" s="4" t="s">
        <v>64</v>
      </c>
      <c r="F103" s="4" t="s">
        <v>25</v>
      </c>
      <c r="G103" s="4" t="s">
        <v>52</v>
      </c>
      <c r="H103" s="4" t="s">
        <v>72</v>
      </c>
      <c r="I103" s="4" t="s">
        <v>28</v>
      </c>
      <c r="J103" s="3">
        <v>7</v>
      </c>
      <c r="K103" s="6">
        <v>271530</v>
      </c>
      <c r="L103" s="6">
        <f t="shared" si="3"/>
        <v>190071</v>
      </c>
      <c r="M103" s="6">
        <v>81459</v>
      </c>
      <c r="N103" s="5" t="str">
        <f t="shared" si="4"/>
        <v>Aug</v>
      </c>
      <c r="O103" s="5" t="str">
        <f t="shared" si="5"/>
        <v xml:space="preserve"> 2023</v>
      </c>
    </row>
    <row r="104" spans="1:15" x14ac:dyDescent="0.35">
      <c r="A104" t="s">
        <v>268</v>
      </c>
      <c r="B104" s="5" t="s">
        <v>269</v>
      </c>
      <c r="C104" s="4" t="s">
        <v>13</v>
      </c>
      <c r="D104" s="4" t="s">
        <v>125</v>
      </c>
      <c r="E104" s="4" t="s">
        <v>126</v>
      </c>
      <c r="F104" s="4" t="s">
        <v>37</v>
      </c>
      <c r="G104" s="4" t="s">
        <v>183</v>
      </c>
      <c r="H104" s="4" t="s">
        <v>72</v>
      </c>
      <c r="I104" s="4" t="s">
        <v>60</v>
      </c>
      <c r="J104" s="3">
        <v>5</v>
      </c>
      <c r="K104" s="6">
        <v>207760</v>
      </c>
      <c r="L104" s="6">
        <f t="shared" si="3"/>
        <v>145432</v>
      </c>
      <c r="M104" s="6">
        <v>62328</v>
      </c>
      <c r="N104" s="5" t="str">
        <f t="shared" si="4"/>
        <v>Apr</v>
      </c>
      <c r="O104" s="5" t="str">
        <f t="shared" si="5"/>
        <v xml:space="preserve"> 2023</v>
      </c>
    </row>
    <row r="105" spans="1:15" x14ac:dyDescent="0.35">
      <c r="A105" t="s">
        <v>270</v>
      </c>
      <c r="B105" s="5" t="s">
        <v>271</v>
      </c>
      <c r="C105" s="4" t="s">
        <v>31</v>
      </c>
      <c r="D105" s="4" t="s">
        <v>50</v>
      </c>
      <c r="E105" s="4" t="s">
        <v>51</v>
      </c>
      <c r="F105" s="4" t="s">
        <v>37</v>
      </c>
      <c r="G105" s="4" t="s">
        <v>38</v>
      </c>
      <c r="H105" s="4" t="s">
        <v>72</v>
      </c>
      <c r="I105" s="4" t="s">
        <v>19</v>
      </c>
      <c r="J105" s="3">
        <v>4</v>
      </c>
      <c r="K105" s="6">
        <v>72588</v>
      </c>
      <c r="L105" s="6">
        <f t="shared" si="3"/>
        <v>50811.6</v>
      </c>
      <c r="M105" s="6">
        <v>21776.400000000001</v>
      </c>
      <c r="N105" s="5" t="str">
        <f t="shared" si="4"/>
        <v>Apr</v>
      </c>
      <c r="O105" s="5" t="str">
        <f t="shared" si="5"/>
        <v xml:space="preserve"> 2023</v>
      </c>
    </row>
    <row r="106" spans="1:15" x14ac:dyDescent="0.35">
      <c r="A106" t="s">
        <v>272</v>
      </c>
      <c r="B106" s="5" t="s">
        <v>273</v>
      </c>
      <c r="C106" s="4" t="s">
        <v>22</v>
      </c>
      <c r="D106" s="4" t="s">
        <v>90</v>
      </c>
      <c r="E106" s="4" t="s">
        <v>91</v>
      </c>
      <c r="F106" s="4" t="s">
        <v>16</v>
      </c>
      <c r="G106" s="4" t="s">
        <v>42</v>
      </c>
      <c r="H106" s="4" t="s">
        <v>18</v>
      </c>
      <c r="I106" s="4" t="s">
        <v>39</v>
      </c>
      <c r="J106" s="3">
        <v>7</v>
      </c>
      <c r="K106" s="6">
        <v>61075</v>
      </c>
      <c r="L106" s="6">
        <f t="shared" si="3"/>
        <v>42752.5</v>
      </c>
      <c r="M106" s="6">
        <v>18322.5</v>
      </c>
      <c r="N106" s="5" t="str">
        <f t="shared" si="4"/>
        <v>Oct</v>
      </c>
      <c r="O106" s="5" t="str">
        <f t="shared" si="5"/>
        <v xml:space="preserve"> 2023</v>
      </c>
    </row>
    <row r="107" spans="1:15" x14ac:dyDescent="0.35">
      <c r="A107" t="s">
        <v>274</v>
      </c>
      <c r="B107" s="5" t="s">
        <v>275</v>
      </c>
      <c r="C107" s="4" t="s">
        <v>31</v>
      </c>
      <c r="D107" s="4" t="s">
        <v>45</v>
      </c>
      <c r="E107" s="4" t="s">
        <v>46</v>
      </c>
      <c r="F107" s="4" t="s">
        <v>67</v>
      </c>
      <c r="G107" s="4" t="s">
        <v>134</v>
      </c>
      <c r="H107" s="4" t="s">
        <v>27</v>
      </c>
      <c r="I107" s="4" t="s">
        <v>60</v>
      </c>
      <c r="J107" s="3">
        <v>10</v>
      </c>
      <c r="K107" s="6">
        <v>257820</v>
      </c>
      <c r="L107" s="6">
        <f t="shared" si="3"/>
        <v>180474</v>
      </c>
      <c r="M107" s="6">
        <v>77346</v>
      </c>
      <c r="N107" s="5" t="str">
        <f t="shared" si="4"/>
        <v>Jan</v>
      </c>
      <c r="O107" s="5" t="str">
        <f t="shared" si="5"/>
        <v xml:space="preserve"> 2024</v>
      </c>
    </row>
    <row r="108" spans="1:15" x14ac:dyDescent="0.35">
      <c r="A108" t="s">
        <v>276</v>
      </c>
      <c r="B108" s="5" t="s">
        <v>253</v>
      </c>
      <c r="C108" s="4" t="s">
        <v>31</v>
      </c>
      <c r="D108" s="4" t="s">
        <v>32</v>
      </c>
      <c r="E108" s="4" t="s">
        <v>33</v>
      </c>
      <c r="F108" s="4" t="s">
        <v>67</v>
      </c>
      <c r="G108" s="4" t="s">
        <v>134</v>
      </c>
      <c r="H108" s="4" t="s">
        <v>72</v>
      </c>
      <c r="I108" s="4" t="s">
        <v>47</v>
      </c>
      <c r="J108" s="3">
        <v>2</v>
      </c>
      <c r="K108" s="6">
        <v>65528</v>
      </c>
      <c r="L108" s="6">
        <f t="shared" si="3"/>
        <v>45869.599999999999</v>
      </c>
      <c r="M108" s="6">
        <v>19658.400000000001</v>
      </c>
      <c r="N108" s="5" t="str">
        <f t="shared" si="4"/>
        <v>Sep</v>
      </c>
      <c r="O108" s="5" t="str">
        <f t="shared" si="5"/>
        <v xml:space="preserve"> 2024</v>
      </c>
    </row>
    <row r="109" spans="1:15" x14ac:dyDescent="0.35">
      <c r="A109" t="s">
        <v>277</v>
      </c>
      <c r="B109" s="5" t="s">
        <v>257</v>
      </c>
      <c r="C109" s="4" t="s">
        <v>22</v>
      </c>
      <c r="D109" s="4" t="s">
        <v>23</v>
      </c>
      <c r="E109" s="4" t="s">
        <v>24</v>
      </c>
      <c r="F109" s="4" t="s">
        <v>25</v>
      </c>
      <c r="G109" s="4" t="s">
        <v>71</v>
      </c>
      <c r="H109" s="4" t="s">
        <v>18</v>
      </c>
      <c r="I109" s="4" t="s">
        <v>60</v>
      </c>
      <c r="J109" s="3">
        <v>6</v>
      </c>
      <c r="K109" s="6">
        <v>194970</v>
      </c>
      <c r="L109" s="6">
        <f t="shared" si="3"/>
        <v>136479</v>
      </c>
      <c r="M109" s="6">
        <v>58491</v>
      </c>
      <c r="N109" s="5" t="str">
        <f t="shared" si="4"/>
        <v>Nov</v>
      </c>
      <c r="O109" s="5" t="str">
        <f t="shared" si="5"/>
        <v xml:space="preserve"> 2024</v>
      </c>
    </row>
    <row r="110" spans="1:15" x14ac:dyDescent="0.35">
      <c r="A110" t="s">
        <v>278</v>
      </c>
      <c r="B110" s="5" t="s">
        <v>279</v>
      </c>
      <c r="C110" s="4" t="s">
        <v>22</v>
      </c>
      <c r="D110" s="4" t="s">
        <v>90</v>
      </c>
      <c r="E110" s="4" t="s">
        <v>91</v>
      </c>
      <c r="F110" s="4" t="s">
        <v>16</v>
      </c>
      <c r="G110" s="4" t="s">
        <v>34</v>
      </c>
      <c r="H110" s="4" t="s">
        <v>27</v>
      </c>
      <c r="I110" s="4" t="s">
        <v>39</v>
      </c>
      <c r="J110" s="3">
        <v>10</v>
      </c>
      <c r="K110" s="6">
        <v>121160</v>
      </c>
      <c r="L110" s="6">
        <f t="shared" si="3"/>
        <v>84812</v>
      </c>
      <c r="M110" s="6">
        <v>36348</v>
      </c>
      <c r="N110" s="5" t="str">
        <f t="shared" si="4"/>
        <v>Jul</v>
      </c>
      <c r="O110" s="5" t="str">
        <f t="shared" si="5"/>
        <v xml:space="preserve"> 2023</v>
      </c>
    </row>
    <row r="111" spans="1:15" x14ac:dyDescent="0.35">
      <c r="A111" t="s">
        <v>280</v>
      </c>
      <c r="B111" s="5" t="s">
        <v>281</v>
      </c>
      <c r="C111" s="4" t="s">
        <v>31</v>
      </c>
      <c r="D111" s="4" t="s">
        <v>104</v>
      </c>
      <c r="E111" s="4" t="s">
        <v>105</v>
      </c>
      <c r="F111" s="4" t="s">
        <v>16</v>
      </c>
      <c r="G111" s="4" t="s">
        <v>17</v>
      </c>
      <c r="H111" s="4" t="s">
        <v>72</v>
      </c>
      <c r="I111" s="4" t="s">
        <v>47</v>
      </c>
      <c r="J111" s="3">
        <v>5</v>
      </c>
      <c r="K111" s="6">
        <v>18630</v>
      </c>
      <c r="L111" s="6">
        <f t="shared" si="3"/>
        <v>13041</v>
      </c>
      <c r="M111" s="6">
        <v>5589</v>
      </c>
      <c r="N111" s="5" t="str">
        <f t="shared" si="4"/>
        <v>Jun</v>
      </c>
      <c r="O111" s="5" t="str">
        <f t="shared" si="5"/>
        <v xml:space="preserve"> 2024</v>
      </c>
    </row>
    <row r="112" spans="1:15" x14ac:dyDescent="0.35">
      <c r="A112" t="s">
        <v>282</v>
      </c>
      <c r="B112" s="5" t="s">
        <v>283</v>
      </c>
      <c r="C112" s="4" t="s">
        <v>55</v>
      </c>
      <c r="D112" s="4" t="s">
        <v>56</v>
      </c>
      <c r="E112" s="4" t="s">
        <v>57</v>
      </c>
      <c r="F112" s="4" t="s">
        <v>25</v>
      </c>
      <c r="G112" s="4" t="s">
        <v>77</v>
      </c>
      <c r="H112" s="4" t="s">
        <v>27</v>
      </c>
      <c r="I112" s="4" t="s">
        <v>28</v>
      </c>
      <c r="J112" s="3">
        <v>9</v>
      </c>
      <c r="K112" s="6">
        <v>334800</v>
      </c>
      <c r="L112" s="6">
        <f t="shared" si="3"/>
        <v>234359.99999999997</v>
      </c>
      <c r="M112" s="6">
        <v>100440.00000000003</v>
      </c>
      <c r="N112" s="5" t="str">
        <f t="shared" si="4"/>
        <v>Jun</v>
      </c>
      <c r="O112" s="5" t="str">
        <f t="shared" si="5"/>
        <v xml:space="preserve"> 2023</v>
      </c>
    </row>
    <row r="113" spans="1:15" x14ac:dyDescent="0.35">
      <c r="A113" t="s">
        <v>284</v>
      </c>
      <c r="B113" s="5" t="s">
        <v>285</v>
      </c>
      <c r="C113" s="4" t="s">
        <v>13</v>
      </c>
      <c r="D113" s="4" t="s">
        <v>14</v>
      </c>
      <c r="E113" s="4" t="s">
        <v>15</v>
      </c>
      <c r="F113" s="4" t="s">
        <v>37</v>
      </c>
      <c r="G113" s="4" t="s">
        <v>183</v>
      </c>
      <c r="H113" s="4" t="s">
        <v>27</v>
      </c>
      <c r="I113" s="4" t="s">
        <v>28</v>
      </c>
      <c r="J113" s="3">
        <v>5</v>
      </c>
      <c r="K113" s="6">
        <v>92085</v>
      </c>
      <c r="L113" s="6">
        <f t="shared" si="3"/>
        <v>64459.499999999993</v>
      </c>
      <c r="M113" s="6">
        <v>27625.500000000007</v>
      </c>
      <c r="N113" s="5" t="str">
        <f t="shared" si="4"/>
        <v>May</v>
      </c>
      <c r="O113" s="5" t="str">
        <f t="shared" si="5"/>
        <v xml:space="preserve"> 2023</v>
      </c>
    </row>
    <row r="114" spans="1:15" x14ac:dyDescent="0.35">
      <c r="A114" t="s">
        <v>286</v>
      </c>
      <c r="B114" s="5" t="s">
        <v>287</v>
      </c>
      <c r="C114" s="4" t="s">
        <v>55</v>
      </c>
      <c r="D114" s="4" t="s">
        <v>63</v>
      </c>
      <c r="E114" s="4" t="s">
        <v>64</v>
      </c>
      <c r="F114" s="4" t="s">
        <v>37</v>
      </c>
      <c r="G114" s="4" t="s">
        <v>38</v>
      </c>
      <c r="H114" s="4" t="s">
        <v>72</v>
      </c>
      <c r="I114" s="4" t="s">
        <v>19</v>
      </c>
      <c r="J114" s="3">
        <v>10</v>
      </c>
      <c r="K114" s="6">
        <v>332380</v>
      </c>
      <c r="L114" s="6">
        <f t="shared" si="3"/>
        <v>232665.99999999997</v>
      </c>
      <c r="M114" s="6">
        <v>99714.000000000029</v>
      </c>
      <c r="N114" s="5" t="str">
        <f t="shared" si="4"/>
        <v>May</v>
      </c>
      <c r="O114" s="5" t="str">
        <f t="shared" si="5"/>
        <v xml:space="preserve"> 2023</v>
      </c>
    </row>
    <row r="115" spans="1:15" x14ac:dyDescent="0.35">
      <c r="A115" t="s">
        <v>288</v>
      </c>
      <c r="B115" s="5" t="s">
        <v>289</v>
      </c>
      <c r="C115" s="4" t="s">
        <v>31</v>
      </c>
      <c r="D115" s="4" t="s">
        <v>104</v>
      </c>
      <c r="E115" s="4" t="s">
        <v>105</v>
      </c>
      <c r="F115" s="4" t="s">
        <v>37</v>
      </c>
      <c r="G115" s="4" t="s">
        <v>186</v>
      </c>
      <c r="H115" s="4" t="s">
        <v>27</v>
      </c>
      <c r="I115" s="4" t="s">
        <v>60</v>
      </c>
      <c r="J115" s="3">
        <v>10</v>
      </c>
      <c r="K115" s="6">
        <v>168540</v>
      </c>
      <c r="L115" s="6">
        <f t="shared" si="3"/>
        <v>117977.99999999999</v>
      </c>
      <c r="M115" s="6">
        <v>50562.000000000015</v>
      </c>
      <c r="N115" s="5" t="str">
        <f t="shared" si="4"/>
        <v>Sep</v>
      </c>
      <c r="O115" s="5" t="str">
        <f t="shared" si="5"/>
        <v xml:space="preserve"> 2023</v>
      </c>
    </row>
    <row r="116" spans="1:15" x14ac:dyDescent="0.35">
      <c r="A116" t="s">
        <v>290</v>
      </c>
      <c r="B116" s="5" t="s">
        <v>291</v>
      </c>
      <c r="C116" s="4" t="s">
        <v>31</v>
      </c>
      <c r="D116" s="4" t="s">
        <v>104</v>
      </c>
      <c r="E116" s="4" t="s">
        <v>105</v>
      </c>
      <c r="F116" s="4" t="s">
        <v>25</v>
      </c>
      <c r="G116" s="4" t="s">
        <v>77</v>
      </c>
      <c r="H116" s="4" t="s">
        <v>72</v>
      </c>
      <c r="I116" s="4" t="s">
        <v>47</v>
      </c>
      <c r="J116" s="3">
        <v>2</v>
      </c>
      <c r="K116" s="6">
        <v>22632</v>
      </c>
      <c r="L116" s="6">
        <f t="shared" si="3"/>
        <v>15842.4</v>
      </c>
      <c r="M116" s="6">
        <v>6789.6</v>
      </c>
      <c r="N116" s="5" t="str">
        <f t="shared" si="4"/>
        <v>Jul</v>
      </c>
      <c r="O116" s="5" t="str">
        <f t="shared" si="5"/>
        <v xml:space="preserve"> 2023</v>
      </c>
    </row>
    <row r="117" spans="1:15" x14ac:dyDescent="0.35">
      <c r="A117" t="s">
        <v>292</v>
      </c>
      <c r="B117" s="5" t="s">
        <v>293</v>
      </c>
      <c r="C117" s="4" t="s">
        <v>22</v>
      </c>
      <c r="D117" s="4" t="s">
        <v>90</v>
      </c>
      <c r="E117" s="4" t="s">
        <v>91</v>
      </c>
      <c r="F117" s="4" t="s">
        <v>67</v>
      </c>
      <c r="G117" s="4" t="s">
        <v>134</v>
      </c>
      <c r="H117" s="4" t="s">
        <v>18</v>
      </c>
      <c r="I117" s="4" t="s">
        <v>47</v>
      </c>
      <c r="J117" s="3">
        <v>1</v>
      </c>
      <c r="K117" s="6">
        <v>24573</v>
      </c>
      <c r="L117" s="6">
        <f t="shared" si="3"/>
        <v>17201.099999999999</v>
      </c>
      <c r="M117" s="6">
        <v>7371.9000000000015</v>
      </c>
      <c r="N117" s="5" t="str">
        <f t="shared" si="4"/>
        <v>Apr</v>
      </c>
      <c r="O117" s="5" t="str">
        <f t="shared" si="5"/>
        <v xml:space="preserve"> 2024</v>
      </c>
    </row>
    <row r="118" spans="1:15" x14ac:dyDescent="0.35">
      <c r="A118" t="s">
        <v>294</v>
      </c>
      <c r="B118" s="5" t="s">
        <v>295</v>
      </c>
      <c r="C118" s="4" t="s">
        <v>22</v>
      </c>
      <c r="D118" s="4" t="s">
        <v>90</v>
      </c>
      <c r="E118" s="4" t="s">
        <v>91</v>
      </c>
      <c r="F118" s="4" t="s">
        <v>25</v>
      </c>
      <c r="G118" s="4" t="s">
        <v>71</v>
      </c>
      <c r="H118" s="4" t="s">
        <v>27</v>
      </c>
      <c r="I118" s="4" t="s">
        <v>47</v>
      </c>
      <c r="J118" s="3">
        <v>1</v>
      </c>
      <c r="K118" s="6">
        <v>8685</v>
      </c>
      <c r="L118" s="6">
        <f t="shared" si="3"/>
        <v>6079.5</v>
      </c>
      <c r="M118" s="6">
        <v>2605.5</v>
      </c>
      <c r="N118" s="5" t="str">
        <f t="shared" si="4"/>
        <v>Aug</v>
      </c>
      <c r="O118" s="5" t="str">
        <f t="shared" si="5"/>
        <v xml:space="preserve"> 2024</v>
      </c>
    </row>
    <row r="119" spans="1:15" x14ac:dyDescent="0.35">
      <c r="A119" t="s">
        <v>296</v>
      </c>
      <c r="B119" s="5" t="s">
        <v>297</v>
      </c>
      <c r="C119" s="4" t="s">
        <v>13</v>
      </c>
      <c r="D119" s="4" t="s">
        <v>125</v>
      </c>
      <c r="E119" s="4" t="s">
        <v>126</v>
      </c>
      <c r="F119" s="4" t="s">
        <v>16</v>
      </c>
      <c r="G119" s="4" t="s">
        <v>122</v>
      </c>
      <c r="H119" s="4" t="s">
        <v>72</v>
      </c>
      <c r="I119" s="4" t="s">
        <v>28</v>
      </c>
      <c r="J119" s="3">
        <v>7</v>
      </c>
      <c r="K119" s="6">
        <v>344687</v>
      </c>
      <c r="L119" s="6">
        <f t="shared" si="3"/>
        <v>241280.9</v>
      </c>
      <c r="M119" s="6">
        <v>103406.1</v>
      </c>
      <c r="N119" s="5" t="str">
        <f t="shared" si="4"/>
        <v>May</v>
      </c>
      <c r="O119" s="5" t="str">
        <f t="shared" si="5"/>
        <v xml:space="preserve"> 2023</v>
      </c>
    </row>
    <row r="120" spans="1:15" x14ac:dyDescent="0.35">
      <c r="A120" t="s">
        <v>298</v>
      </c>
      <c r="B120" s="5" t="s">
        <v>169</v>
      </c>
      <c r="C120" s="4" t="s">
        <v>22</v>
      </c>
      <c r="D120" s="4" t="s">
        <v>90</v>
      </c>
      <c r="E120" s="4" t="s">
        <v>110</v>
      </c>
      <c r="F120" s="4" t="s">
        <v>67</v>
      </c>
      <c r="G120" s="4" t="s">
        <v>180</v>
      </c>
      <c r="H120" s="4" t="s">
        <v>18</v>
      </c>
      <c r="I120" s="4" t="s">
        <v>47</v>
      </c>
      <c r="J120" s="3">
        <v>2</v>
      </c>
      <c r="K120" s="6">
        <v>75488</v>
      </c>
      <c r="L120" s="6">
        <f t="shared" si="3"/>
        <v>52841.599999999999</v>
      </c>
      <c r="M120" s="6">
        <v>22646.400000000001</v>
      </c>
      <c r="N120" s="5" t="str">
        <f t="shared" si="4"/>
        <v>Jul</v>
      </c>
      <c r="O120" s="5" t="str">
        <f t="shared" si="5"/>
        <v xml:space="preserve"> 2024</v>
      </c>
    </row>
    <row r="121" spans="1:15" x14ac:dyDescent="0.35">
      <c r="A121" t="s">
        <v>299</v>
      </c>
      <c r="B121" s="5" t="s">
        <v>300</v>
      </c>
      <c r="C121" s="4" t="s">
        <v>22</v>
      </c>
      <c r="D121" s="4" t="s">
        <v>90</v>
      </c>
      <c r="E121" s="4" t="s">
        <v>110</v>
      </c>
      <c r="F121" s="4" t="s">
        <v>25</v>
      </c>
      <c r="G121" s="4" t="s">
        <v>52</v>
      </c>
      <c r="H121" s="4" t="s">
        <v>18</v>
      </c>
      <c r="I121" s="4" t="s">
        <v>47</v>
      </c>
      <c r="J121" s="3">
        <v>2</v>
      </c>
      <c r="K121" s="6">
        <v>58606</v>
      </c>
      <c r="L121" s="6">
        <f t="shared" si="3"/>
        <v>41024.199999999997</v>
      </c>
      <c r="M121" s="6">
        <v>17581.800000000003</v>
      </c>
      <c r="N121" s="5" t="str">
        <f t="shared" si="4"/>
        <v>Aug</v>
      </c>
      <c r="O121" s="5" t="str">
        <f t="shared" si="5"/>
        <v xml:space="preserve"> 2023</v>
      </c>
    </row>
    <row r="122" spans="1:15" x14ac:dyDescent="0.35">
      <c r="A122" t="s">
        <v>301</v>
      </c>
      <c r="B122" s="5" t="s">
        <v>302</v>
      </c>
      <c r="C122" s="4" t="s">
        <v>22</v>
      </c>
      <c r="D122" s="4" t="s">
        <v>23</v>
      </c>
      <c r="E122" s="4" t="s">
        <v>24</v>
      </c>
      <c r="F122" s="4" t="s">
        <v>25</v>
      </c>
      <c r="G122" s="4" t="s">
        <v>26</v>
      </c>
      <c r="H122" s="4" t="s">
        <v>18</v>
      </c>
      <c r="I122" s="4" t="s">
        <v>47</v>
      </c>
      <c r="J122" s="3">
        <v>9</v>
      </c>
      <c r="K122" s="6">
        <v>405288</v>
      </c>
      <c r="L122" s="6">
        <f t="shared" si="3"/>
        <v>283701.59999999998</v>
      </c>
      <c r="M122" s="6">
        <v>121586.40000000002</v>
      </c>
      <c r="N122" s="5" t="str">
        <f t="shared" si="4"/>
        <v>Nov</v>
      </c>
      <c r="O122" s="5" t="str">
        <f t="shared" si="5"/>
        <v xml:space="preserve"> 2023</v>
      </c>
    </row>
    <row r="123" spans="1:15" x14ac:dyDescent="0.35">
      <c r="A123" t="s">
        <v>303</v>
      </c>
      <c r="B123" s="5" t="s">
        <v>304</v>
      </c>
      <c r="C123" s="4" t="s">
        <v>31</v>
      </c>
      <c r="D123" s="4" t="s">
        <v>32</v>
      </c>
      <c r="E123" s="4" t="s">
        <v>33</v>
      </c>
      <c r="F123" s="4" t="s">
        <v>37</v>
      </c>
      <c r="G123" s="4" t="s">
        <v>186</v>
      </c>
      <c r="H123" s="4" t="s">
        <v>18</v>
      </c>
      <c r="I123" s="4" t="s">
        <v>47</v>
      </c>
      <c r="J123" s="3">
        <v>4</v>
      </c>
      <c r="K123" s="6">
        <v>38632</v>
      </c>
      <c r="L123" s="6">
        <f t="shared" si="3"/>
        <v>27042.399999999998</v>
      </c>
      <c r="M123" s="6">
        <v>11589.600000000002</v>
      </c>
      <c r="N123" s="5" t="str">
        <f t="shared" si="4"/>
        <v>Apr</v>
      </c>
      <c r="O123" s="5" t="str">
        <f t="shared" si="5"/>
        <v xml:space="preserve"> 2023</v>
      </c>
    </row>
    <row r="124" spans="1:15" x14ac:dyDescent="0.35">
      <c r="A124" t="s">
        <v>305</v>
      </c>
      <c r="B124" s="5" t="s">
        <v>273</v>
      </c>
      <c r="C124" s="4" t="s">
        <v>13</v>
      </c>
      <c r="D124" s="4" t="s">
        <v>118</v>
      </c>
      <c r="E124" s="4" t="s">
        <v>119</v>
      </c>
      <c r="F124" s="4" t="s">
        <v>67</v>
      </c>
      <c r="G124" s="4" t="s">
        <v>113</v>
      </c>
      <c r="H124" s="4" t="s">
        <v>27</v>
      </c>
      <c r="I124" s="4" t="s">
        <v>28</v>
      </c>
      <c r="J124" s="3">
        <v>10</v>
      </c>
      <c r="K124" s="6">
        <v>423130</v>
      </c>
      <c r="L124" s="6">
        <f t="shared" si="3"/>
        <v>296191</v>
      </c>
      <c r="M124" s="6">
        <v>126939</v>
      </c>
      <c r="N124" s="5" t="str">
        <f t="shared" si="4"/>
        <v>Oct</v>
      </c>
      <c r="O124" s="5" t="str">
        <f t="shared" si="5"/>
        <v xml:space="preserve"> 2023</v>
      </c>
    </row>
    <row r="125" spans="1:15" x14ac:dyDescent="0.35">
      <c r="A125" t="s">
        <v>306</v>
      </c>
      <c r="B125" s="5" t="s">
        <v>307</v>
      </c>
      <c r="C125" s="4" t="s">
        <v>31</v>
      </c>
      <c r="D125" s="4" t="s">
        <v>50</v>
      </c>
      <c r="E125" s="4" t="s">
        <v>51</v>
      </c>
      <c r="F125" s="4" t="s">
        <v>67</v>
      </c>
      <c r="G125" s="4" t="s">
        <v>180</v>
      </c>
      <c r="H125" s="4" t="s">
        <v>27</v>
      </c>
      <c r="I125" s="4" t="s">
        <v>19</v>
      </c>
      <c r="J125" s="3">
        <v>10</v>
      </c>
      <c r="K125" s="6">
        <v>37100</v>
      </c>
      <c r="L125" s="6">
        <f t="shared" si="3"/>
        <v>25970</v>
      </c>
      <c r="M125" s="6">
        <v>11130</v>
      </c>
      <c r="N125" s="5" t="str">
        <f t="shared" si="4"/>
        <v>Oct</v>
      </c>
      <c r="O125" s="5" t="str">
        <f t="shared" si="5"/>
        <v xml:space="preserve"> 2023</v>
      </c>
    </row>
    <row r="126" spans="1:15" x14ac:dyDescent="0.35">
      <c r="A126" t="s">
        <v>308</v>
      </c>
      <c r="B126" s="5" t="s">
        <v>309</v>
      </c>
      <c r="C126" s="4" t="s">
        <v>13</v>
      </c>
      <c r="D126" s="4" t="s">
        <v>14</v>
      </c>
      <c r="E126" s="4" t="s">
        <v>15</v>
      </c>
      <c r="F126" s="4" t="s">
        <v>25</v>
      </c>
      <c r="G126" s="4" t="s">
        <v>71</v>
      </c>
      <c r="H126" s="4" t="s">
        <v>72</v>
      </c>
      <c r="I126" s="4" t="s">
        <v>19</v>
      </c>
      <c r="J126" s="3">
        <v>2</v>
      </c>
      <c r="K126" s="6">
        <v>39734</v>
      </c>
      <c r="L126" s="6">
        <f t="shared" si="3"/>
        <v>27813.8</v>
      </c>
      <c r="M126" s="6">
        <v>11920.2</v>
      </c>
      <c r="N126" s="5" t="str">
        <f t="shared" si="4"/>
        <v>Oct</v>
      </c>
      <c r="O126" s="5" t="str">
        <f t="shared" si="5"/>
        <v xml:space="preserve"> 2023</v>
      </c>
    </row>
    <row r="127" spans="1:15" x14ac:dyDescent="0.35">
      <c r="A127" t="s">
        <v>310</v>
      </c>
      <c r="B127" s="5" t="s">
        <v>311</v>
      </c>
      <c r="C127" s="4" t="s">
        <v>13</v>
      </c>
      <c r="D127" s="4" t="s">
        <v>125</v>
      </c>
      <c r="E127" s="4" t="s">
        <v>126</v>
      </c>
      <c r="F127" s="4" t="s">
        <v>67</v>
      </c>
      <c r="G127" s="4" t="s">
        <v>68</v>
      </c>
      <c r="H127" s="4" t="s">
        <v>27</v>
      </c>
      <c r="I127" s="4" t="s">
        <v>39</v>
      </c>
      <c r="J127" s="3">
        <v>4</v>
      </c>
      <c r="K127" s="6">
        <v>118212</v>
      </c>
      <c r="L127" s="6">
        <f t="shared" si="3"/>
        <v>82748.399999999994</v>
      </c>
      <c r="M127" s="6">
        <v>35463.600000000006</v>
      </c>
      <c r="N127" s="5" t="str">
        <f t="shared" si="4"/>
        <v>Nov</v>
      </c>
      <c r="O127" s="5" t="str">
        <f t="shared" si="5"/>
        <v xml:space="preserve"> 2024</v>
      </c>
    </row>
    <row r="128" spans="1:15" x14ac:dyDescent="0.35">
      <c r="A128" t="s">
        <v>312</v>
      </c>
      <c r="B128" s="5" t="s">
        <v>313</v>
      </c>
      <c r="C128" s="4" t="s">
        <v>31</v>
      </c>
      <c r="D128" s="4" t="s">
        <v>32</v>
      </c>
      <c r="E128" s="4" t="s">
        <v>33</v>
      </c>
      <c r="F128" s="4" t="s">
        <v>25</v>
      </c>
      <c r="G128" s="4" t="s">
        <v>26</v>
      </c>
      <c r="H128" s="4" t="s">
        <v>18</v>
      </c>
      <c r="I128" s="4" t="s">
        <v>60</v>
      </c>
      <c r="J128" s="3">
        <v>5</v>
      </c>
      <c r="K128" s="6">
        <v>141230</v>
      </c>
      <c r="L128" s="6">
        <f t="shared" si="3"/>
        <v>98861</v>
      </c>
      <c r="M128" s="6">
        <v>42369</v>
      </c>
      <c r="N128" s="5" t="str">
        <f t="shared" si="4"/>
        <v>Dec</v>
      </c>
      <c r="O128" s="5" t="str">
        <f t="shared" si="5"/>
        <v xml:space="preserve"> 2023</v>
      </c>
    </row>
    <row r="129" spans="1:15" x14ac:dyDescent="0.35">
      <c r="A129" t="s">
        <v>314</v>
      </c>
      <c r="B129" s="5" t="s">
        <v>211</v>
      </c>
      <c r="C129" s="4" t="s">
        <v>22</v>
      </c>
      <c r="D129" s="4" t="s">
        <v>86</v>
      </c>
      <c r="E129" s="4" t="s">
        <v>87</v>
      </c>
      <c r="F129" s="4" t="s">
        <v>16</v>
      </c>
      <c r="G129" s="4" t="s">
        <v>34</v>
      </c>
      <c r="H129" s="4" t="s">
        <v>18</v>
      </c>
      <c r="I129" s="4" t="s">
        <v>60</v>
      </c>
      <c r="J129" s="3">
        <v>10</v>
      </c>
      <c r="K129" s="6">
        <v>268770</v>
      </c>
      <c r="L129" s="6">
        <f t="shared" si="3"/>
        <v>188139</v>
      </c>
      <c r="M129" s="6">
        <v>80631</v>
      </c>
      <c r="N129" s="5" t="str">
        <f t="shared" si="4"/>
        <v>Apr</v>
      </c>
      <c r="O129" s="5" t="str">
        <f t="shared" si="5"/>
        <v xml:space="preserve"> 2024</v>
      </c>
    </row>
    <row r="130" spans="1:15" x14ac:dyDescent="0.35">
      <c r="A130" t="s">
        <v>315</v>
      </c>
      <c r="B130" s="5" t="s">
        <v>316</v>
      </c>
      <c r="C130" s="4" t="s">
        <v>22</v>
      </c>
      <c r="D130" s="4" t="s">
        <v>90</v>
      </c>
      <c r="E130" s="4" t="s">
        <v>91</v>
      </c>
      <c r="F130" s="4" t="s">
        <v>25</v>
      </c>
      <c r="G130" s="4" t="s">
        <v>77</v>
      </c>
      <c r="H130" s="4" t="s">
        <v>72</v>
      </c>
      <c r="I130" s="4" t="s">
        <v>39</v>
      </c>
      <c r="J130" s="3">
        <v>2</v>
      </c>
      <c r="K130" s="6">
        <v>38336</v>
      </c>
      <c r="L130" s="6">
        <f t="shared" ref="L130:L193" si="6">K130*0.7</f>
        <v>26835.199999999997</v>
      </c>
      <c r="M130" s="6">
        <v>11500.800000000003</v>
      </c>
      <c r="N130" s="5" t="str">
        <f t="shared" ref="N130:N193" si="7">TEXT(B130,"mmm")</f>
        <v>Aug</v>
      </c>
      <c r="O130" s="5" t="str">
        <f t="shared" ref="O130:O193" si="8">TEXT(B130," yyyy")</f>
        <v xml:space="preserve"> 2024</v>
      </c>
    </row>
    <row r="131" spans="1:15" x14ac:dyDescent="0.35">
      <c r="A131" t="s">
        <v>317</v>
      </c>
      <c r="B131" s="5" t="s">
        <v>318</v>
      </c>
      <c r="C131" s="4" t="s">
        <v>22</v>
      </c>
      <c r="D131" s="4" t="s">
        <v>23</v>
      </c>
      <c r="E131" s="4" t="s">
        <v>24</v>
      </c>
      <c r="F131" s="4" t="s">
        <v>25</v>
      </c>
      <c r="G131" s="4" t="s">
        <v>26</v>
      </c>
      <c r="H131" s="4" t="s">
        <v>27</v>
      </c>
      <c r="I131" s="4" t="s">
        <v>60</v>
      </c>
      <c r="J131" s="3">
        <v>3</v>
      </c>
      <c r="K131" s="6">
        <v>6636</v>
      </c>
      <c r="L131" s="6">
        <f t="shared" si="6"/>
        <v>4645.2</v>
      </c>
      <c r="M131" s="6">
        <v>1990.8000000000002</v>
      </c>
      <c r="N131" s="5" t="str">
        <f t="shared" si="7"/>
        <v>Jun</v>
      </c>
      <c r="O131" s="5" t="str">
        <f t="shared" si="8"/>
        <v xml:space="preserve"> 2024</v>
      </c>
    </row>
    <row r="132" spans="1:15" x14ac:dyDescent="0.35">
      <c r="A132" t="s">
        <v>319</v>
      </c>
      <c r="B132" s="5" t="s">
        <v>320</v>
      </c>
      <c r="C132" s="4" t="s">
        <v>31</v>
      </c>
      <c r="D132" s="4" t="s">
        <v>50</v>
      </c>
      <c r="E132" s="4" t="s">
        <v>51</v>
      </c>
      <c r="F132" s="4" t="s">
        <v>25</v>
      </c>
      <c r="G132" s="4" t="s">
        <v>52</v>
      </c>
      <c r="H132" s="4" t="s">
        <v>27</v>
      </c>
      <c r="I132" s="4" t="s">
        <v>47</v>
      </c>
      <c r="J132" s="3">
        <v>5</v>
      </c>
      <c r="K132" s="6">
        <v>232440</v>
      </c>
      <c r="L132" s="6">
        <f t="shared" si="6"/>
        <v>162708</v>
      </c>
      <c r="M132" s="6">
        <v>69732</v>
      </c>
      <c r="N132" s="5" t="str">
        <f t="shared" si="7"/>
        <v>Jul</v>
      </c>
      <c r="O132" s="5" t="str">
        <f t="shared" si="8"/>
        <v xml:space="preserve"> 2024</v>
      </c>
    </row>
    <row r="133" spans="1:15" x14ac:dyDescent="0.35">
      <c r="A133" t="s">
        <v>321</v>
      </c>
      <c r="B133" s="5" t="s">
        <v>322</v>
      </c>
      <c r="C133" s="4" t="s">
        <v>13</v>
      </c>
      <c r="D133" s="4" t="s">
        <v>162</v>
      </c>
      <c r="E133" s="4" t="s">
        <v>163</v>
      </c>
      <c r="F133" s="4" t="s">
        <v>67</v>
      </c>
      <c r="G133" s="4" t="s">
        <v>134</v>
      </c>
      <c r="H133" s="4" t="s">
        <v>27</v>
      </c>
      <c r="I133" s="4" t="s">
        <v>60</v>
      </c>
      <c r="J133" s="3">
        <v>10</v>
      </c>
      <c r="K133" s="6">
        <v>258680</v>
      </c>
      <c r="L133" s="6">
        <f t="shared" si="6"/>
        <v>181076</v>
      </c>
      <c r="M133" s="6">
        <v>77604</v>
      </c>
      <c r="N133" s="5" t="str">
        <f t="shared" si="7"/>
        <v>Apr</v>
      </c>
      <c r="O133" s="5" t="str">
        <f t="shared" si="8"/>
        <v xml:space="preserve"> 2024</v>
      </c>
    </row>
    <row r="134" spans="1:15" x14ac:dyDescent="0.35">
      <c r="A134" t="s">
        <v>323</v>
      </c>
      <c r="B134" s="5" t="s">
        <v>324</v>
      </c>
      <c r="C134" s="4" t="s">
        <v>31</v>
      </c>
      <c r="D134" s="4" t="s">
        <v>104</v>
      </c>
      <c r="E134" s="4" t="s">
        <v>105</v>
      </c>
      <c r="F134" s="4" t="s">
        <v>67</v>
      </c>
      <c r="G134" s="4" t="s">
        <v>134</v>
      </c>
      <c r="H134" s="4" t="s">
        <v>72</v>
      </c>
      <c r="I134" s="4" t="s">
        <v>60</v>
      </c>
      <c r="J134" s="3">
        <v>6</v>
      </c>
      <c r="K134" s="6">
        <v>247128</v>
      </c>
      <c r="L134" s="6">
        <f t="shared" si="6"/>
        <v>172989.59999999998</v>
      </c>
      <c r="M134" s="6">
        <v>74138.400000000023</v>
      </c>
      <c r="N134" s="5" t="str">
        <f t="shared" si="7"/>
        <v>Jan</v>
      </c>
      <c r="O134" s="5" t="str">
        <f t="shared" si="8"/>
        <v xml:space="preserve"> 2024</v>
      </c>
    </row>
    <row r="135" spans="1:15" x14ac:dyDescent="0.35">
      <c r="A135" t="s">
        <v>325</v>
      </c>
      <c r="B135" s="5" t="s">
        <v>320</v>
      </c>
      <c r="C135" s="4" t="s">
        <v>31</v>
      </c>
      <c r="D135" s="4" t="s">
        <v>104</v>
      </c>
      <c r="E135" s="4" t="s">
        <v>105</v>
      </c>
      <c r="F135" s="4" t="s">
        <v>37</v>
      </c>
      <c r="G135" s="4" t="s">
        <v>183</v>
      </c>
      <c r="H135" s="4" t="s">
        <v>18</v>
      </c>
      <c r="I135" s="4" t="s">
        <v>47</v>
      </c>
      <c r="J135" s="3">
        <v>4</v>
      </c>
      <c r="K135" s="6">
        <v>30384</v>
      </c>
      <c r="L135" s="6">
        <f t="shared" si="6"/>
        <v>21268.799999999999</v>
      </c>
      <c r="M135" s="6">
        <v>9115.2000000000007</v>
      </c>
      <c r="N135" s="5" t="str">
        <f t="shared" si="7"/>
        <v>Jul</v>
      </c>
      <c r="O135" s="5" t="str">
        <f t="shared" si="8"/>
        <v xml:space="preserve"> 2024</v>
      </c>
    </row>
    <row r="136" spans="1:15" x14ac:dyDescent="0.35">
      <c r="A136" t="s">
        <v>326</v>
      </c>
      <c r="B136" s="5" t="s">
        <v>327</v>
      </c>
      <c r="C136" s="4" t="s">
        <v>22</v>
      </c>
      <c r="D136" s="4" t="s">
        <v>23</v>
      </c>
      <c r="E136" s="4" t="s">
        <v>24</v>
      </c>
      <c r="F136" s="4" t="s">
        <v>25</v>
      </c>
      <c r="G136" s="4" t="s">
        <v>52</v>
      </c>
      <c r="H136" s="4" t="s">
        <v>18</v>
      </c>
      <c r="I136" s="4" t="s">
        <v>39</v>
      </c>
      <c r="J136" s="3">
        <v>8</v>
      </c>
      <c r="K136" s="6">
        <v>186120</v>
      </c>
      <c r="L136" s="6">
        <f t="shared" si="6"/>
        <v>130283.99999999999</v>
      </c>
      <c r="M136" s="6">
        <v>55836.000000000015</v>
      </c>
      <c r="N136" s="5" t="str">
        <f t="shared" si="7"/>
        <v>Oct</v>
      </c>
      <c r="O136" s="5" t="str">
        <f t="shared" si="8"/>
        <v xml:space="preserve"> 2024</v>
      </c>
    </row>
    <row r="137" spans="1:15" x14ac:dyDescent="0.35">
      <c r="A137" t="s">
        <v>328</v>
      </c>
      <c r="B137" s="5" t="s">
        <v>329</v>
      </c>
      <c r="C137" s="4" t="s">
        <v>55</v>
      </c>
      <c r="D137" s="4" t="s">
        <v>56</v>
      </c>
      <c r="E137" s="4" t="s">
        <v>57</v>
      </c>
      <c r="F137" s="4" t="s">
        <v>25</v>
      </c>
      <c r="G137" s="4" t="s">
        <v>52</v>
      </c>
      <c r="H137" s="4" t="s">
        <v>72</v>
      </c>
      <c r="I137" s="4" t="s">
        <v>28</v>
      </c>
      <c r="J137" s="3">
        <v>6</v>
      </c>
      <c r="K137" s="6">
        <v>19038</v>
      </c>
      <c r="L137" s="6">
        <f t="shared" si="6"/>
        <v>13326.599999999999</v>
      </c>
      <c r="M137" s="6">
        <v>5711.4000000000015</v>
      </c>
      <c r="N137" s="5" t="str">
        <f t="shared" si="7"/>
        <v>Sep</v>
      </c>
      <c r="O137" s="5" t="str">
        <f t="shared" si="8"/>
        <v xml:space="preserve"> 2024</v>
      </c>
    </row>
    <row r="138" spans="1:15" x14ac:dyDescent="0.35">
      <c r="A138" t="s">
        <v>330</v>
      </c>
      <c r="B138" s="5" t="s">
        <v>331</v>
      </c>
      <c r="C138" s="4" t="s">
        <v>55</v>
      </c>
      <c r="D138" s="4" t="s">
        <v>82</v>
      </c>
      <c r="E138" s="4" t="s">
        <v>83</v>
      </c>
      <c r="F138" s="4" t="s">
        <v>16</v>
      </c>
      <c r="G138" s="4" t="s">
        <v>42</v>
      </c>
      <c r="H138" s="4" t="s">
        <v>18</v>
      </c>
      <c r="I138" s="4" t="s">
        <v>47</v>
      </c>
      <c r="J138" s="3">
        <v>1</v>
      </c>
      <c r="K138" s="6">
        <v>37698</v>
      </c>
      <c r="L138" s="6">
        <f t="shared" si="6"/>
        <v>26388.6</v>
      </c>
      <c r="M138" s="6">
        <v>11309.400000000001</v>
      </c>
      <c r="N138" s="5" t="str">
        <f t="shared" si="7"/>
        <v>May</v>
      </c>
      <c r="O138" s="5" t="str">
        <f t="shared" si="8"/>
        <v xml:space="preserve"> 2024</v>
      </c>
    </row>
    <row r="139" spans="1:15" x14ac:dyDescent="0.35">
      <c r="A139" t="s">
        <v>332</v>
      </c>
      <c r="B139" s="5" t="s">
        <v>333</v>
      </c>
      <c r="C139" s="4" t="s">
        <v>22</v>
      </c>
      <c r="D139" s="4" t="s">
        <v>90</v>
      </c>
      <c r="E139" s="4" t="s">
        <v>110</v>
      </c>
      <c r="F139" s="4" t="s">
        <v>67</v>
      </c>
      <c r="G139" s="4" t="s">
        <v>68</v>
      </c>
      <c r="H139" s="4" t="s">
        <v>72</v>
      </c>
      <c r="I139" s="4" t="s">
        <v>60</v>
      </c>
      <c r="J139" s="3">
        <v>5</v>
      </c>
      <c r="K139" s="6">
        <v>85815</v>
      </c>
      <c r="L139" s="6">
        <f t="shared" si="6"/>
        <v>60070.499999999993</v>
      </c>
      <c r="M139" s="6">
        <v>25744.500000000007</v>
      </c>
      <c r="N139" s="5" t="str">
        <f t="shared" si="7"/>
        <v>Jul</v>
      </c>
      <c r="O139" s="5" t="str">
        <f t="shared" si="8"/>
        <v xml:space="preserve"> 2023</v>
      </c>
    </row>
    <row r="140" spans="1:15" x14ac:dyDescent="0.35">
      <c r="A140" t="s">
        <v>334</v>
      </c>
      <c r="B140" s="5" t="s">
        <v>335</v>
      </c>
      <c r="C140" s="4" t="s">
        <v>22</v>
      </c>
      <c r="D140" s="4" t="s">
        <v>90</v>
      </c>
      <c r="E140" s="4" t="s">
        <v>110</v>
      </c>
      <c r="F140" s="4" t="s">
        <v>67</v>
      </c>
      <c r="G140" s="4" t="s">
        <v>113</v>
      </c>
      <c r="H140" s="4" t="s">
        <v>27</v>
      </c>
      <c r="I140" s="4" t="s">
        <v>60</v>
      </c>
      <c r="J140" s="3">
        <v>2</v>
      </c>
      <c r="K140" s="6">
        <v>93650</v>
      </c>
      <c r="L140" s="6">
        <f t="shared" si="6"/>
        <v>65555</v>
      </c>
      <c r="M140" s="6">
        <v>28095</v>
      </c>
      <c r="N140" s="5" t="str">
        <f t="shared" si="7"/>
        <v>Jun</v>
      </c>
      <c r="O140" s="5" t="str">
        <f t="shared" si="8"/>
        <v xml:space="preserve"> 2024</v>
      </c>
    </row>
    <row r="141" spans="1:15" x14ac:dyDescent="0.35">
      <c r="A141" t="s">
        <v>336</v>
      </c>
      <c r="B141" s="5" t="s">
        <v>103</v>
      </c>
      <c r="C141" s="4" t="s">
        <v>13</v>
      </c>
      <c r="D141" s="4" t="s">
        <v>118</v>
      </c>
      <c r="E141" s="4" t="s">
        <v>119</v>
      </c>
      <c r="F141" s="4" t="s">
        <v>16</v>
      </c>
      <c r="G141" s="4" t="s">
        <v>42</v>
      </c>
      <c r="H141" s="4" t="s">
        <v>72</v>
      </c>
      <c r="I141" s="4" t="s">
        <v>60</v>
      </c>
      <c r="J141" s="3">
        <v>8</v>
      </c>
      <c r="K141" s="6">
        <v>137616</v>
      </c>
      <c r="L141" s="6">
        <f t="shared" si="6"/>
        <v>96331.199999999997</v>
      </c>
      <c r="M141" s="6">
        <v>41284.800000000003</v>
      </c>
      <c r="N141" s="5" t="str">
        <f t="shared" si="7"/>
        <v>Oct</v>
      </c>
      <c r="O141" s="5" t="str">
        <f t="shared" si="8"/>
        <v xml:space="preserve"> 2024</v>
      </c>
    </row>
    <row r="142" spans="1:15" x14ac:dyDescent="0.35">
      <c r="A142" t="s">
        <v>337</v>
      </c>
      <c r="B142" s="5" t="s">
        <v>260</v>
      </c>
      <c r="C142" s="4" t="s">
        <v>55</v>
      </c>
      <c r="D142" s="4" t="s">
        <v>98</v>
      </c>
      <c r="E142" s="4" t="s">
        <v>99</v>
      </c>
      <c r="F142" s="4" t="s">
        <v>16</v>
      </c>
      <c r="G142" s="4" t="s">
        <v>17</v>
      </c>
      <c r="H142" s="4" t="s">
        <v>27</v>
      </c>
      <c r="I142" s="4" t="s">
        <v>60</v>
      </c>
      <c r="J142" s="3">
        <v>10</v>
      </c>
      <c r="K142" s="6">
        <v>391740</v>
      </c>
      <c r="L142" s="6">
        <f t="shared" si="6"/>
        <v>274218</v>
      </c>
      <c r="M142" s="6">
        <v>117522</v>
      </c>
      <c r="N142" s="5" t="str">
        <f t="shared" si="7"/>
        <v>Jan</v>
      </c>
      <c r="O142" s="5" t="str">
        <f t="shared" si="8"/>
        <v xml:space="preserve"> 2023</v>
      </c>
    </row>
    <row r="143" spans="1:15" x14ac:dyDescent="0.35">
      <c r="A143" t="s">
        <v>338</v>
      </c>
      <c r="B143" s="5" t="s">
        <v>339</v>
      </c>
      <c r="C143" s="4" t="s">
        <v>13</v>
      </c>
      <c r="D143" s="4" t="s">
        <v>125</v>
      </c>
      <c r="E143" s="4" t="s">
        <v>126</v>
      </c>
      <c r="F143" s="4" t="s">
        <v>16</v>
      </c>
      <c r="G143" s="4" t="s">
        <v>122</v>
      </c>
      <c r="H143" s="4" t="s">
        <v>72</v>
      </c>
      <c r="I143" s="4" t="s">
        <v>28</v>
      </c>
      <c r="J143" s="3">
        <v>4</v>
      </c>
      <c r="K143" s="6">
        <v>11956</v>
      </c>
      <c r="L143" s="6">
        <f t="shared" si="6"/>
        <v>8369.1999999999989</v>
      </c>
      <c r="M143" s="6">
        <v>3586.8000000000011</v>
      </c>
      <c r="N143" s="5" t="str">
        <f t="shared" si="7"/>
        <v>Jan</v>
      </c>
      <c r="O143" s="5" t="str">
        <f t="shared" si="8"/>
        <v xml:space="preserve"> 2024</v>
      </c>
    </row>
    <row r="144" spans="1:15" x14ac:dyDescent="0.35">
      <c r="A144" t="s">
        <v>340</v>
      </c>
      <c r="B144" s="5" t="s">
        <v>341</v>
      </c>
      <c r="C144" s="4" t="s">
        <v>22</v>
      </c>
      <c r="D144" s="4" t="s">
        <v>86</v>
      </c>
      <c r="E144" s="4" t="s">
        <v>87</v>
      </c>
      <c r="F144" s="4" t="s">
        <v>16</v>
      </c>
      <c r="G144" s="4" t="s">
        <v>42</v>
      </c>
      <c r="H144" s="4" t="s">
        <v>18</v>
      </c>
      <c r="I144" s="4" t="s">
        <v>19</v>
      </c>
      <c r="J144" s="3">
        <v>9</v>
      </c>
      <c r="K144" s="6">
        <v>150714</v>
      </c>
      <c r="L144" s="6">
        <f t="shared" si="6"/>
        <v>105499.79999999999</v>
      </c>
      <c r="M144" s="6">
        <v>45214.200000000012</v>
      </c>
      <c r="N144" s="5" t="str">
        <f t="shared" si="7"/>
        <v>Jan</v>
      </c>
      <c r="O144" s="5" t="str">
        <f t="shared" si="8"/>
        <v xml:space="preserve"> 2024</v>
      </c>
    </row>
    <row r="145" spans="1:15" x14ac:dyDescent="0.35">
      <c r="A145" t="s">
        <v>342</v>
      </c>
      <c r="B145" s="5" t="s">
        <v>343</v>
      </c>
      <c r="C145" s="4" t="s">
        <v>22</v>
      </c>
      <c r="D145" s="4" t="s">
        <v>90</v>
      </c>
      <c r="E145" s="4" t="s">
        <v>110</v>
      </c>
      <c r="F145" s="4" t="s">
        <v>67</v>
      </c>
      <c r="G145" s="4" t="s">
        <v>134</v>
      </c>
      <c r="H145" s="4" t="s">
        <v>72</v>
      </c>
      <c r="I145" s="4" t="s">
        <v>60</v>
      </c>
      <c r="J145" s="3">
        <v>5</v>
      </c>
      <c r="K145" s="6">
        <v>75505</v>
      </c>
      <c r="L145" s="6">
        <f t="shared" si="6"/>
        <v>52853.5</v>
      </c>
      <c r="M145" s="6">
        <v>22651.5</v>
      </c>
      <c r="N145" s="5" t="str">
        <f t="shared" si="7"/>
        <v>Mar</v>
      </c>
      <c r="O145" s="5" t="str">
        <f t="shared" si="8"/>
        <v xml:space="preserve"> 2024</v>
      </c>
    </row>
    <row r="146" spans="1:15" x14ac:dyDescent="0.35">
      <c r="A146" t="s">
        <v>344</v>
      </c>
      <c r="B146" s="5" t="s">
        <v>345</v>
      </c>
      <c r="C146" s="4" t="s">
        <v>13</v>
      </c>
      <c r="D146" s="4" t="s">
        <v>14</v>
      </c>
      <c r="E146" s="4" t="s">
        <v>15</v>
      </c>
      <c r="F146" s="4" t="s">
        <v>37</v>
      </c>
      <c r="G146" s="4" t="s">
        <v>38</v>
      </c>
      <c r="H146" s="4" t="s">
        <v>72</v>
      </c>
      <c r="I146" s="4" t="s">
        <v>60</v>
      </c>
      <c r="J146" s="3">
        <v>10</v>
      </c>
      <c r="K146" s="6">
        <v>421030</v>
      </c>
      <c r="L146" s="6">
        <f t="shared" si="6"/>
        <v>294721</v>
      </c>
      <c r="M146" s="6">
        <v>126309</v>
      </c>
      <c r="N146" s="5" t="str">
        <f t="shared" si="7"/>
        <v>Dec</v>
      </c>
      <c r="O146" s="5" t="str">
        <f t="shared" si="8"/>
        <v xml:space="preserve"> 2023</v>
      </c>
    </row>
    <row r="147" spans="1:15" x14ac:dyDescent="0.35">
      <c r="A147" t="s">
        <v>346</v>
      </c>
      <c r="B147" s="5" t="s">
        <v>192</v>
      </c>
      <c r="C147" s="4" t="s">
        <v>22</v>
      </c>
      <c r="D147" s="4" t="s">
        <v>86</v>
      </c>
      <c r="E147" s="4" t="s">
        <v>87</v>
      </c>
      <c r="F147" s="4" t="s">
        <v>16</v>
      </c>
      <c r="G147" s="4" t="s">
        <v>42</v>
      </c>
      <c r="H147" s="4" t="s">
        <v>27</v>
      </c>
      <c r="I147" s="4" t="s">
        <v>28</v>
      </c>
      <c r="J147" s="3">
        <v>5</v>
      </c>
      <c r="K147" s="6">
        <v>211460</v>
      </c>
      <c r="L147" s="6">
        <f t="shared" si="6"/>
        <v>148022</v>
      </c>
      <c r="M147" s="6">
        <v>63438</v>
      </c>
      <c r="N147" s="5" t="str">
        <f t="shared" si="7"/>
        <v>Sep</v>
      </c>
      <c r="O147" s="5" t="str">
        <f t="shared" si="8"/>
        <v xml:space="preserve"> 2024</v>
      </c>
    </row>
    <row r="148" spans="1:15" x14ac:dyDescent="0.35">
      <c r="A148" t="s">
        <v>347</v>
      </c>
      <c r="B148" s="5" t="s">
        <v>348</v>
      </c>
      <c r="C148" s="4" t="s">
        <v>55</v>
      </c>
      <c r="D148" s="4" t="s">
        <v>98</v>
      </c>
      <c r="E148" s="4" t="s">
        <v>99</v>
      </c>
      <c r="F148" s="4" t="s">
        <v>25</v>
      </c>
      <c r="G148" s="4" t="s">
        <v>77</v>
      </c>
      <c r="H148" s="4" t="s">
        <v>72</v>
      </c>
      <c r="I148" s="4" t="s">
        <v>47</v>
      </c>
      <c r="J148" s="3">
        <v>10</v>
      </c>
      <c r="K148" s="6">
        <v>178950</v>
      </c>
      <c r="L148" s="6">
        <f t="shared" si="6"/>
        <v>125264.99999999999</v>
      </c>
      <c r="M148" s="6">
        <v>53685.000000000015</v>
      </c>
      <c r="N148" s="5" t="str">
        <f t="shared" si="7"/>
        <v>Feb</v>
      </c>
      <c r="O148" s="5" t="str">
        <f t="shared" si="8"/>
        <v xml:space="preserve"> 2023</v>
      </c>
    </row>
    <row r="149" spans="1:15" x14ac:dyDescent="0.35">
      <c r="A149" t="s">
        <v>349</v>
      </c>
      <c r="B149" s="5" t="s">
        <v>350</v>
      </c>
      <c r="C149" s="4" t="s">
        <v>55</v>
      </c>
      <c r="D149" s="4" t="s">
        <v>82</v>
      </c>
      <c r="E149" s="4" t="s">
        <v>83</v>
      </c>
      <c r="F149" s="4" t="s">
        <v>25</v>
      </c>
      <c r="G149" s="4" t="s">
        <v>71</v>
      </c>
      <c r="H149" s="4" t="s">
        <v>27</v>
      </c>
      <c r="I149" s="4" t="s">
        <v>60</v>
      </c>
      <c r="J149" s="3">
        <v>6</v>
      </c>
      <c r="K149" s="6">
        <v>246600</v>
      </c>
      <c r="L149" s="6">
        <f t="shared" si="6"/>
        <v>172620</v>
      </c>
      <c r="M149" s="6">
        <v>73980</v>
      </c>
      <c r="N149" s="5" t="str">
        <f t="shared" si="7"/>
        <v>Jun</v>
      </c>
      <c r="O149" s="5" t="str">
        <f t="shared" si="8"/>
        <v xml:space="preserve"> 2024</v>
      </c>
    </row>
    <row r="150" spans="1:15" x14ac:dyDescent="0.35">
      <c r="A150" t="s">
        <v>351</v>
      </c>
      <c r="B150" s="5" t="s">
        <v>260</v>
      </c>
      <c r="C150" s="4" t="s">
        <v>13</v>
      </c>
      <c r="D150" s="4" t="s">
        <v>125</v>
      </c>
      <c r="E150" s="4" t="s">
        <v>126</v>
      </c>
      <c r="F150" s="4" t="s">
        <v>67</v>
      </c>
      <c r="G150" s="4" t="s">
        <v>113</v>
      </c>
      <c r="H150" s="4" t="s">
        <v>72</v>
      </c>
      <c r="I150" s="4" t="s">
        <v>47</v>
      </c>
      <c r="J150" s="3">
        <v>7</v>
      </c>
      <c r="K150" s="6">
        <v>173537</v>
      </c>
      <c r="L150" s="6">
        <f t="shared" si="6"/>
        <v>121475.9</v>
      </c>
      <c r="M150" s="6">
        <v>52061.100000000006</v>
      </c>
      <c r="N150" s="5" t="str">
        <f t="shared" si="7"/>
        <v>Jan</v>
      </c>
      <c r="O150" s="5" t="str">
        <f t="shared" si="8"/>
        <v xml:space="preserve"> 2023</v>
      </c>
    </row>
    <row r="151" spans="1:15" x14ac:dyDescent="0.35">
      <c r="A151" t="s">
        <v>352</v>
      </c>
      <c r="B151" s="5" t="s">
        <v>353</v>
      </c>
      <c r="C151" s="4" t="s">
        <v>55</v>
      </c>
      <c r="D151" s="4" t="s">
        <v>56</v>
      </c>
      <c r="E151" s="4" t="s">
        <v>57</v>
      </c>
      <c r="F151" s="4" t="s">
        <v>37</v>
      </c>
      <c r="G151" s="4" t="s">
        <v>148</v>
      </c>
      <c r="H151" s="4" t="s">
        <v>27</v>
      </c>
      <c r="I151" s="4" t="s">
        <v>47</v>
      </c>
      <c r="J151" s="3">
        <v>7</v>
      </c>
      <c r="K151" s="6">
        <v>8988</v>
      </c>
      <c r="L151" s="6">
        <f t="shared" si="6"/>
        <v>6291.5999999999995</v>
      </c>
      <c r="M151" s="6">
        <v>2696.4000000000005</v>
      </c>
      <c r="N151" s="5" t="str">
        <f t="shared" si="7"/>
        <v>Dec</v>
      </c>
      <c r="O151" s="5" t="str">
        <f t="shared" si="8"/>
        <v xml:space="preserve"> 2023</v>
      </c>
    </row>
    <row r="152" spans="1:15" x14ac:dyDescent="0.35">
      <c r="A152" t="s">
        <v>354</v>
      </c>
      <c r="B152" s="5" t="s">
        <v>355</v>
      </c>
      <c r="C152" s="4" t="s">
        <v>55</v>
      </c>
      <c r="D152" s="4" t="s">
        <v>98</v>
      </c>
      <c r="E152" s="4" t="s">
        <v>99</v>
      </c>
      <c r="F152" s="4" t="s">
        <v>37</v>
      </c>
      <c r="G152" s="4" t="s">
        <v>148</v>
      </c>
      <c r="H152" s="4" t="s">
        <v>72</v>
      </c>
      <c r="I152" s="4" t="s">
        <v>19</v>
      </c>
      <c r="J152" s="3">
        <v>6</v>
      </c>
      <c r="K152" s="6">
        <v>45792</v>
      </c>
      <c r="L152" s="6">
        <f t="shared" si="6"/>
        <v>32054.399999999998</v>
      </c>
      <c r="M152" s="6">
        <v>13737.600000000002</v>
      </c>
      <c r="N152" s="5" t="str">
        <f t="shared" si="7"/>
        <v>Jun</v>
      </c>
      <c r="O152" s="5" t="str">
        <f t="shared" si="8"/>
        <v xml:space="preserve"> 2023</v>
      </c>
    </row>
    <row r="153" spans="1:15" x14ac:dyDescent="0.35">
      <c r="A153" t="s">
        <v>356</v>
      </c>
      <c r="B153" s="5" t="s">
        <v>357</v>
      </c>
      <c r="C153" s="4" t="s">
        <v>31</v>
      </c>
      <c r="D153" s="4" t="s">
        <v>50</v>
      </c>
      <c r="E153" s="4" t="s">
        <v>51</v>
      </c>
      <c r="F153" s="4" t="s">
        <v>16</v>
      </c>
      <c r="G153" s="4" t="s">
        <v>42</v>
      </c>
      <c r="H153" s="4" t="s">
        <v>72</v>
      </c>
      <c r="I153" s="4" t="s">
        <v>19</v>
      </c>
      <c r="J153" s="3">
        <v>1</v>
      </c>
      <c r="K153" s="6">
        <v>20273</v>
      </c>
      <c r="L153" s="6">
        <f t="shared" si="6"/>
        <v>14191.099999999999</v>
      </c>
      <c r="M153" s="6">
        <v>6081.9000000000015</v>
      </c>
      <c r="N153" s="5" t="str">
        <f t="shared" si="7"/>
        <v>Aug</v>
      </c>
      <c r="O153" s="5" t="str">
        <f t="shared" si="8"/>
        <v xml:space="preserve"> 2024</v>
      </c>
    </row>
    <row r="154" spans="1:15" x14ac:dyDescent="0.35">
      <c r="A154" t="s">
        <v>358</v>
      </c>
      <c r="B154" s="5" t="s">
        <v>359</v>
      </c>
      <c r="C154" s="4" t="s">
        <v>31</v>
      </c>
      <c r="D154" s="4" t="s">
        <v>32</v>
      </c>
      <c r="E154" s="4" t="s">
        <v>33</v>
      </c>
      <c r="F154" s="4" t="s">
        <v>25</v>
      </c>
      <c r="G154" s="4" t="s">
        <v>26</v>
      </c>
      <c r="H154" s="4" t="s">
        <v>72</v>
      </c>
      <c r="I154" s="4" t="s">
        <v>39</v>
      </c>
      <c r="J154" s="3">
        <v>9</v>
      </c>
      <c r="K154" s="6">
        <v>323739</v>
      </c>
      <c r="L154" s="6">
        <f t="shared" si="6"/>
        <v>226617.3</v>
      </c>
      <c r="M154" s="6">
        <v>97121.700000000012</v>
      </c>
      <c r="N154" s="5" t="str">
        <f t="shared" si="7"/>
        <v>Feb</v>
      </c>
      <c r="O154" s="5" t="str">
        <f t="shared" si="8"/>
        <v xml:space="preserve"> 2023</v>
      </c>
    </row>
    <row r="155" spans="1:15" x14ac:dyDescent="0.35">
      <c r="A155" t="s">
        <v>360</v>
      </c>
      <c r="B155" s="5" t="s">
        <v>361</v>
      </c>
      <c r="C155" s="4" t="s">
        <v>55</v>
      </c>
      <c r="D155" s="4" t="s">
        <v>63</v>
      </c>
      <c r="E155" s="4" t="s">
        <v>64</v>
      </c>
      <c r="F155" s="4" t="s">
        <v>37</v>
      </c>
      <c r="G155" s="4" t="s">
        <v>148</v>
      </c>
      <c r="H155" s="4" t="s">
        <v>18</v>
      </c>
      <c r="I155" s="4" t="s">
        <v>60</v>
      </c>
      <c r="J155" s="3">
        <v>10</v>
      </c>
      <c r="K155" s="6">
        <v>249850</v>
      </c>
      <c r="L155" s="6">
        <f t="shared" si="6"/>
        <v>174895</v>
      </c>
      <c r="M155" s="6">
        <v>74955</v>
      </c>
      <c r="N155" s="5" t="str">
        <f t="shared" si="7"/>
        <v>Apr</v>
      </c>
      <c r="O155" s="5" t="str">
        <f t="shared" si="8"/>
        <v xml:space="preserve"> 2023</v>
      </c>
    </row>
    <row r="156" spans="1:15" x14ac:dyDescent="0.35">
      <c r="A156" t="s">
        <v>362</v>
      </c>
      <c r="B156" s="5" t="s">
        <v>363</v>
      </c>
      <c r="C156" s="4" t="s">
        <v>13</v>
      </c>
      <c r="D156" s="4" t="s">
        <v>162</v>
      </c>
      <c r="E156" s="4" t="s">
        <v>163</v>
      </c>
      <c r="F156" s="4" t="s">
        <v>37</v>
      </c>
      <c r="G156" s="4" t="s">
        <v>186</v>
      </c>
      <c r="H156" s="4" t="s">
        <v>72</v>
      </c>
      <c r="I156" s="4" t="s">
        <v>28</v>
      </c>
      <c r="J156" s="3">
        <v>8</v>
      </c>
      <c r="K156" s="6">
        <v>268000</v>
      </c>
      <c r="L156" s="6">
        <f t="shared" si="6"/>
        <v>187600</v>
      </c>
      <c r="M156" s="6">
        <v>80400</v>
      </c>
      <c r="N156" s="5" t="str">
        <f t="shared" si="7"/>
        <v>Sep</v>
      </c>
      <c r="O156" s="5" t="str">
        <f t="shared" si="8"/>
        <v xml:space="preserve"> 2023</v>
      </c>
    </row>
    <row r="157" spans="1:15" x14ac:dyDescent="0.35">
      <c r="A157" t="s">
        <v>364</v>
      </c>
      <c r="B157" s="5" t="s">
        <v>85</v>
      </c>
      <c r="C157" s="4" t="s">
        <v>13</v>
      </c>
      <c r="D157" s="4" t="s">
        <v>162</v>
      </c>
      <c r="E157" s="4" t="s">
        <v>163</v>
      </c>
      <c r="F157" s="4" t="s">
        <v>16</v>
      </c>
      <c r="G157" s="4" t="s">
        <v>122</v>
      </c>
      <c r="H157" s="4" t="s">
        <v>27</v>
      </c>
      <c r="I157" s="4" t="s">
        <v>19</v>
      </c>
      <c r="J157" s="3">
        <v>4</v>
      </c>
      <c r="K157" s="6">
        <v>165888</v>
      </c>
      <c r="L157" s="6">
        <f t="shared" si="6"/>
        <v>116121.59999999999</v>
      </c>
      <c r="M157" s="6">
        <v>49766.400000000009</v>
      </c>
      <c r="N157" s="5" t="str">
        <f t="shared" si="7"/>
        <v>Nov</v>
      </c>
      <c r="O157" s="5" t="str">
        <f t="shared" si="8"/>
        <v xml:space="preserve"> 2023</v>
      </c>
    </row>
    <row r="158" spans="1:15" x14ac:dyDescent="0.35">
      <c r="A158" t="s">
        <v>365</v>
      </c>
      <c r="B158" s="5" t="s">
        <v>177</v>
      </c>
      <c r="C158" s="4" t="s">
        <v>55</v>
      </c>
      <c r="D158" s="4" t="s">
        <v>82</v>
      </c>
      <c r="E158" s="4" t="s">
        <v>83</v>
      </c>
      <c r="F158" s="4" t="s">
        <v>25</v>
      </c>
      <c r="G158" s="4" t="s">
        <v>26</v>
      </c>
      <c r="H158" s="4" t="s">
        <v>18</v>
      </c>
      <c r="I158" s="4" t="s">
        <v>60</v>
      </c>
      <c r="J158" s="3">
        <v>3</v>
      </c>
      <c r="K158" s="6">
        <v>133803</v>
      </c>
      <c r="L158" s="6">
        <f t="shared" si="6"/>
        <v>93662.099999999991</v>
      </c>
      <c r="M158" s="6">
        <v>40140.900000000009</v>
      </c>
      <c r="N158" s="5" t="str">
        <f t="shared" si="7"/>
        <v>Sep</v>
      </c>
      <c r="O158" s="5" t="str">
        <f t="shared" si="8"/>
        <v xml:space="preserve"> 2023</v>
      </c>
    </row>
    <row r="159" spans="1:15" x14ac:dyDescent="0.35">
      <c r="A159" t="s">
        <v>366</v>
      </c>
      <c r="B159" s="5" t="s">
        <v>367</v>
      </c>
      <c r="C159" s="4" t="s">
        <v>22</v>
      </c>
      <c r="D159" s="4" t="s">
        <v>90</v>
      </c>
      <c r="E159" s="4" t="s">
        <v>110</v>
      </c>
      <c r="F159" s="4" t="s">
        <v>67</v>
      </c>
      <c r="G159" s="4" t="s">
        <v>134</v>
      </c>
      <c r="H159" s="4" t="s">
        <v>18</v>
      </c>
      <c r="I159" s="4" t="s">
        <v>47</v>
      </c>
      <c r="J159" s="3">
        <v>1</v>
      </c>
      <c r="K159" s="6">
        <v>29400</v>
      </c>
      <c r="L159" s="6">
        <f t="shared" si="6"/>
        <v>20580</v>
      </c>
      <c r="M159" s="6">
        <v>8820</v>
      </c>
      <c r="N159" s="5" t="str">
        <f t="shared" si="7"/>
        <v>Jun</v>
      </c>
      <c r="O159" s="5" t="str">
        <f t="shared" si="8"/>
        <v xml:space="preserve"> 2024</v>
      </c>
    </row>
    <row r="160" spans="1:15" x14ac:dyDescent="0.35">
      <c r="A160" t="s">
        <v>368</v>
      </c>
      <c r="B160" s="5" t="s">
        <v>213</v>
      </c>
      <c r="C160" s="4" t="s">
        <v>55</v>
      </c>
      <c r="D160" s="4" t="s">
        <v>56</v>
      </c>
      <c r="E160" s="4" t="s">
        <v>57</v>
      </c>
      <c r="F160" s="4" t="s">
        <v>67</v>
      </c>
      <c r="G160" s="4" t="s">
        <v>113</v>
      </c>
      <c r="H160" s="4" t="s">
        <v>27</v>
      </c>
      <c r="I160" s="4" t="s">
        <v>60</v>
      </c>
      <c r="J160" s="3">
        <v>1</v>
      </c>
      <c r="K160" s="6">
        <v>45674</v>
      </c>
      <c r="L160" s="6">
        <f t="shared" si="6"/>
        <v>31971.8</v>
      </c>
      <c r="M160" s="6">
        <v>13702.2</v>
      </c>
      <c r="N160" s="5" t="str">
        <f t="shared" si="7"/>
        <v>Jun</v>
      </c>
      <c r="O160" s="5" t="str">
        <f t="shared" si="8"/>
        <v xml:space="preserve"> 2024</v>
      </c>
    </row>
    <row r="161" spans="1:15" x14ac:dyDescent="0.35">
      <c r="A161" t="s">
        <v>369</v>
      </c>
      <c r="B161" s="5" t="s">
        <v>370</v>
      </c>
      <c r="C161" s="4" t="s">
        <v>13</v>
      </c>
      <c r="D161" s="4" t="s">
        <v>125</v>
      </c>
      <c r="E161" s="4" t="s">
        <v>126</v>
      </c>
      <c r="F161" s="4" t="s">
        <v>16</v>
      </c>
      <c r="G161" s="4" t="s">
        <v>42</v>
      </c>
      <c r="H161" s="4" t="s">
        <v>72</v>
      </c>
      <c r="I161" s="4" t="s">
        <v>60</v>
      </c>
      <c r="J161" s="3">
        <v>3</v>
      </c>
      <c r="K161" s="6">
        <v>133326</v>
      </c>
      <c r="L161" s="6">
        <f t="shared" si="6"/>
        <v>93328.2</v>
      </c>
      <c r="M161" s="6">
        <v>39997.800000000003</v>
      </c>
      <c r="N161" s="5" t="str">
        <f t="shared" si="7"/>
        <v>Sep</v>
      </c>
      <c r="O161" s="5" t="str">
        <f t="shared" si="8"/>
        <v xml:space="preserve"> 2024</v>
      </c>
    </row>
    <row r="162" spans="1:15" x14ac:dyDescent="0.35">
      <c r="A162" t="s">
        <v>371</v>
      </c>
      <c r="B162" s="5" t="s">
        <v>372</v>
      </c>
      <c r="C162" s="4" t="s">
        <v>22</v>
      </c>
      <c r="D162" s="4" t="s">
        <v>90</v>
      </c>
      <c r="E162" s="4" t="s">
        <v>91</v>
      </c>
      <c r="F162" s="4" t="s">
        <v>37</v>
      </c>
      <c r="G162" s="4" t="s">
        <v>186</v>
      </c>
      <c r="H162" s="4" t="s">
        <v>18</v>
      </c>
      <c r="I162" s="4" t="s">
        <v>60</v>
      </c>
      <c r="J162" s="3">
        <v>5</v>
      </c>
      <c r="K162" s="6">
        <v>97220</v>
      </c>
      <c r="L162" s="6">
        <f t="shared" si="6"/>
        <v>68054</v>
      </c>
      <c r="M162" s="6">
        <v>29166</v>
      </c>
      <c r="N162" s="5" t="str">
        <f t="shared" si="7"/>
        <v>Oct</v>
      </c>
      <c r="O162" s="5" t="str">
        <f t="shared" si="8"/>
        <v xml:space="preserve"> 2024</v>
      </c>
    </row>
    <row r="163" spans="1:15" x14ac:dyDescent="0.35">
      <c r="A163" t="s">
        <v>373</v>
      </c>
      <c r="B163" s="5" t="s">
        <v>374</v>
      </c>
      <c r="C163" s="4" t="s">
        <v>22</v>
      </c>
      <c r="D163" s="4" t="s">
        <v>90</v>
      </c>
      <c r="E163" s="4" t="s">
        <v>91</v>
      </c>
      <c r="F163" s="4" t="s">
        <v>16</v>
      </c>
      <c r="G163" s="4" t="s">
        <v>34</v>
      </c>
      <c r="H163" s="4" t="s">
        <v>72</v>
      </c>
      <c r="I163" s="4" t="s">
        <v>39</v>
      </c>
      <c r="J163" s="3">
        <v>6</v>
      </c>
      <c r="K163" s="6">
        <v>36036</v>
      </c>
      <c r="L163" s="6">
        <f t="shared" si="6"/>
        <v>25225.199999999997</v>
      </c>
      <c r="M163" s="6">
        <v>10810.800000000003</v>
      </c>
      <c r="N163" s="5" t="str">
        <f t="shared" si="7"/>
        <v>Apr</v>
      </c>
      <c r="O163" s="5" t="str">
        <f t="shared" si="8"/>
        <v xml:space="preserve"> 2024</v>
      </c>
    </row>
    <row r="164" spans="1:15" x14ac:dyDescent="0.35">
      <c r="A164" t="s">
        <v>375</v>
      </c>
      <c r="B164" s="5" t="s">
        <v>234</v>
      </c>
      <c r="C164" s="4" t="s">
        <v>31</v>
      </c>
      <c r="D164" s="4" t="s">
        <v>45</v>
      </c>
      <c r="E164" s="4" t="s">
        <v>46</v>
      </c>
      <c r="F164" s="4" t="s">
        <v>67</v>
      </c>
      <c r="G164" s="4" t="s">
        <v>113</v>
      </c>
      <c r="H164" s="4" t="s">
        <v>72</v>
      </c>
      <c r="I164" s="4" t="s">
        <v>60</v>
      </c>
      <c r="J164" s="3">
        <v>5</v>
      </c>
      <c r="K164" s="6">
        <v>190565</v>
      </c>
      <c r="L164" s="6">
        <f t="shared" si="6"/>
        <v>133395.5</v>
      </c>
      <c r="M164" s="6">
        <v>57169.5</v>
      </c>
      <c r="N164" s="5" t="str">
        <f t="shared" si="7"/>
        <v>May</v>
      </c>
      <c r="O164" s="5" t="str">
        <f t="shared" si="8"/>
        <v xml:space="preserve"> 2024</v>
      </c>
    </row>
    <row r="165" spans="1:15" x14ac:dyDescent="0.35">
      <c r="A165" t="s">
        <v>376</v>
      </c>
      <c r="B165" s="5" t="s">
        <v>377</v>
      </c>
      <c r="C165" s="4" t="s">
        <v>55</v>
      </c>
      <c r="D165" s="4" t="s">
        <v>98</v>
      </c>
      <c r="E165" s="4" t="s">
        <v>99</v>
      </c>
      <c r="F165" s="4" t="s">
        <v>37</v>
      </c>
      <c r="G165" s="4" t="s">
        <v>148</v>
      </c>
      <c r="H165" s="4" t="s">
        <v>27</v>
      </c>
      <c r="I165" s="4" t="s">
        <v>39</v>
      </c>
      <c r="J165" s="3">
        <v>2</v>
      </c>
      <c r="K165" s="6">
        <v>36384</v>
      </c>
      <c r="L165" s="6">
        <f t="shared" si="6"/>
        <v>25468.799999999999</v>
      </c>
      <c r="M165" s="6">
        <v>10915.2</v>
      </c>
      <c r="N165" s="5" t="str">
        <f t="shared" si="7"/>
        <v>Sep</v>
      </c>
      <c r="O165" s="5" t="str">
        <f t="shared" si="8"/>
        <v xml:space="preserve"> 2024</v>
      </c>
    </row>
    <row r="166" spans="1:15" x14ac:dyDescent="0.35">
      <c r="A166" t="s">
        <v>378</v>
      </c>
      <c r="B166" s="5" t="s">
        <v>379</v>
      </c>
      <c r="C166" s="4" t="s">
        <v>13</v>
      </c>
      <c r="D166" s="4" t="s">
        <v>118</v>
      </c>
      <c r="E166" s="4" t="s">
        <v>119</v>
      </c>
      <c r="F166" s="4" t="s">
        <v>16</v>
      </c>
      <c r="G166" s="4" t="s">
        <v>34</v>
      </c>
      <c r="H166" s="4" t="s">
        <v>18</v>
      </c>
      <c r="I166" s="4" t="s">
        <v>39</v>
      </c>
      <c r="J166" s="3">
        <v>8</v>
      </c>
      <c r="K166" s="6">
        <v>292736</v>
      </c>
      <c r="L166" s="6">
        <f t="shared" si="6"/>
        <v>204915.19999999998</v>
      </c>
      <c r="M166" s="6">
        <v>87820.800000000017</v>
      </c>
      <c r="N166" s="5" t="str">
        <f t="shared" si="7"/>
        <v>Sep</v>
      </c>
      <c r="O166" s="5" t="str">
        <f t="shared" si="8"/>
        <v xml:space="preserve"> 2023</v>
      </c>
    </row>
    <row r="167" spans="1:15" x14ac:dyDescent="0.35">
      <c r="A167" t="s">
        <v>380</v>
      </c>
      <c r="B167" s="5" t="s">
        <v>381</v>
      </c>
      <c r="C167" s="4" t="s">
        <v>55</v>
      </c>
      <c r="D167" s="4" t="s">
        <v>98</v>
      </c>
      <c r="E167" s="4" t="s">
        <v>99</v>
      </c>
      <c r="F167" s="4" t="s">
        <v>25</v>
      </c>
      <c r="G167" s="4" t="s">
        <v>52</v>
      </c>
      <c r="H167" s="4" t="s">
        <v>27</v>
      </c>
      <c r="I167" s="4" t="s">
        <v>28</v>
      </c>
      <c r="J167" s="3">
        <v>4</v>
      </c>
      <c r="K167" s="6">
        <v>78348</v>
      </c>
      <c r="L167" s="6">
        <f t="shared" si="6"/>
        <v>54843.6</v>
      </c>
      <c r="M167" s="6">
        <v>23504.400000000001</v>
      </c>
      <c r="N167" s="5" t="str">
        <f t="shared" si="7"/>
        <v>Sep</v>
      </c>
      <c r="O167" s="5" t="str">
        <f t="shared" si="8"/>
        <v xml:space="preserve"> 2023</v>
      </c>
    </row>
    <row r="168" spans="1:15" x14ac:dyDescent="0.35">
      <c r="A168" t="s">
        <v>382</v>
      </c>
      <c r="B168" s="5" t="s">
        <v>327</v>
      </c>
      <c r="C168" s="4" t="s">
        <v>31</v>
      </c>
      <c r="D168" s="4" t="s">
        <v>45</v>
      </c>
      <c r="E168" s="4" t="s">
        <v>46</v>
      </c>
      <c r="F168" s="4" t="s">
        <v>37</v>
      </c>
      <c r="G168" s="4" t="s">
        <v>183</v>
      </c>
      <c r="H168" s="4" t="s">
        <v>27</v>
      </c>
      <c r="I168" s="4" t="s">
        <v>60</v>
      </c>
      <c r="J168" s="3">
        <v>7</v>
      </c>
      <c r="K168" s="6">
        <v>30254</v>
      </c>
      <c r="L168" s="6">
        <f t="shared" si="6"/>
        <v>21177.8</v>
      </c>
      <c r="M168" s="6">
        <v>9076.2000000000007</v>
      </c>
      <c r="N168" s="5" t="str">
        <f t="shared" si="7"/>
        <v>Oct</v>
      </c>
      <c r="O168" s="5" t="str">
        <f t="shared" si="8"/>
        <v xml:space="preserve"> 2024</v>
      </c>
    </row>
    <row r="169" spans="1:15" x14ac:dyDescent="0.35">
      <c r="A169" t="s">
        <v>383</v>
      </c>
      <c r="B169" s="5" t="s">
        <v>384</v>
      </c>
      <c r="C169" s="4" t="s">
        <v>55</v>
      </c>
      <c r="D169" s="4" t="s">
        <v>63</v>
      </c>
      <c r="E169" s="4" t="s">
        <v>64</v>
      </c>
      <c r="F169" s="4" t="s">
        <v>37</v>
      </c>
      <c r="G169" s="4" t="s">
        <v>186</v>
      </c>
      <c r="H169" s="4" t="s">
        <v>18</v>
      </c>
      <c r="I169" s="4" t="s">
        <v>39</v>
      </c>
      <c r="J169" s="3">
        <v>1</v>
      </c>
      <c r="K169" s="6">
        <v>35478</v>
      </c>
      <c r="L169" s="6">
        <f t="shared" si="6"/>
        <v>24834.6</v>
      </c>
      <c r="M169" s="6">
        <v>10643.400000000001</v>
      </c>
      <c r="N169" s="5" t="str">
        <f t="shared" si="7"/>
        <v>Jan</v>
      </c>
      <c r="O169" s="5" t="str">
        <f t="shared" si="8"/>
        <v xml:space="preserve"> 2023</v>
      </c>
    </row>
    <row r="170" spans="1:15" x14ac:dyDescent="0.35">
      <c r="A170" t="s">
        <v>385</v>
      </c>
      <c r="B170" s="5" t="s">
        <v>386</v>
      </c>
      <c r="C170" s="4" t="s">
        <v>22</v>
      </c>
      <c r="D170" s="4" t="s">
        <v>90</v>
      </c>
      <c r="E170" s="4" t="s">
        <v>91</v>
      </c>
      <c r="F170" s="4" t="s">
        <v>37</v>
      </c>
      <c r="G170" s="4" t="s">
        <v>183</v>
      </c>
      <c r="H170" s="4" t="s">
        <v>27</v>
      </c>
      <c r="I170" s="4" t="s">
        <v>28</v>
      </c>
      <c r="J170" s="3">
        <v>1</v>
      </c>
      <c r="K170" s="6">
        <v>24331</v>
      </c>
      <c r="L170" s="6">
        <f t="shared" si="6"/>
        <v>17031.7</v>
      </c>
      <c r="M170" s="6">
        <v>7299.2999999999993</v>
      </c>
      <c r="N170" s="5" t="str">
        <f t="shared" si="7"/>
        <v>Feb</v>
      </c>
      <c r="O170" s="5" t="str">
        <f t="shared" si="8"/>
        <v xml:space="preserve"> 2024</v>
      </c>
    </row>
    <row r="171" spans="1:15" x14ac:dyDescent="0.35">
      <c r="A171" t="s">
        <v>387</v>
      </c>
      <c r="B171" s="5" t="s">
        <v>388</v>
      </c>
      <c r="C171" s="4" t="s">
        <v>13</v>
      </c>
      <c r="D171" s="4" t="s">
        <v>125</v>
      </c>
      <c r="E171" s="4" t="s">
        <v>126</v>
      </c>
      <c r="F171" s="4" t="s">
        <v>37</v>
      </c>
      <c r="G171" s="4" t="s">
        <v>148</v>
      </c>
      <c r="H171" s="4" t="s">
        <v>72</v>
      </c>
      <c r="I171" s="4" t="s">
        <v>19</v>
      </c>
      <c r="J171" s="3">
        <v>5</v>
      </c>
      <c r="K171" s="6">
        <v>154780</v>
      </c>
      <c r="L171" s="6">
        <f t="shared" si="6"/>
        <v>108346</v>
      </c>
      <c r="M171" s="6">
        <v>46434</v>
      </c>
      <c r="N171" s="5" t="str">
        <f t="shared" si="7"/>
        <v>Dec</v>
      </c>
      <c r="O171" s="5" t="str">
        <f t="shared" si="8"/>
        <v xml:space="preserve"> 2023</v>
      </c>
    </row>
    <row r="172" spans="1:15" x14ac:dyDescent="0.35">
      <c r="A172" t="s">
        <v>389</v>
      </c>
      <c r="B172" s="5" t="s">
        <v>390</v>
      </c>
      <c r="C172" s="4" t="s">
        <v>22</v>
      </c>
      <c r="D172" s="4" t="s">
        <v>23</v>
      </c>
      <c r="E172" s="4" t="s">
        <v>24</v>
      </c>
      <c r="F172" s="4" t="s">
        <v>67</v>
      </c>
      <c r="G172" s="4" t="s">
        <v>113</v>
      </c>
      <c r="H172" s="4" t="s">
        <v>72</v>
      </c>
      <c r="I172" s="4" t="s">
        <v>60</v>
      </c>
      <c r="J172" s="3">
        <v>2</v>
      </c>
      <c r="K172" s="6">
        <v>18622</v>
      </c>
      <c r="L172" s="6">
        <f t="shared" si="6"/>
        <v>13035.4</v>
      </c>
      <c r="M172" s="6">
        <v>5586.6</v>
      </c>
      <c r="N172" s="5" t="str">
        <f t="shared" si="7"/>
        <v>Jan</v>
      </c>
      <c r="O172" s="5" t="str">
        <f t="shared" si="8"/>
        <v xml:space="preserve"> 2023</v>
      </c>
    </row>
    <row r="173" spans="1:15" x14ac:dyDescent="0.35">
      <c r="A173" t="s">
        <v>391</v>
      </c>
      <c r="B173" s="5" t="s">
        <v>392</v>
      </c>
      <c r="C173" s="4" t="s">
        <v>55</v>
      </c>
      <c r="D173" s="4" t="s">
        <v>82</v>
      </c>
      <c r="E173" s="4" t="s">
        <v>83</v>
      </c>
      <c r="F173" s="4" t="s">
        <v>16</v>
      </c>
      <c r="G173" s="4" t="s">
        <v>17</v>
      </c>
      <c r="H173" s="4" t="s">
        <v>27</v>
      </c>
      <c r="I173" s="4" t="s">
        <v>28</v>
      </c>
      <c r="J173" s="3">
        <v>10</v>
      </c>
      <c r="K173" s="6">
        <v>344290</v>
      </c>
      <c r="L173" s="6">
        <f t="shared" si="6"/>
        <v>241002.99999999997</v>
      </c>
      <c r="M173" s="6">
        <v>103287.00000000003</v>
      </c>
      <c r="N173" s="5" t="str">
        <f t="shared" si="7"/>
        <v>Jan</v>
      </c>
      <c r="O173" s="5" t="str">
        <f t="shared" si="8"/>
        <v xml:space="preserve"> 2024</v>
      </c>
    </row>
    <row r="174" spans="1:15" x14ac:dyDescent="0.35">
      <c r="A174" t="s">
        <v>393</v>
      </c>
      <c r="B174" s="5" t="s">
        <v>394</v>
      </c>
      <c r="C174" s="4" t="s">
        <v>31</v>
      </c>
      <c r="D174" s="4" t="s">
        <v>104</v>
      </c>
      <c r="E174" s="4" t="s">
        <v>105</v>
      </c>
      <c r="F174" s="4" t="s">
        <v>25</v>
      </c>
      <c r="G174" s="4" t="s">
        <v>52</v>
      </c>
      <c r="H174" s="4" t="s">
        <v>27</v>
      </c>
      <c r="I174" s="4" t="s">
        <v>39</v>
      </c>
      <c r="J174" s="3">
        <v>6</v>
      </c>
      <c r="K174" s="6">
        <v>114264</v>
      </c>
      <c r="L174" s="6">
        <f t="shared" si="6"/>
        <v>79984.799999999988</v>
      </c>
      <c r="M174" s="6">
        <v>34279.200000000012</v>
      </c>
      <c r="N174" s="5" t="str">
        <f t="shared" si="7"/>
        <v>Mar</v>
      </c>
      <c r="O174" s="5" t="str">
        <f t="shared" si="8"/>
        <v xml:space="preserve"> 2024</v>
      </c>
    </row>
    <row r="175" spans="1:15" x14ac:dyDescent="0.35">
      <c r="A175" t="s">
        <v>395</v>
      </c>
      <c r="B175" s="5" t="s">
        <v>396</v>
      </c>
      <c r="C175" s="4" t="s">
        <v>22</v>
      </c>
      <c r="D175" s="4" t="s">
        <v>23</v>
      </c>
      <c r="E175" s="4" t="s">
        <v>24</v>
      </c>
      <c r="F175" s="4" t="s">
        <v>25</v>
      </c>
      <c r="G175" s="4" t="s">
        <v>26</v>
      </c>
      <c r="H175" s="4" t="s">
        <v>18</v>
      </c>
      <c r="I175" s="4" t="s">
        <v>28</v>
      </c>
      <c r="J175" s="3">
        <v>8</v>
      </c>
      <c r="K175" s="6">
        <v>126608</v>
      </c>
      <c r="L175" s="6">
        <f t="shared" si="6"/>
        <v>88625.599999999991</v>
      </c>
      <c r="M175" s="6">
        <v>37982.400000000009</v>
      </c>
      <c r="N175" s="5" t="str">
        <f t="shared" si="7"/>
        <v>Mar</v>
      </c>
      <c r="O175" s="5" t="str">
        <f t="shared" si="8"/>
        <v xml:space="preserve"> 2024</v>
      </c>
    </row>
    <row r="176" spans="1:15" x14ac:dyDescent="0.35">
      <c r="A176" t="s">
        <v>397</v>
      </c>
      <c r="B176" s="5" t="s">
        <v>398</v>
      </c>
      <c r="C176" s="4" t="s">
        <v>31</v>
      </c>
      <c r="D176" s="4" t="s">
        <v>50</v>
      </c>
      <c r="E176" s="4" t="s">
        <v>51</v>
      </c>
      <c r="F176" s="4" t="s">
        <v>25</v>
      </c>
      <c r="G176" s="4" t="s">
        <v>77</v>
      </c>
      <c r="H176" s="4" t="s">
        <v>72</v>
      </c>
      <c r="I176" s="4" t="s">
        <v>19</v>
      </c>
      <c r="J176" s="3">
        <v>9</v>
      </c>
      <c r="K176" s="6">
        <v>206892</v>
      </c>
      <c r="L176" s="6">
        <f t="shared" si="6"/>
        <v>144824.4</v>
      </c>
      <c r="M176" s="6">
        <v>62067.600000000006</v>
      </c>
      <c r="N176" s="5" t="str">
        <f t="shared" si="7"/>
        <v>Aug</v>
      </c>
      <c r="O176" s="5" t="str">
        <f t="shared" si="8"/>
        <v xml:space="preserve"> 2024</v>
      </c>
    </row>
    <row r="177" spans="1:15" x14ac:dyDescent="0.35">
      <c r="A177" t="s">
        <v>399</v>
      </c>
      <c r="B177" s="5" t="s">
        <v>93</v>
      </c>
      <c r="C177" s="4" t="s">
        <v>55</v>
      </c>
      <c r="D177" s="4" t="s">
        <v>82</v>
      </c>
      <c r="E177" s="4" t="s">
        <v>83</v>
      </c>
      <c r="F177" s="4" t="s">
        <v>67</v>
      </c>
      <c r="G177" s="4" t="s">
        <v>113</v>
      </c>
      <c r="H177" s="4" t="s">
        <v>27</v>
      </c>
      <c r="I177" s="4" t="s">
        <v>28</v>
      </c>
      <c r="J177" s="3">
        <v>10</v>
      </c>
      <c r="K177" s="6">
        <v>238560</v>
      </c>
      <c r="L177" s="6">
        <f t="shared" si="6"/>
        <v>166992</v>
      </c>
      <c r="M177" s="6">
        <v>71568</v>
      </c>
      <c r="N177" s="5" t="str">
        <f t="shared" si="7"/>
        <v>Nov</v>
      </c>
      <c r="O177" s="5" t="str">
        <f t="shared" si="8"/>
        <v xml:space="preserve"> 2023</v>
      </c>
    </row>
    <row r="178" spans="1:15" x14ac:dyDescent="0.35">
      <c r="A178" t="s">
        <v>400</v>
      </c>
      <c r="B178" s="5" t="s">
        <v>401</v>
      </c>
      <c r="C178" s="4" t="s">
        <v>31</v>
      </c>
      <c r="D178" s="4" t="s">
        <v>104</v>
      </c>
      <c r="E178" s="4" t="s">
        <v>105</v>
      </c>
      <c r="F178" s="4" t="s">
        <v>25</v>
      </c>
      <c r="G178" s="4" t="s">
        <v>26</v>
      </c>
      <c r="H178" s="4" t="s">
        <v>27</v>
      </c>
      <c r="I178" s="4" t="s">
        <v>19</v>
      </c>
      <c r="J178" s="3">
        <v>9</v>
      </c>
      <c r="K178" s="6">
        <v>419112</v>
      </c>
      <c r="L178" s="6">
        <f t="shared" si="6"/>
        <v>293378.39999999997</v>
      </c>
      <c r="M178" s="6">
        <v>125733.60000000003</v>
      </c>
      <c r="N178" s="5" t="str">
        <f t="shared" si="7"/>
        <v>May</v>
      </c>
      <c r="O178" s="5" t="str">
        <f t="shared" si="8"/>
        <v xml:space="preserve"> 2024</v>
      </c>
    </row>
    <row r="179" spans="1:15" x14ac:dyDescent="0.35">
      <c r="A179" t="s">
        <v>402</v>
      </c>
      <c r="B179" s="5" t="s">
        <v>403</v>
      </c>
      <c r="C179" s="4" t="s">
        <v>55</v>
      </c>
      <c r="D179" s="4" t="s">
        <v>63</v>
      </c>
      <c r="E179" s="4" t="s">
        <v>64</v>
      </c>
      <c r="F179" s="4" t="s">
        <v>16</v>
      </c>
      <c r="G179" s="4" t="s">
        <v>122</v>
      </c>
      <c r="H179" s="4" t="s">
        <v>27</v>
      </c>
      <c r="I179" s="4" t="s">
        <v>19</v>
      </c>
      <c r="J179" s="3">
        <v>1</v>
      </c>
      <c r="K179" s="6">
        <v>13920</v>
      </c>
      <c r="L179" s="6">
        <f t="shared" si="6"/>
        <v>9744</v>
      </c>
      <c r="M179" s="6">
        <v>4176</v>
      </c>
      <c r="N179" s="5" t="str">
        <f t="shared" si="7"/>
        <v>Dec</v>
      </c>
      <c r="O179" s="5" t="str">
        <f t="shared" si="8"/>
        <v xml:space="preserve"> 2023</v>
      </c>
    </row>
    <row r="180" spans="1:15" x14ac:dyDescent="0.35">
      <c r="A180" t="s">
        <v>404</v>
      </c>
      <c r="B180" s="5" t="s">
        <v>405</v>
      </c>
      <c r="C180" s="4" t="s">
        <v>55</v>
      </c>
      <c r="D180" s="4" t="s">
        <v>56</v>
      </c>
      <c r="E180" s="4" t="s">
        <v>57</v>
      </c>
      <c r="F180" s="4" t="s">
        <v>37</v>
      </c>
      <c r="G180" s="4" t="s">
        <v>186</v>
      </c>
      <c r="H180" s="4" t="s">
        <v>72</v>
      </c>
      <c r="I180" s="4" t="s">
        <v>39</v>
      </c>
      <c r="J180" s="3">
        <v>10</v>
      </c>
      <c r="K180" s="6">
        <v>299750</v>
      </c>
      <c r="L180" s="6">
        <f t="shared" si="6"/>
        <v>209825</v>
      </c>
      <c r="M180" s="6">
        <v>89925</v>
      </c>
      <c r="N180" s="5" t="str">
        <f t="shared" si="7"/>
        <v>Jan</v>
      </c>
      <c r="O180" s="5" t="str">
        <f t="shared" si="8"/>
        <v xml:space="preserve"> 2024</v>
      </c>
    </row>
    <row r="181" spans="1:15" x14ac:dyDescent="0.35">
      <c r="A181" t="s">
        <v>406</v>
      </c>
      <c r="B181" s="5" t="s">
        <v>407</v>
      </c>
      <c r="C181" s="4" t="s">
        <v>31</v>
      </c>
      <c r="D181" s="4" t="s">
        <v>104</v>
      </c>
      <c r="E181" s="4" t="s">
        <v>105</v>
      </c>
      <c r="F181" s="4" t="s">
        <v>16</v>
      </c>
      <c r="G181" s="4" t="s">
        <v>122</v>
      </c>
      <c r="H181" s="4" t="s">
        <v>18</v>
      </c>
      <c r="I181" s="4" t="s">
        <v>39</v>
      </c>
      <c r="J181" s="3">
        <v>1</v>
      </c>
      <c r="K181" s="6">
        <v>19500</v>
      </c>
      <c r="L181" s="6">
        <f t="shared" si="6"/>
        <v>13650</v>
      </c>
      <c r="M181" s="6">
        <v>5850</v>
      </c>
      <c r="N181" s="5" t="str">
        <f t="shared" si="7"/>
        <v>Jan</v>
      </c>
      <c r="O181" s="5" t="str">
        <f t="shared" si="8"/>
        <v xml:space="preserve"> 2024</v>
      </c>
    </row>
    <row r="182" spans="1:15" x14ac:dyDescent="0.35">
      <c r="A182" t="s">
        <v>408</v>
      </c>
      <c r="B182" s="5" t="s">
        <v>103</v>
      </c>
      <c r="C182" s="4" t="s">
        <v>22</v>
      </c>
      <c r="D182" s="4" t="s">
        <v>23</v>
      </c>
      <c r="E182" s="4" t="s">
        <v>24</v>
      </c>
      <c r="F182" s="4" t="s">
        <v>25</v>
      </c>
      <c r="G182" s="4" t="s">
        <v>52</v>
      </c>
      <c r="H182" s="4" t="s">
        <v>72</v>
      </c>
      <c r="I182" s="4" t="s">
        <v>60</v>
      </c>
      <c r="J182" s="3">
        <v>6</v>
      </c>
      <c r="K182" s="6">
        <v>154716</v>
      </c>
      <c r="L182" s="6">
        <f t="shared" si="6"/>
        <v>108301.2</v>
      </c>
      <c r="M182" s="6">
        <v>46414.8</v>
      </c>
      <c r="N182" s="5" t="str">
        <f t="shared" si="7"/>
        <v>Oct</v>
      </c>
      <c r="O182" s="5" t="str">
        <f t="shared" si="8"/>
        <v xml:space="preserve"> 2024</v>
      </c>
    </row>
    <row r="183" spans="1:15" x14ac:dyDescent="0.35">
      <c r="A183" t="s">
        <v>409</v>
      </c>
      <c r="B183" s="5" t="s">
        <v>410</v>
      </c>
      <c r="C183" s="4" t="s">
        <v>13</v>
      </c>
      <c r="D183" s="4" t="s">
        <v>118</v>
      </c>
      <c r="E183" s="4" t="s">
        <v>119</v>
      </c>
      <c r="F183" s="4" t="s">
        <v>25</v>
      </c>
      <c r="G183" s="4" t="s">
        <v>77</v>
      </c>
      <c r="H183" s="4" t="s">
        <v>27</v>
      </c>
      <c r="I183" s="4" t="s">
        <v>28</v>
      </c>
      <c r="J183" s="3">
        <v>5</v>
      </c>
      <c r="K183" s="6">
        <v>13555</v>
      </c>
      <c r="L183" s="6">
        <f t="shared" si="6"/>
        <v>9488.5</v>
      </c>
      <c r="M183" s="6">
        <v>4066.5</v>
      </c>
      <c r="N183" s="5" t="str">
        <f t="shared" si="7"/>
        <v>May</v>
      </c>
      <c r="O183" s="5" t="str">
        <f t="shared" si="8"/>
        <v xml:space="preserve"> 2023</v>
      </c>
    </row>
    <row r="184" spans="1:15" x14ac:dyDescent="0.35">
      <c r="A184" t="s">
        <v>411</v>
      </c>
      <c r="B184" s="5" t="s">
        <v>131</v>
      </c>
      <c r="C184" s="4" t="s">
        <v>22</v>
      </c>
      <c r="D184" s="4" t="s">
        <v>23</v>
      </c>
      <c r="E184" s="4" t="s">
        <v>24</v>
      </c>
      <c r="F184" s="4" t="s">
        <v>37</v>
      </c>
      <c r="G184" s="4" t="s">
        <v>38</v>
      </c>
      <c r="H184" s="4" t="s">
        <v>27</v>
      </c>
      <c r="I184" s="4" t="s">
        <v>60</v>
      </c>
      <c r="J184" s="3">
        <v>9</v>
      </c>
      <c r="K184" s="6">
        <v>295425</v>
      </c>
      <c r="L184" s="6">
        <f t="shared" si="6"/>
        <v>206797.5</v>
      </c>
      <c r="M184" s="6">
        <v>88627.5</v>
      </c>
      <c r="N184" s="5" t="str">
        <f t="shared" si="7"/>
        <v>Feb</v>
      </c>
      <c r="O184" s="5" t="str">
        <f t="shared" si="8"/>
        <v xml:space="preserve"> 2023</v>
      </c>
    </row>
    <row r="185" spans="1:15" x14ac:dyDescent="0.35">
      <c r="A185" t="s">
        <v>412</v>
      </c>
      <c r="B185" s="5" t="s">
        <v>413</v>
      </c>
      <c r="C185" s="4" t="s">
        <v>55</v>
      </c>
      <c r="D185" s="4" t="s">
        <v>82</v>
      </c>
      <c r="E185" s="4" t="s">
        <v>83</v>
      </c>
      <c r="F185" s="4" t="s">
        <v>16</v>
      </c>
      <c r="G185" s="4" t="s">
        <v>42</v>
      </c>
      <c r="H185" s="4" t="s">
        <v>18</v>
      </c>
      <c r="I185" s="4" t="s">
        <v>47</v>
      </c>
      <c r="J185" s="3">
        <v>6</v>
      </c>
      <c r="K185" s="6">
        <v>58992</v>
      </c>
      <c r="L185" s="6">
        <f t="shared" si="6"/>
        <v>41294.399999999994</v>
      </c>
      <c r="M185" s="6">
        <v>17697.600000000006</v>
      </c>
      <c r="N185" s="5" t="str">
        <f t="shared" si="7"/>
        <v>Apr</v>
      </c>
      <c r="O185" s="5" t="str">
        <f t="shared" si="8"/>
        <v xml:space="preserve"> 2023</v>
      </c>
    </row>
    <row r="186" spans="1:15" x14ac:dyDescent="0.35">
      <c r="A186" t="s">
        <v>414</v>
      </c>
      <c r="B186" s="5" t="s">
        <v>415</v>
      </c>
      <c r="C186" s="4" t="s">
        <v>13</v>
      </c>
      <c r="D186" s="4" t="s">
        <v>125</v>
      </c>
      <c r="E186" s="4" t="s">
        <v>126</v>
      </c>
      <c r="F186" s="4" t="s">
        <v>25</v>
      </c>
      <c r="G186" s="4" t="s">
        <v>26</v>
      </c>
      <c r="H186" s="4" t="s">
        <v>72</v>
      </c>
      <c r="I186" s="4" t="s">
        <v>19</v>
      </c>
      <c r="J186" s="3">
        <v>5</v>
      </c>
      <c r="K186" s="6">
        <v>119125</v>
      </c>
      <c r="L186" s="6">
        <f t="shared" si="6"/>
        <v>83387.5</v>
      </c>
      <c r="M186" s="6">
        <v>35737.5</v>
      </c>
      <c r="N186" s="5" t="str">
        <f t="shared" si="7"/>
        <v>Oct</v>
      </c>
      <c r="O186" s="5" t="str">
        <f t="shared" si="8"/>
        <v xml:space="preserve"> 2023</v>
      </c>
    </row>
    <row r="187" spans="1:15" x14ac:dyDescent="0.35">
      <c r="A187" t="s">
        <v>416</v>
      </c>
      <c r="B187" s="5" t="s">
        <v>417</v>
      </c>
      <c r="C187" s="4" t="s">
        <v>22</v>
      </c>
      <c r="D187" s="4" t="s">
        <v>23</v>
      </c>
      <c r="E187" s="4" t="s">
        <v>24</v>
      </c>
      <c r="F187" s="4" t="s">
        <v>16</v>
      </c>
      <c r="G187" s="4" t="s">
        <v>34</v>
      </c>
      <c r="H187" s="4" t="s">
        <v>72</v>
      </c>
      <c r="I187" s="4" t="s">
        <v>19</v>
      </c>
      <c r="J187" s="3">
        <v>9</v>
      </c>
      <c r="K187" s="6">
        <v>417825</v>
      </c>
      <c r="L187" s="6">
        <f t="shared" si="6"/>
        <v>292477.5</v>
      </c>
      <c r="M187" s="6">
        <v>125347.5</v>
      </c>
      <c r="N187" s="5" t="str">
        <f t="shared" si="7"/>
        <v>Mar</v>
      </c>
      <c r="O187" s="5" t="str">
        <f t="shared" si="8"/>
        <v xml:space="preserve"> 2023</v>
      </c>
    </row>
    <row r="188" spans="1:15" x14ac:dyDescent="0.35">
      <c r="A188" t="s">
        <v>418</v>
      </c>
      <c r="B188" s="5" t="s">
        <v>279</v>
      </c>
      <c r="C188" s="4" t="s">
        <v>13</v>
      </c>
      <c r="D188" s="4" t="s">
        <v>125</v>
      </c>
      <c r="E188" s="4" t="s">
        <v>126</v>
      </c>
      <c r="F188" s="4" t="s">
        <v>37</v>
      </c>
      <c r="G188" s="4" t="s">
        <v>38</v>
      </c>
      <c r="H188" s="4" t="s">
        <v>18</v>
      </c>
      <c r="I188" s="4" t="s">
        <v>47</v>
      </c>
      <c r="J188" s="3">
        <v>3</v>
      </c>
      <c r="K188" s="6">
        <v>81402</v>
      </c>
      <c r="L188" s="6">
        <f t="shared" si="6"/>
        <v>56981.399999999994</v>
      </c>
      <c r="M188" s="6">
        <v>24420.600000000006</v>
      </c>
      <c r="N188" s="5" t="str">
        <f t="shared" si="7"/>
        <v>Jul</v>
      </c>
      <c r="O188" s="5" t="str">
        <f t="shared" si="8"/>
        <v xml:space="preserve"> 2023</v>
      </c>
    </row>
    <row r="189" spans="1:15" x14ac:dyDescent="0.35">
      <c r="A189" t="s">
        <v>419</v>
      </c>
      <c r="B189" s="5" t="s">
        <v>420</v>
      </c>
      <c r="C189" s="4" t="s">
        <v>55</v>
      </c>
      <c r="D189" s="4" t="s">
        <v>63</v>
      </c>
      <c r="E189" s="4" t="s">
        <v>64</v>
      </c>
      <c r="F189" s="4" t="s">
        <v>25</v>
      </c>
      <c r="G189" s="4" t="s">
        <v>77</v>
      </c>
      <c r="H189" s="4" t="s">
        <v>72</v>
      </c>
      <c r="I189" s="4" t="s">
        <v>60</v>
      </c>
      <c r="J189" s="3">
        <v>8</v>
      </c>
      <c r="K189" s="6">
        <v>195200</v>
      </c>
      <c r="L189" s="6">
        <f t="shared" si="6"/>
        <v>136640</v>
      </c>
      <c r="M189" s="6">
        <v>58560</v>
      </c>
      <c r="N189" s="5" t="str">
        <f t="shared" si="7"/>
        <v>Feb</v>
      </c>
      <c r="O189" s="5" t="str">
        <f t="shared" si="8"/>
        <v xml:space="preserve"> 2024</v>
      </c>
    </row>
    <row r="190" spans="1:15" x14ac:dyDescent="0.35">
      <c r="A190" t="s">
        <v>421</v>
      </c>
      <c r="B190" s="5" t="s">
        <v>422</v>
      </c>
      <c r="C190" s="4" t="s">
        <v>55</v>
      </c>
      <c r="D190" s="4" t="s">
        <v>82</v>
      </c>
      <c r="E190" s="4" t="s">
        <v>83</v>
      </c>
      <c r="F190" s="4" t="s">
        <v>25</v>
      </c>
      <c r="G190" s="4" t="s">
        <v>52</v>
      </c>
      <c r="H190" s="4" t="s">
        <v>72</v>
      </c>
      <c r="I190" s="4" t="s">
        <v>47</v>
      </c>
      <c r="J190" s="3">
        <v>6</v>
      </c>
      <c r="K190" s="6">
        <v>152334</v>
      </c>
      <c r="L190" s="6">
        <f t="shared" si="6"/>
        <v>106633.79999999999</v>
      </c>
      <c r="M190" s="6">
        <v>45700.200000000012</v>
      </c>
      <c r="N190" s="5" t="str">
        <f t="shared" si="7"/>
        <v>Jul</v>
      </c>
      <c r="O190" s="5" t="str">
        <f t="shared" si="8"/>
        <v xml:space="preserve"> 2024</v>
      </c>
    </row>
    <row r="191" spans="1:15" x14ac:dyDescent="0.35">
      <c r="A191" t="s">
        <v>423</v>
      </c>
      <c r="B191" s="5" t="s">
        <v>424</v>
      </c>
      <c r="C191" s="4" t="s">
        <v>13</v>
      </c>
      <c r="D191" s="4" t="s">
        <v>14</v>
      </c>
      <c r="E191" s="4" t="s">
        <v>15</v>
      </c>
      <c r="F191" s="4" t="s">
        <v>25</v>
      </c>
      <c r="G191" s="4" t="s">
        <v>71</v>
      </c>
      <c r="H191" s="4" t="s">
        <v>27</v>
      </c>
      <c r="I191" s="4" t="s">
        <v>28</v>
      </c>
      <c r="J191" s="3">
        <v>2</v>
      </c>
      <c r="K191" s="6">
        <v>90970</v>
      </c>
      <c r="L191" s="6">
        <f t="shared" si="6"/>
        <v>63678.999999999993</v>
      </c>
      <c r="M191" s="6">
        <v>27291.000000000007</v>
      </c>
      <c r="N191" s="5" t="str">
        <f t="shared" si="7"/>
        <v>Sep</v>
      </c>
      <c r="O191" s="5" t="str">
        <f t="shared" si="8"/>
        <v xml:space="preserve"> 2023</v>
      </c>
    </row>
    <row r="192" spans="1:15" x14ac:dyDescent="0.35">
      <c r="A192" t="s">
        <v>425</v>
      </c>
      <c r="B192" s="5" t="s">
        <v>269</v>
      </c>
      <c r="C192" s="4" t="s">
        <v>13</v>
      </c>
      <c r="D192" s="4" t="s">
        <v>162</v>
      </c>
      <c r="E192" s="4" t="s">
        <v>163</v>
      </c>
      <c r="F192" s="4" t="s">
        <v>25</v>
      </c>
      <c r="G192" s="4" t="s">
        <v>52</v>
      </c>
      <c r="H192" s="4" t="s">
        <v>72</v>
      </c>
      <c r="I192" s="4" t="s">
        <v>28</v>
      </c>
      <c r="J192" s="3">
        <v>2</v>
      </c>
      <c r="K192" s="6">
        <v>7220</v>
      </c>
      <c r="L192" s="6">
        <f t="shared" si="6"/>
        <v>5054</v>
      </c>
      <c r="M192" s="6">
        <v>2166</v>
      </c>
      <c r="N192" s="5" t="str">
        <f t="shared" si="7"/>
        <v>Apr</v>
      </c>
      <c r="O192" s="5" t="str">
        <f t="shared" si="8"/>
        <v xml:space="preserve"> 2023</v>
      </c>
    </row>
    <row r="193" spans="1:15" x14ac:dyDescent="0.35">
      <c r="A193" t="s">
        <v>426</v>
      </c>
      <c r="B193" s="5" t="s">
        <v>427</v>
      </c>
      <c r="C193" s="4" t="s">
        <v>13</v>
      </c>
      <c r="D193" s="4" t="s">
        <v>162</v>
      </c>
      <c r="E193" s="4" t="s">
        <v>163</v>
      </c>
      <c r="F193" s="4" t="s">
        <v>37</v>
      </c>
      <c r="G193" s="4" t="s">
        <v>38</v>
      </c>
      <c r="H193" s="4" t="s">
        <v>27</v>
      </c>
      <c r="I193" s="4" t="s">
        <v>19</v>
      </c>
      <c r="J193" s="3">
        <v>10</v>
      </c>
      <c r="K193" s="6">
        <v>95770</v>
      </c>
      <c r="L193" s="6">
        <f t="shared" si="6"/>
        <v>67039</v>
      </c>
      <c r="M193" s="6">
        <v>28731</v>
      </c>
      <c r="N193" s="5" t="str">
        <f t="shared" si="7"/>
        <v>Apr</v>
      </c>
      <c r="O193" s="5" t="str">
        <f t="shared" si="8"/>
        <v xml:space="preserve"> 2023</v>
      </c>
    </row>
    <row r="194" spans="1:15" x14ac:dyDescent="0.35">
      <c r="A194" t="s">
        <v>428</v>
      </c>
      <c r="B194" s="5" t="s">
        <v>392</v>
      </c>
      <c r="C194" s="4" t="s">
        <v>13</v>
      </c>
      <c r="D194" s="4" t="s">
        <v>118</v>
      </c>
      <c r="E194" s="4" t="s">
        <v>119</v>
      </c>
      <c r="F194" s="4" t="s">
        <v>37</v>
      </c>
      <c r="G194" s="4" t="s">
        <v>186</v>
      </c>
      <c r="H194" s="4" t="s">
        <v>18</v>
      </c>
      <c r="I194" s="4" t="s">
        <v>60</v>
      </c>
      <c r="J194" s="3">
        <v>7</v>
      </c>
      <c r="K194" s="6">
        <v>339192</v>
      </c>
      <c r="L194" s="6">
        <f t="shared" ref="L194:L257" si="9">K194*0.7</f>
        <v>237434.4</v>
      </c>
      <c r="M194" s="6">
        <v>101757.6</v>
      </c>
      <c r="N194" s="5" t="str">
        <f t="shared" ref="N194:N257" si="10">TEXT(B194,"mmm")</f>
        <v>Jan</v>
      </c>
      <c r="O194" s="5" t="str">
        <f t="shared" ref="O194:O257" si="11">TEXT(B194," yyyy")</f>
        <v xml:space="preserve"> 2024</v>
      </c>
    </row>
    <row r="195" spans="1:15" x14ac:dyDescent="0.35">
      <c r="A195" t="s">
        <v>429</v>
      </c>
      <c r="B195" s="5" t="s">
        <v>430</v>
      </c>
      <c r="C195" s="4" t="s">
        <v>13</v>
      </c>
      <c r="D195" s="4" t="s">
        <v>118</v>
      </c>
      <c r="E195" s="4" t="s">
        <v>119</v>
      </c>
      <c r="F195" s="4" t="s">
        <v>16</v>
      </c>
      <c r="G195" s="4" t="s">
        <v>34</v>
      </c>
      <c r="H195" s="4" t="s">
        <v>72</v>
      </c>
      <c r="I195" s="4" t="s">
        <v>47</v>
      </c>
      <c r="J195" s="3">
        <v>3</v>
      </c>
      <c r="K195" s="6">
        <v>61035</v>
      </c>
      <c r="L195" s="6">
        <f t="shared" si="9"/>
        <v>42724.5</v>
      </c>
      <c r="M195" s="6">
        <v>18310.5</v>
      </c>
      <c r="N195" s="5" t="str">
        <f t="shared" si="10"/>
        <v>May</v>
      </c>
      <c r="O195" s="5" t="str">
        <f t="shared" si="11"/>
        <v xml:space="preserve"> 2023</v>
      </c>
    </row>
    <row r="196" spans="1:15" x14ac:dyDescent="0.35">
      <c r="A196" t="s">
        <v>431</v>
      </c>
      <c r="B196" s="5" t="s">
        <v>269</v>
      </c>
      <c r="C196" s="4" t="s">
        <v>55</v>
      </c>
      <c r="D196" s="4" t="s">
        <v>63</v>
      </c>
      <c r="E196" s="4" t="s">
        <v>64</v>
      </c>
      <c r="F196" s="4" t="s">
        <v>16</v>
      </c>
      <c r="G196" s="4" t="s">
        <v>42</v>
      </c>
      <c r="H196" s="4" t="s">
        <v>18</v>
      </c>
      <c r="I196" s="4" t="s">
        <v>19</v>
      </c>
      <c r="J196" s="3">
        <v>9</v>
      </c>
      <c r="K196" s="6">
        <v>433602</v>
      </c>
      <c r="L196" s="6">
        <f t="shared" si="9"/>
        <v>303521.39999999997</v>
      </c>
      <c r="M196" s="6">
        <v>130080.60000000003</v>
      </c>
      <c r="N196" s="5" t="str">
        <f t="shared" si="10"/>
        <v>Apr</v>
      </c>
      <c r="O196" s="5" t="str">
        <f t="shared" si="11"/>
        <v xml:space="preserve"> 2023</v>
      </c>
    </row>
    <row r="197" spans="1:15" x14ac:dyDescent="0.35">
      <c r="A197" t="s">
        <v>432</v>
      </c>
      <c r="B197" s="5" t="s">
        <v>433</v>
      </c>
      <c r="C197" s="4" t="s">
        <v>22</v>
      </c>
      <c r="D197" s="4" t="s">
        <v>90</v>
      </c>
      <c r="E197" s="4" t="s">
        <v>110</v>
      </c>
      <c r="F197" s="4" t="s">
        <v>25</v>
      </c>
      <c r="G197" s="4" t="s">
        <v>26</v>
      </c>
      <c r="H197" s="4" t="s">
        <v>18</v>
      </c>
      <c r="I197" s="4" t="s">
        <v>47</v>
      </c>
      <c r="J197" s="3">
        <v>9</v>
      </c>
      <c r="K197" s="6">
        <v>180882</v>
      </c>
      <c r="L197" s="6">
        <f t="shared" si="9"/>
        <v>126617.4</v>
      </c>
      <c r="M197" s="6">
        <v>54264.600000000006</v>
      </c>
      <c r="N197" s="5" t="str">
        <f t="shared" si="10"/>
        <v>Oct</v>
      </c>
      <c r="O197" s="5" t="str">
        <f t="shared" si="11"/>
        <v xml:space="preserve"> 2024</v>
      </c>
    </row>
    <row r="198" spans="1:15" x14ac:dyDescent="0.35">
      <c r="A198" t="s">
        <v>434</v>
      </c>
      <c r="B198" s="5" t="s">
        <v>211</v>
      </c>
      <c r="C198" s="4" t="s">
        <v>55</v>
      </c>
      <c r="D198" s="4" t="s">
        <v>63</v>
      </c>
      <c r="E198" s="4" t="s">
        <v>64</v>
      </c>
      <c r="F198" s="4" t="s">
        <v>16</v>
      </c>
      <c r="G198" s="4" t="s">
        <v>122</v>
      </c>
      <c r="H198" s="4" t="s">
        <v>27</v>
      </c>
      <c r="I198" s="4" t="s">
        <v>28</v>
      </c>
      <c r="J198" s="3">
        <v>4</v>
      </c>
      <c r="K198" s="6">
        <v>12296</v>
      </c>
      <c r="L198" s="6">
        <f t="shared" si="9"/>
        <v>8607.1999999999989</v>
      </c>
      <c r="M198" s="6">
        <v>3688.8000000000011</v>
      </c>
      <c r="N198" s="5" t="str">
        <f t="shared" si="10"/>
        <v>Apr</v>
      </c>
      <c r="O198" s="5" t="str">
        <f t="shared" si="11"/>
        <v xml:space="preserve"> 2024</v>
      </c>
    </row>
    <row r="199" spans="1:15" x14ac:dyDescent="0.35">
      <c r="A199" t="s">
        <v>435</v>
      </c>
      <c r="B199" s="5" t="s">
        <v>355</v>
      </c>
      <c r="C199" s="4" t="s">
        <v>31</v>
      </c>
      <c r="D199" s="4" t="s">
        <v>50</v>
      </c>
      <c r="E199" s="4" t="s">
        <v>51</v>
      </c>
      <c r="F199" s="4" t="s">
        <v>37</v>
      </c>
      <c r="G199" s="4" t="s">
        <v>38</v>
      </c>
      <c r="H199" s="4" t="s">
        <v>72</v>
      </c>
      <c r="I199" s="4" t="s">
        <v>47</v>
      </c>
      <c r="J199" s="3">
        <v>10</v>
      </c>
      <c r="K199" s="6">
        <v>75740</v>
      </c>
      <c r="L199" s="6">
        <f t="shared" si="9"/>
        <v>53018</v>
      </c>
      <c r="M199" s="6">
        <v>22722</v>
      </c>
      <c r="N199" s="5" t="str">
        <f t="shared" si="10"/>
        <v>Jun</v>
      </c>
      <c r="O199" s="5" t="str">
        <f t="shared" si="11"/>
        <v xml:space="preserve"> 2023</v>
      </c>
    </row>
    <row r="200" spans="1:15" x14ac:dyDescent="0.35">
      <c r="A200" t="s">
        <v>436</v>
      </c>
      <c r="B200" s="5" t="s">
        <v>437</v>
      </c>
      <c r="C200" s="4" t="s">
        <v>55</v>
      </c>
      <c r="D200" s="4" t="s">
        <v>82</v>
      </c>
      <c r="E200" s="4" t="s">
        <v>83</v>
      </c>
      <c r="F200" s="4" t="s">
        <v>25</v>
      </c>
      <c r="G200" s="4" t="s">
        <v>71</v>
      </c>
      <c r="H200" s="4" t="s">
        <v>27</v>
      </c>
      <c r="I200" s="4" t="s">
        <v>60</v>
      </c>
      <c r="J200" s="3">
        <v>4</v>
      </c>
      <c r="K200" s="6">
        <v>163968</v>
      </c>
      <c r="L200" s="6">
        <f t="shared" si="9"/>
        <v>114777.59999999999</v>
      </c>
      <c r="M200" s="6">
        <v>49190.400000000009</v>
      </c>
      <c r="N200" s="5" t="str">
        <f t="shared" si="10"/>
        <v>Aug</v>
      </c>
      <c r="O200" s="5" t="str">
        <f t="shared" si="11"/>
        <v xml:space="preserve"> 2024</v>
      </c>
    </row>
    <row r="201" spans="1:15" x14ac:dyDescent="0.35">
      <c r="A201" t="s">
        <v>438</v>
      </c>
      <c r="B201" s="5" t="s">
        <v>201</v>
      </c>
      <c r="C201" s="4" t="s">
        <v>13</v>
      </c>
      <c r="D201" s="4" t="s">
        <v>125</v>
      </c>
      <c r="E201" s="4" t="s">
        <v>126</v>
      </c>
      <c r="F201" s="4" t="s">
        <v>37</v>
      </c>
      <c r="G201" s="4" t="s">
        <v>186</v>
      </c>
      <c r="H201" s="4" t="s">
        <v>27</v>
      </c>
      <c r="I201" s="4" t="s">
        <v>39</v>
      </c>
      <c r="J201" s="3">
        <v>1</v>
      </c>
      <c r="K201" s="6">
        <v>48842</v>
      </c>
      <c r="L201" s="6">
        <f t="shared" si="9"/>
        <v>34189.4</v>
      </c>
      <c r="M201" s="6">
        <v>14652.599999999999</v>
      </c>
      <c r="N201" s="5" t="str">
        <f t="shared" si="10"/>
        <v>Nov</v>
      </c>
      <c r="O201" s="5" t="str">
        <f t="shared" si="11"/>
        <v xml:space="preserve"> 2023</v>
      </c>
    </row>
    <row r="202" spans="1:15" x14ac:dyDescent="0.35">
      <c r="A202" t="s">
        <v>439</v>
      </c>
      <c r="B202" s="5" t="s">
        <v>76</v>
      </c>
      <c r="C202" s="4" t="s">
        <v>22</v>
      </c>
      <c r="D202" s="4" t="s">
        <v>23</v>
      </c>
      <c r="E202" s="4" t="s">
        <v>24</v>
      </c>
      <c r="F202" s="4" t="s">
        <v>37</v>
      </c>
      <c r="G202" s="4" t="s">
        <v>38</v>
      </c>
      <c r="H202" s="4" t="s">
        <v>18</v>
      </c>
      <c r="I202" s="4" t="s">
        <v>39</v>
      </c>
      <c r="J202" s="3">
        <v>6</v>
      </c>
      <c r="K202" s="6">
        <v>16590</v>
      </c>
      <c r="L202" s="6">
        <f t="shared" si="9"/>
        <v>11613</v>
      </c>
      <c r="M202" s="6">
        <v>4977</v>
      </c>
      <c r="N202" s="5" t="str">
        <f t="shared" si="10"/>
        <v>Nov</v>
      </c>
      <c r="O202" s="5" t="str">
        <f t="shared" si="11"/>
        <v xml:space="preserve"> 2024</v>
      </c>
    </row>
    <row r="203" spans="1:15" x14ac:dyDescent="0.35">
      <c r="A203" t="s">
        <v>440</v>
      </c>
      <c r="B203" s="5" t="s">
        <v>441</v>
      </c>
      <c r="C203" s="4" t="s">
        <v>55</v>
      </c>
      <c r="D203" s="4" t="s">
        <v>82</v>
      </c>
      <c r="E203" s="4" t="s">
        <v>83</v>
      </c>
      <c r="F203" s="4" t="s">
        <v>25</v>
      </c>
      <c r="G203" s="4" t="s">
        <v>77</v>
      </c>
      <c r="H203" s="4" t="s">
        <v>18</v>
      </c>
      <c r="I203" s="4" t="s">
        <v>39</v>
      </c>
      <c r="J203" s="3">
        <v>4</v>
      </c>
      <c r="K203" s="6">
        <v>24596</v>
      </c>
      <c r="L203" s="6">
        <f t="shared" si="9"/>
        <v>17217.199999999997</v>
      </c>
      <c r="M203" s="6">
        <v>7378.8000000000029</v>
      </c>
      <c r="N203" s="5" t="str">
        <f t="shared" si="10"/>
        <v>Mar</v>
      </c>
      <c r="O203" s="5" t="str">
        <f t="shared" si="11"/>
        <v xml:space="preserve"> 2024</v>
      </c>
    </row>
    <row r="204" spans="1:15" x14ac:dyDescent="0.35">
      <c r="A204" t="s">
        <v>442</v>
      </c>
      <c r="B204" s="5" t="s">
        <v>443</v>
      </c>
      <c r="C204" s="4" t="s">
        <v>31</v>
      </c>
      <c r="D204" s="4" t="s">
        <v>50</v>
      </c>
      <c r="E204" s="4" t="s">
        <v>51</v>
      </c>
      <c r="F204" s="4" t="s">
        <v>37</v>
      </c>
      <c r="G204" s="4" t="s">
        <v>148</v>
      </c>
      <c r="H204" s="4" t="s">
        <v>27</v>
      </c>
      <c r="I204" s="4" t="s">
        <v>47</v>
      </c>
      <c r="J204" s="3">
        <v>5</v>
      </c>
      <c r="K204" s="6">
        <v>144915</v>
      </c>
      <c r="L204" s="6">
        <f t="shared" si="9"/>
        <v>101440.5</v>
      </c>
      <c r="M204" s="6">
        <v>43474.5</v>
      </c>
      <c r="N204" s="5" t="str">
        <f t="shared" si="10"/>
        <v>Sep</v>
      </c>
      <c r="O204" s="5" t="str">
        <f t="shared" si="11"/>
        <v xml:space="preserve"> 2023</v>
      </c>
    </row>
    <row r="205" spans="1:15" x14ac:dyDescent="0.35">
      <c r="A205" t="s">
        <v>444</v>
      </c>
      <c r="B205" s="5" t="s">
        <v>445</v>
      </c>
      <c r="C205" s="4" t="s">
        <v>31</v>
      </c>
      <c r="D205" s="4" t="s">
        <v>45</v>
      </c>
      <c r="E205" s="4" t="s">
        <v>46</v>
      </c>
      <c r="F205" s="4" t="s">
        <v>16</v>
      </c>
      <c r="G205" s="4" t="s">
        <v>34</v>
      </c>
      <c r="H205" s="4" t="s">
        <v>72</v>
      </c>
      <c r="I205" s="4" t="s">
        <v>60</v>
      </c>
      <c r="J205" s="3">
        <v>3</v>
      </c>
      <c r="K205" s="6">
        <v>147648</v>
      </c>
      <c r="L205" s="6">
        <f t="shared" si="9"/>
        <v>103353.59999999999</v>
      </c>
      <c r="M205" s="6">
        <v>44294.400000000009</v>
      </c>
      <c r="N205" s="5" t="str">
        <f t="shared" si="10"/>
        <v>Mar</v>
      </c>
      <c r="O205" s="5" t="str">
        <f t="shared" si="11"/>
        <v xml:space="preserve"> 2023</v>
      </c>
    </row>
    <row r="206" spans="1:15" x14ac:dyDescent="0.35">
      <c r="A206" t="s">
        <v>446</v>
      </c>
      <c r="B206" s="5" t="s">
        <v>138</v>
      </c>
      <c r="C206" s="4" t="s">
        <v>55</v>
      </c>
      <c r="D206" s="4" t="s">
        <v>98</v>
      </c>
      <c r="E206" s="4" t="s">
        <v>99</v>
      </c>
      <c r="F206" s="4" t="s">
        <v>37</v>
      </c>
      <c r="G206" s="4" t="s">
        <v>186</v>
      </c>
      <c r="H206" s="4" t="s">
        <v>18</v>
      </c>
      <c r="I206" s="4" t="s">
        <v>39</v>
      </c>
      <c r="J206" s="3">
        <v>4</v>
      </c>
      <c r="K206" s="6">
        <v>58660</v>
      </c>
      <c r="L206" s="6">
        <f t="shared" si="9"/>
        <v>41062</v>
      </c>
      <c r="M206" s="6">
        <v>17598</v>
      </c>
      <c r="N206" s="5" t="str">
        <f t="shared" si="10"/>
        <v>Nov</v>
      </c>
      <c r="O206" s="5" t="str">
        <f t="shared" si="11"/>
        <v xml:space="preserve"> 2024</v>
      </c>
    </row>
    <row r="207" spans="1:15" x14ac:dyDescent="0.35">
      <c r="A207" t="s">
        <v>447</v>
      </c>
      <c r="B207" s="5" t="s">
        <v>448</v>
      </c>
      <c r="C207" s="4" t="s">
        <v>31</v>
      </c>
      <c r="D207" s="4" t="s">
        <v>104</v>
      </c>
      <c r="E207" s="4" t="s">
        <v>105</v>
      </c>
      <c r="F207" s="4" t="s">
        <v>25</v>
      </c>
      <c r="G207" s="4" t="s">
        <v>77</v>
      </c>
      <c r="H207" s="4" t="s">
        <v>27</v>
      </c>
      <c r="I207" s="4" t="s">
        <v>39</v>
      </c>
      <c r="J207" s="3">
        <v>4</v>
      </c>
      <c r="K207" s="6">
        <v>142200</v>
      </c>
      <c r="L207" s="6">
        <f t="shared" si="9"/>
        <v>99540</v>
      </c>
      <c r="M207" s="6">
        <v>42660</v>
      </c>
      <c r="N207" s="5" t="str">
        <f t="shared" si="10"/>
        <v>Jul</v>
      </c>
      <c r="O207" s="5" t="str">
        <f t="shared" si="11"/>
        <v xml:space="preserve"> 2023</v>
      </c>
    </row>
    <row r="208" spans="1:15" x14ac:dyDescent="0.35">
      <c r="A208" t="s">
        <v>449</v>
      </c>
      <c r="B208" s="5" t="s">
        <v>169</v>
      </c>
      <c r="C208" s="4" t="s">
        <v>13</v>
      </c>
      <c r="D208" s="4" t="s">
        <v>162</v>
      </c>
      <c r="E208" s="4" t="s">
        <v>163</v>
      </c>
      <c r="F208" s="4" t="s">
        <v>67</v>
      </c>
      <c r="G208" s="4" t="s">
        <v>180</v>
      </c>
      <c r="H208" s="4" t="s">
        <v>27</v>
      </c>
      <c r="I208" s="4" t="s">
        <v>19</v>
      </c>
      <c r="J208" s="3">
        <v>3</v>
      </c>
      <c r="K208" s="6">
        <v>98001</v>
      </c>
      <c r="L208" s="6">
        <f t="shared" si="9"/>
        <v>68600.7</v>
      </c>
      <c r="M208" s="6">
        <v>29400.300000000003</v>
      </c>
      <c r="N208" s="5" t="str">
        <f t="shared" si="10"/>
        <v>Jul</v>
      </c>
      <c r="O208" s="5" t="str">
        <f t="shared" si="11"/>
        <v xml:space="preserve"> 2024</v>
      </c>
    </row>
    <row r="209" spans="1:15" x14ac:dyDescent="0.35">
      <c r="A209" t="s">
        <v>450</v>
      </c>
      <c r="B209" s="5" t="s">
        <v>451</v>
      </c>
      <c r="C209" s="4" t="s">
        <v>31</v>
      </c>
      <c r="D209" s="4" t="s">
        <v>104</v>
      </c>
      <c r="E209" s="4" t="s">
        <v>105</v>
      </c>
      <c r="F209" s="4" t="s">
        <v>16</v>
      </c>
      <c r="G209" s="4" t="s">
        <v>42</v>
      </c>
      <c r="H209" s="4" t="s">
        <v>72</v>
      </c>
      <c r="I209" s="4" t="s">
        <v>28</v>
      </c>
      <c r="J209" s="3">
        <v>9</v>
      </c>
      <c r="K209" s="6">
        <v>192546</v>
      </c>
      <c r="L209" s="6">
        <f t="shared" si="9"/>
        <v>134782.19999999998</v>
      </c>
      <c r="M209" s="6">
        <v>57763.800000000017</v>
      </c>
      <c r="N209" s="5" t="str">
        <f t="shared" si="10"/>
        <v>Feb</v>
      </c>
      <c r="O209" s="5" t="str">
        <f t="shared" si="11"/>
        <v xml:space="preserve"> 2024</v>
      </c>
    </row>
    <row r="210" spans="1:15" x14ac:dyDescent="0.35">
      <c r="A210" t="s">
        <v>452</v>
      </c>
      <c r="B210" s="5" t="s">
        <v>158</v>
      </c>
      <c r="C210" s="4" t="s">
        <v>13</v>
      </c>
      <c r="D210" s="4" t="s">
        <v>14</v>
      </c>
      <c r="E210" s="4" t="s">
        <v>15</v>
      </c>
      <c r="F210" s="4" t="s">
        <v>37</v>
      </c>
      <c r="G210" s="4" t="s">
        <v>148</v>
      </c>
      <c r="H210" s="4" t="s">
        <v>72</v>
      </c>
      <c r="I210" s="4" t="s">
        <v>19</v>
      </c>
      <c r="J210" s="3">
        <v>4</v>
      </c>
      <c r="K210" s="6">
        <v>82568</v>
      </c>
      <c r="L210" s="6">
        <f t="shared" si="9"/>
        <v>57797.599999999999</v>
      </c>
      <c r="M210" s="6">
        <v>24770.400000000001</v>
      </c>
      <c r="N210" s="5" t="str">
        <f t="shared" si="10"/>
        <v>Mar</v>
      </c>
      <c r="O210" s="5" t="str">
        <f t="shared" si="11"/>
        <v xml:space="preserve"> 2023</v>
      </c>
    </row>
    <row r="211" spans="1:15" x14ac:dyDescent="0.35">
      <c r="A211" t="s">
        <v>453</v>
      </c>
      <c r="B211" s="5" t="s">
        <v>454</v>
      </c>
      <c r="C211" s="4" t="s">
        <v>22</v>
      </c>
      <c r="D211" s="4" t="s">
        <v>90</v>
      </c>
      <c r="E211" s="4" t="s">
        <v>91</v>
      </c>
      <c r="F211" s="4" t="s">
        <v>37</v>
      </c>
      <c r="G211" s="4" t="s">
        <v>38</v>
      </c>
      <c r="H211" s="4" t="s">
        <v>18</v>
      </c>
      <c r="I211" s="4" t="s">
        <v>19</v>
      </c>
      <c r="J211" s="3">
        <v>6</v>
      </c>
      <c r="K211" s="6">
        <v>120966</v>
      </c>
      <c r="L211" s="6">
        <f t="shared" si="9"/>
        <v>84676.2</v>
      </c>
      <c r="M211" s="6">
        <v>36289.800000000003</v>
      </c>
      <c r="N211" s="5" t="str">
        <f t="shared" si="10"/>
        <v>Aug</v>
      </c>
      <c r="O211" s="5" t="str">
        <f t="shared" si="11"/>
        <v xml:space="preserve"> 2023</v>
      </c>
    </row>
    <row r="212" spans="1:15" x14ac:dyDescent="0.35">
      <c r="A212" t="s">
        <v>455</v>
      </c>
      <c r="B212" s="5" t="s">
        <v>30</v>
      </c>
      <c r="C212" s="4" t="s">
        <v>55</v>
      </c>
      <c r="D212" s="4" t="s">
        <v>82</v>
      </c>
      <c r="E212" s="4" t="s">
        <v>83</v>
      </c>
      <c r="F212" s="4" t="s">
        <v>16</v>
      </c>
      <c r="G212" s="4" t="s">
        <v>17</v>
      </c>
      <c r="H212" s="4" t="s">
        <v>27</v>
      </c>
      <c r="I212" s="4" t="s">
        <v>19</v>
      </c>
      <c r="J212" s="3">
        <v>10</v>
      </c>
      <c r="K212" s="6">
        <v>171050</v>
      </c>
      <c r="L212" s="6">
        <f t="shared" si="9"/>
        <v>119734.99999999999</v>
      </c>
      <c r="M212" s="6">
        <v>51315.000000000015</v>
      </c>
      <c r="N212" s="5" t="str">
        <f t="shared" si="10"/>
        <v>Mar</v>
      </c>
      <c r="O212" s="5" t="str">
        <f t="shared" si="11"/>
        <v xml:space="preserve"> 2023</v>
      </c>
    </row>
    <row r="213" spans="1:15" x14ac:dyDescent="0.35">
      <c r="A213" t="s">
        <v>456</v>
      </c>
      <c r="B213" s="5" t="s">
        <v>457</v>
      </c>
      <c r="C213" s="4" t="s">
        <v>13</v>
      </c>
      <c r="D213" s="4" t="s">
        <v>125</v>
      </c>
      <c r="E213" s="4" t="s">
        <v>126</v>
      </c>
      <c r="F213" s="4" t="s">
        <v>37</v>
      </c>
      <c r="G213" s="4" t="s">
        <v>183</v>
      </c>
      <c r="H213" s="4" t="s">
        <v>27</v>
      </c>
      <c r="I213" s="4" t="s">
        <v>47</v>
      </c>
      <c r="J213" s="3">
        <v>7</v>
      </c>
      <c r="K213" s="6">
        <v>164514</v>
      </c>
      <c r="L213" s="6">
        <f t="shared" si="9"/>
        <v>115159.79999999999</v>
      </c>
      <c r="M213" s="6">
        <v>49354.200000000012</v>
      </c>
      <c r="N213" s="5" t="str">
        <f t="shared" si="10"/>
        <v>Apr</v>
      </c>
      <c r="O213" s="5" t="str">
        <f t="shared" si="11"/>
        <v xml:space="preserve"> 2024</v>
      </c>
    </row>
    <row r="214" spans="1:15" x14ac:dyDescent="0.35">
      <c r="A214" t="s">
        <v>458</v>
      </c>
      <c r="B214" s="5" t="s">
        <v>459</v>
      </c>
      <c r="C214" s="4" t="s">
        <v>22</v>
      </c>
      <c r="D214" s="4" t="s">
        <v>86</v>
      </c>
      <c r="E214" s="4" t="s">
        <v>87</v>
      </c>
      <c r="F214" s="4" t="s">
        <v>37</v>
      </c>
      <c r="G214" s="4" t="s">
        <v>148</v>
      </c>
      <c r="H214" s="4" t="s">
        <v>18</v>
      </c>
      <c r="I214" s="4" t="s">
        <v>39</v>
      </c>
      <c r="J214" s="3">
        <v>3</v>
      </c>
      <c r="K214" s="6">
        <v>45375</v>
      </c>
      <c r="L214" s="6">
        <f t="shared" si="9"/>
        <v>31762.499999999996</v>
      </c>
      <c r="M214" s="6">
        <v>13612.500000000004</v>
      </c>
      <c r="N214" s="5" t="str">
        <f t="shared" si="10"/>
        <v>Jun</v>
      </c>
      <c r="O214" s="5" t="str">
        <f t="shared" si="11"/>
        <v xml:space="preserve"> 2024</v>
      </c>
    </row>
    <row r="215" spans="1:15" x14ac:dyDescent="0.35">
      <c r="A215" t="s">
        <v>460</v>
      </c>
      <c r="B215" s="5" t="s">
        <v>461</v>
      </c>
      <c r="C215" s="4" t="s">
        <v>22</v>
      </c>
      <c r="D215" s="4" t="s">
        <v>90</v>
      </c>
      <c r="E215" s="4" t="s">
        <v>91</v>
      </c>
      <c r="F215" s="4" t="s">
        <v>37</v>
      </c>
      <c r="G215" s="4" t="s">
        <v>38</v>
      </c>
      <c r="H215" s="4" t="s">
        <v>18</v>
      </c>
      <c r="I215" s="4" t="s">
        <v>28</v>
      </c>
      <c r="J215" s="3">
        <v>1</v>
      </c>
      <c r="K215" s="6">
        <v>19745</v>
      </c>
      <c r="L215" s="6">
        <f t="shared" si="9"/>
        <v>13821.5</v>
      </c>
      <c r="M215" s="6">
        <v>5923.5</v>
      </c>
      <c r="N215" s="5" t="str">
        <f t="shared" si="10"/>
        <v>Jul</v>
      </c>
      <c r="O215" s="5" t="str">
        <f t="shared" si="11"/>
        <v xml:space="preserve"> 2023</v>
      </c>
    </row>
    <row r="216" spans="1:15" x14ac:dyDescent="0.35">
      <c r="A216" t="s">
        <v>462</v>
      </c>
      <c r="B216" s="5" t="s">
        <v>463</v>
      </c>
      <c r="C216" s="4" t="s">
        <v>13</v>
      </c>
      <c r="D216" s="4" t="s">
        <v>125</v>
      </c>
      <c r="E216" s="4" t="s">
        <v>126</v>
      </c>
      <c r="F216" s="4" t="s">
        <v>37</v>
      </c>
      <c r="G216" s="4" t="s">
        <v>148</v>
      </c>
      <c r="H216" s="4" t="s">
        <v>72</v>
      </c>
      <c r="I216" s="4" t="s">
        <v>39</v>
      </c>
      <c r="J216" s="3">
        <v>1</v>
      </c>
      <c r="K216" s="6">
        <v>42143</v>
      </c>
      <c r="L216" s="6">
        <f t="shared" si="9"/>
        <v>29500.1</v>
      </c>
      <c r="M216" s="6">
        <v>12642.900000000001</v>
      </c>
      <c r="N216" s="5" t="str">
        <f t="shared" si="10"/>
        <v>May</v>
      </c>
      <c r="O216" s="5" t="str">
        <f t="shared" si="11"/>
        <v xml:space="preserve"> 2024</v>
      </c>
    </row>
    <row r="217" spans="1:15" x14ac:dyDescent="0.35">
      <c r="A217" t="s">
        <v>464</v>
      </c>
      <c r="B217" s="5" t="s">
        <v>465</v>
      </c>
      <c r="C217" s="4" t="s">
        <v>22</v>
      </c>
      <c r="D217" s="4" t="s">
        <v>23</v>
      </c>
      <c r="E217" s="4" t="s">
        <v>24</v>
      </c>
      <c r="F217" s="4" t="s">
        <v>25</v>
      </c>
      <c r="G217" s="4" t="s">
        <v>71</v>
      </c>
      <c r="H217" s="4" t="s">
        <v>27</v>
      </c>
      <c r="I217" s="4" t="s">
        <v>28</v>
      </c>
      <c r="J217" s="3">
        <v>8</v>
      </c>
      <c r="K217" s="6">
        <v>174856</v>
      </c>
      <c r="L217" s="6">
        <f t="shared" si="9"/>
        <v>122399.2</v>
      </c>
      <c r="M217" s="6">
        <v>52456.800000000003</v>
      </c>
      <c r="N217" s="5" t="str">
        <f t="shared" si="10"/>
        <v>Oct</v>
      </c>
      <c r="O217" s="5" t="str">
        <f t="shared" si="11"/>
        <v xml:space="preserve"> 2024</v>
      </c>
    </row>
    <row r="218" spans="1:15" x14ac:dyDescent="0.35">
      <c r="A218" t="s">
        <v>466</v>
      </c>
      <c r="B218" s="5" t="s">
        <v>467</v>
      </c>
      <c r="C218" s="4" t="s">
        <v>55</v>
      </c>
      <c r="D218" s="4" t="s">
        <v>82</v>
      </c>
      <c r="E218" s="4" t="s">
        <v>83</v>
      </c>
      <c r="F218" s="4" t="s">
        <v>25</v>
      </c>
      <c r="G218" s="4" t="s">
        <v>26</v>
      </c>
      <c r="H218" s="4" t="s">
        <v>72</v>
      </c>
      <c r="I218" s="4" t="s">
        <v>60</v>
      </c>
      <c r="J218" s="3">
        <v>1</v>
      </c>
      <c r="K218" s="6">
        <v>15039</v>
      </c>
      <c r="L218" s="6">
        <f t="shared" si="9"/>
        <v>10527.3</v>
      </c>
      <c r="M218" s="6">
        <v>4511.7000000000007</v>
      </c>
      <c r="N218" s="5" t="str">
        <f t="shared" si="10"/>
        <v>Mar</v>
      </c>
      <c r="O218" s="5" t="str">
        <f t="shared" si="11"/>
        <v xml:space="preserve"> 2024</v>
      </c>
    </row>
    <row r="219" spans="1:15" x14ac:dyDescent="0.35">
      <c r="A219" t="s">
        <v>468</v>
      </c>
      <c r="B219" s="5" t="s">
        <v>469</v>
      </c>
      <c r="C219" s="4" t="s">
        <v>22</v>
      </c>
      <c r="D219" s="4" t="s">
        <v>90</v>
      </c>
      <c r="E219" s="4" t="s">
        <v>91</v>
      </c>
      <c r="F219" s="4" t="s">
        <v>16</v>
      </c>
      <c r="G219" s="4" t="s">
        <v>17</v>
      </c>
      <c r="H219" s="4" t="s">
        <v>72</v>
      </c>
      <c r="I219" s="4" t="s">
        <v>60</v>
      </c>
      <c r="J219" s="3">
        <v>8</v>
      </c>
      <c r="K219" s="6">
        <v>396584</v>
      </c>
      <c r="L219" s="6">
        <f t="shared" si="9"/>
        <v>277608.8</v>
      </c>
      <c r="M219" s="6">
        <v>118975.20000000001</v>
      </c>
      <c r="N219" s="5" t="str">
        <f t="shared" si="10"/>
        <v>Mar</v>
      </c>
      <c r="O219" s="5" t="str">
        <f t="shared" si="11"/>
        <v xml:space="preserve"> 2024</v>
      </c>
    </row>
    <row r="220" spans="1:15" x14ac:dyDescent="0.35">
      <c r="A220" t="s">
        <v>470</v>
      </c>
      <c r="B220" s="5" t="s">
        <v>471</v>
      </c>
      <c r="C220" s="4" t="s">
        <v>22</v>
      </c>
      <c r="D220" s="4" t="s">
        <v>86</v>
      </c>
      <c r="E220" s="4" t="s">
        <v>87</v>
      </c>
      <c r="F220" s="4" t="s">
        <v>25</v>
      </c>
      <c r="G220" s="4" t="s">
        <v>26</v>
      </c>
      <c r="H220" s="4" t="s">
        <v>72</v>
      </c>
      <c r="I220" s="4" t="s">
        <v>47</v>
      </c>
      <c r="J220" s="3">
        <v>7</v>
      </c>
      <c r="K220" s="6">
        <v>196210</v>
      </c>
      <c r="L220" s="6">
        <f t="shared" si="9"/>
        <v>137347</v>
      </c>
      <c r="M220" s="6">
        <v>58863</v>
      </c>
      <c r="N220" s="5" t="str">
        <f t="shared" si="10"/>
        <v>Oct</v>
      </c>
      <c r="O220" s="5" t="str">
        <f t="shared" si="11"/>
        <v xml:space="preserve"> 2023</v>
      </c>
    </row>
    <row r="221" spans="1:15" x14ac:dyDescent="0.35">
      <c r="A221" t="s">
        <v>472</v>
      </c>
      <c r="B221" s="5" t="s">
        <v>473</v>
      </c>
      <c r="C221" s="4" t="s">
        <v>55</v>
      </c>
      <c r="D221" s="4" t="s">
        <v>63</v>
      </c>
      <c r="E221" s="4" t="s">
        <v>64</v>
      </c>
      <c r="F221" s="4" t="s">
        <v>25</v>
      </c>
      <c r="G221" s="4" t="s">
        <v>71</v>
      </c>
      <c r="H221" s="4" t="s">
        <v>18</v>
      </c>
      <c r="I221" s="4" t="s">
        <v>39</v>
      </c>
      <c r="J221" s="3">
        <v>2</v>
      </c>
      <c r="K221" s="6">
        <v>29512</v>
      </c>
      <c r="L221" s="6">
        <f t="shared" si="9"/>
        <v>20658.399999999998</v>
      </c>
      <c r="M221" s="6">
        <v>8853.6000000000022</v>
      </c>
      <c r="N221" s="5" t="str">
        <f t="shared" si="10"/>
        <v>Mar</v>
      </c>
      <c r="O221" s="5" t="str">
        <f t="shared" si="11"/>
        <v xml:space="preserve"> 2023</v>
      </c>
    </row>
    <row r="222" spans="1:15" x14ac:dyDescent="0.35">
      <c r="A222" t="s">
        <v>474</v>
      </c>
      <c r="B222" s="5" t="s">
        <v>475</v>
      </c>
      <c r="C222" s="4" t="s">
        <v>13</v>
      </c>
      <c r="D222" s="4" t="s">
        <v>118</v>
      </c>
      <c r="E222" s="4" t="s">
        <v>119</v>
      </c>
      <c r="F222" s="4" t="s">
        <v>25</v>
      </c>
      <c r="G222" s="4" t="s">
        <v>52</v>
      </c>
      <c r="H222" s="4" t="s">
        <v>27</v>
      </c>
      <c r="I222" s="4" t="s">
        <v>19</v>
      </c>
      <c r="J222" s="3">
        <v>10</v>
      </c>
      <c r="K222" s="6">
        <v>219970</v>
      </c>
      <c r="L222" s="6">
        <f t="shared" si="9"/>
        <v>153979</v>
      </c>
      <c r="M222" s="6">
        <v>65991</v>
      </c>
      <c r="N222" s="5" t="str">
        <f t="shared" si="10"/>
        <v>Jun</v>
      </c>
      <c r="O222" s="5" t="str">
        <f t="shared" si="11"/>
        <v xml:space="preserve"> 2023</v>
      </c>
    </row>
    <row r="223" spans="1:15" x14ac:dyDescent="0.35">
      <c r="A223" t="s">
        <v>476</v>
      </c>
      <c r="B223" s="5" t="s">
        <v>477</v>
      </c>
      <c r="C223" s="4" t="s">
        <v>55</v>
      </c>
      <c r="D223" s="4" t="s">
        <v>56</v>
      </c>
      <c r="E223" s="4" t="s">
        <v>57</v>
      </c>
      <c r="F223" s="4" t="s">
        <v>25</v>
      </c>
      <c r="G223" s="4" t="s">
        <v>52</v>
      </c>
      <c r="H223" s="4" t="s">
        <v>72</v>
      </c>
      <c r="I223" s="4" t="s">
        <v>19</v>
      </c>
      <c r="J223" s="3">
        <v>9</v>
      </c>
      <c r="K223" s="6">
        <v>170487</v>
      </c>
      <c r="L223" s="6">
        <f t="shared" si="9"/>
        <v>119340.9</v>
      </c>
      <c r="M223" s="6">
        <v>51146.100000000006</v>
      </c>
      <c r="N223" s="5" t="str">
        <f t="shared" si="10"/>
        <v>Aug</v>
      </c>
      <c r="O223" s="5" t="str">
        <f t="shared" si="11"/>
        <v xml:space="preserve"> 2023</v>
      </c>
    </row>
    <row r="224" spans="1:15" x14ac:dyDescent="0.35">
      <c r="A224" t="s">
        <v>478</v>
      </c>
      <c r="B224" s="5" t="s">
        <v>479</v>
      </c>
      <c r="C224" s="4" t="s">
        <v>13</v>
      </c>
      <c r="D224" s="4" t="s">
        <v>125</v>
      </c>
      <c r="E224" s="4" t="s">
        <v>126</v>
      </c>
      <c r="F224" s="4" t="s">
        <v>37</v>
      </c>
      <c r="G224" s="4" t="s">
        <v>186</v>
      </c>
      <c r="H224" s="4" t="s">
        <v>18</v>
      </c>
      <c r="I224" s="4" t="s">
        <v>19</v>
      </c>
      <c r="J224" s="3">
        <v>6</v>
      </c>
      <c r="K224" s="6">
        <v>245724</v>
      </c>
      <c r="L224" s="6">
        <f t="shared" si="9"/>
        <v>172006.8</v>
      </c>
      <c r="M224" s="6">
        <v>73717.200000000012</v>
      </c>
      <c r="N224" s="5" t="str">
        <f t="shared" si="10"/>
        <v>Aug</v>
      </c>
      <c r="O224" s="5" t="str">
        <f t="shared" si="11"/>
        <v xml:space="preserve"> 2024</v>
      </c>
    </row>
    <row r="225" spans="1:15" x14ac:dyDescent="0.35">
      <c r="A225" t="s">
        <v>480</v>
      </c>
      <c r="B225" s="5" t="s">
        <v>179</v>
      </c>
      <c r="C225" s="4" t="s">
        <v>13</v>
      </c>
      <c r="D225" s="4" t="s">
        <v>14</v>
      </c>
      <c r="E225" s="4" t="s">
        <v>15</v>
      </c>
      <c r="F225" s="4" t="s">
        <v>37</v>
      </c>
      <c r="G225" s="4" t="s">
        <v>38</v>
      </c>
      <c r="H225" s="4" t="s">
        <v>18</v>
      </c>
      <c r="I225" s="4" t="s">
        <v>39</v>
      </c>
      <c r="J225" s="3">
        <v>6</v>
      </c>
      <c r="K225" s="6">
        <v>185400</v>
      </c>
      <c r="L225" s="6">
        <f t="shared" si="9"/>
        <v>129779.99999999999</v>
      </c>
      <c r="M225" s="6">
        <v>55620.000000000015</v>
      </c>
      <c r="N225" s="5" t="str">
        <f t="shared" si="10"/>
        <v>Apr</v>
      </c>
      <c r="O225" s="5" t="str">
        <f t="shared" si="11"/>
        <v xml:space="preserve"> 2024</v>
      </c>
    </row>
    <row r="226" spans="1:15" x14ac:dyDescent="0.35">
      <c r="A226" t="s">
        <v>481</v>
      </c>
      <c r="B226" s="5" t="s">
        <v>482</v>
      </c>
      <c r="C226" s="4" t="s">
        <v>55</v>
      </c>
      <c r="D226" s="4" t="s">
        <v>98</v>
      </c>
      <c r="E226" s="4" t="s">
        <v>99</v>
      </c>
      <c r="F226" s="4" t="s">
        <v>25</v>
      </c>
      <c r="G226" s="4" t="s">
        <v>77</v>
      </c>
      <c r="H226" s="4" t="s">
        <v>27</v>
      </c>
      <c r="I226" s="4" t="s">
        <v>39</v>
      </c>
      <c r="J226" s="3">
        <v>5</v>
      </c>
      <c r="K226" s="6">
        <v>88340</v>
      </c>
      <c r="L226" s="6">
        <f t="shared" si="9"/>
        <v>61837.999999999993</v>
      </c>
      <c r="M226" s="6">
        <v>26502.000000000007</v>
      </c>
      <c r="N226" s="5" t="str">
        <f t="shared" si="10"/>
        <v>Sep</v>
      </c>
      <c r="O226" s="5" t="str">
        <f t="shared" si="11"/>
        <v xml:space="preserve"> 2024</v>
      </c>
    </row>
    <row r="227" spans="1:15" x14ac:dyDescent="0.35">
      <c r="A227" t="s">
        <v>483</v>
      </c>
      <c r="B227" s="5" t="s">
        <v>484</v>
      </c>
      <c r="C227" s="4" t="s">
        <v>22</v>
      </c>
      <c r="D227" s="4" t="s">
        <v>90</v>
      </c>
      <c r="E227" s="4" t="s">
        <v>91</v>
      </c>
      <c r="F227" s="4" t="s">
        <v>67</v>
      </c>
      <c r="G227" s="4" t="s">
        <v>68</v>
      </c>
      <c r="H227" s="4" t="s">
        <v>18</v>
      </c>
      <c r="I227" s="4" t="s">
        <v>39</v>
      </c>
      <c r="J227" s="3">
        <v>6</v>
      </c>
      <c r="K227" s="6">
        <v>32976</v>
      </c>
      <c r="L227" s="6">
        <f t="shared" si="9"/>
        <v>23083.199999999997</v>
      </c>
      <c r="M227" s="6">
        <v>9892.8000000000029</v>
      </c>
      <c r="N227" s="5" t="str">
        <f t="shared" si="10"/>
        <v>Apr</v>
      </c>
      <c r="O227" s="5" t="str">
        <f t="shared" si="11"/>
        <v xml:space="preserve"> 2023</v>
      </c>
    </row>
    <row r="228" spans="1:15" x14ac:dyDescent="0.35">
      <c r="A228" t="s">
        <v>485</v>
      </c>
      <c r="B228" s="5" t="s">
        <v>394</v>
      </c>
      <c r="C228" s="4" t="s">
        <v>22</v>
      </c>
      <c r="D228" s="4" t="s">
        <v>90</v>
      </c>
      <c r="E228" s="4" t="s">
        <v>110</v>
      </c>
      <c r="F228" s="4" t="s">
        <v>67</v>
      </c>
      <c r="G228" s="4" t="s">
        <v>134</v>
      </c>
      <c r="H228" s="4" t="s">
        <v>18</v>
      </c>
      <c r="I228" s="4" t="s">
        <v>39</v>
      </c>
      <c r="J228" s="3">
        <v>9</v>
      </c>
      <c r="K228" s="6">
        <v>386559</v>
      </c>
      <c r="L228" s="6">
        <f t="shared" si="9"/>
        <v>270591.3</v>
      </c>
      <c r="M228" s="6">
        <v>115967.70000000001</v>
      </c>
      <c r="N228" s="5" t="str">
        <f t="shared" si="10"/>
        <v>Mar</v>
      </c>
      <c r="O228" s="5" t="str">
        <f t="shared" si="11"/>
        <v xml:space="preserve"> 2024</v>
      </c>
    </row>
    <row r="229" spans="1:15" x14ac:dyDescent="0.35">
      <c r="A229" t="s">
        <v>486</v>
      </c>
      <c r="B229" s="5" t="s">
        <v>487</v>
      </c>
      <c r="C229" s="4" t="s">
        <v>22</v>
      </c>
      <c r="D229" s="4" t="s">
        <v>90</v>
      </c>
      <c r="E229" s="4" t="s">
        <v>110</v>
      </c>
      <c r="F229" s="4" t="s">
        <v>25</v>
      </c>
      <c r="G229" s="4" t="s">
        <v>77</v>
      </c>
      <c r="H229" s="4" t="s">
        <v>72</v>
      </c>
      <c r="I229" s="4" t="s">
        <v>28</v>
      </c>
      <c r="J229" s="3">
        <v>7</v>
      </c>
      <c r="K229" s="6">
        <v>66080</v>
      </c>
      <c r="L229" s="6">
        <f t="shared" si="9"/>
        <v>46256</v>
      </c>
      <c r="M229" s="6">
        <v>19824</v>
      </c>
      <c r="N229" s="5" t="str">
        <f t="shared" si="10"/>
        <v>Mar</v>
      </c>
      <c r="O229" s="5" t="str">
        <f t="shared" si="11"/>
        <v xml:space="preserve"> 2024</v>
      </c>
    </row>
    <row r="230" spans="1:15" x14ac:dyDescent="0.35">
      <c r="A230" t="s">
        <v>488</v>
      </c>
      <c r="B230" s="5" t="s">
        <v>489</v>
      </c>
      <c r="C230" s="4" t="s">
        <v>22</v>
      </c>
      <c r="D230" s="4" t="s">
        <v>90</v>
      </c>
      <c r="E230" s="4" t="s">
        <v>110</v>
      </c>
      <c r="F230" s="4" t="s">
        <v>37</v>
      </c>
      <c r="G230" s="4" t="s">
        <v>38</v>
      </c>
      <c r="H230" s="4" t="s">
        <v>27</v>
      </c>
      <c r="I230" s="4" t="s">
        <v>47</v>
      </c>
      <c r="J230" s="3">
        <v>9</v>
      </c>
      <c r="K230" s="6">
        <v>157365</v>
      </c>
      <c r="L230" s="6">
        <f t="shared" si="9"/>
        <v>110155.5</v>
      </c>
      <c r="M230" s="6">
        <v>47209.5</v>
      </c>
      <c r="N230" s="5" t="str">
        <f t="shared" si="10"/>
        <v>Feb</v>
      </c>
      <c r="O230" s="5" t="str">
        <f t="shared" si="11"/>
        <v xml:space="preserve"> 2024</v>
      </c>
    </row>
    <row r="231" spans="1:15" x14ac:dyDescent="0.35">
      <c r="A231" t="s">
        <v>490</v>
      </c>
      <c r="B231" s="5" t="s">
        <v>491</v>
      </c>
      <c r="C231" s="4" t="s">
        <v>55</v>
      </c>
      <c r="D231" s="4" t="s">
        <v>63</v>
      </c>
      <c r="E231" s="4" t="s">
        <v>64</v>
      </c>
      <c r="F231" s="4" t="s">
        <v>67</v>
      </c>
      <c r="G231" s="4" t="s">
        <v>113</v>
      </c>
      <c r="H231" s="4" t="s">
        <v>18</v>
      </c>
      <c r="I231" s="4" t="s">
        <v>28</v>
      </c>
      <c r="J231" s="3">
        <v>4</v>
      </c>
      <c r="K231" s="6">
        <v>69832</v>
      </c>
      <c r="L231" s="6">
        <f t="shared" si="9"/>
        <v>48882.399999999994</v>
      </c>
      <c r="M231" s="6">
        <v>20949.600000000006</v>
      </c>
      <c r="N231" s="5" t="str">
        <f t="shared" si="10"/>
        <v>Mar</v>
      </c>
      <c r="O231" s="5" t="str">
        <f t="shared" si="11"/>
        <v xml:space="preserve"> 2024</v>
      </c>
    </row>
    <row r="232" spans="1:15" x14ac:dyDescent="0.35">
      <c r="A232" t="s">
        <v>492</v>
      </c>
      <c r="B232" s="5" t="s">
        <v>316</v>
      </c>
      <c r="C232" s="4" t="s">
        <v>55</v>
      </c>
      <c r="D232" s="4" t="s">
        <v>56</v>
      </c>
      <c r="E232" s="4" t="s">
        <v>57</v>
      </c>
      <c r="F232" s="4" t="s">
        <v>25</v>
      </c>
      <c r="G232" s="4" t="s">
        <v>71</v>
      </c>
      <c r="H232" s="4" t="s">
        <v>18</v>
      </c>
      <c r="I232" s="4" t="s">
        <v>47</v>
      </c>
      <c r="J232" s="3">
        <v>7</v>
      </c>
      <c r="K232" s="6">
        <v>109102</v>
      </c>
      <c r="L232" s="6">
        <f t="shared" si="9"/>
        <v>76371.399999999994</v>
      </c>
      <c r="M232" s="6">
        <v>32730.600000000006</v>
      </c>
      <c r="N232" s="5" t="str">
        <f t="shared" si="10"/>
        <v>Aug</v>
      </c>
      <c r="O232" s="5" t="str">
        <f t="shared" si="11"/>
        <v xml:space="preserve"> 2024</v>
      </c>
    </row>
    <row r="233" spans="1:15" x14ac:dyDescent="0.35">
      <c r="A233" t="s">
        <v>493</v>
      </c>
      <c r="B233" s="5" t="s">
        <v>109</v>
      </c>
      <c r="C233" s="4" t="s">
        <v>55</v>
      </c>
      <c r="D233" s="4" t="s">
        <v>63</v>
      </c>
      <c r="E233" s="4" t="s">
        <v>64</v>
      </c>
      <c r="F233" s="4" t="s">
        <v>25</v>
      </c>
      <c r="G233" s="4" t="s">
        <v>52</v>
      </c>
      <c r="H233" s="4" t="s">
        <v>27</v>
      </c>
      <c r="I233" s="4" t="s">
        <v>28</v>
      </c>
      <c r="J233" s="3">
        <v>1</v>
      </c>
      <c r="K233" s="6">
        <v>43094</v>
      </c>
      <c r="L233" s="6">
        <f t="shared" si="9"/>
        <v>30165.8</v>
      </c>
      <c r="M233" s="6">
        <v>12928.2</v>
      </c>
      <c r="N233" s="5" t="str">
        <f t="shared" si="10"/>
        <v>Jul</v>
      </c>
      <c r="O233" s="5" t="str">
        <f t="shared" si="11"/>
        <v xml:space="preserve"> 2024</v>
      </c>
    </row>
    <row r="234" spans="1:15" x14ac:dyDescent="0.35">
      <c r="A234" t="s">
        <v>494</v>
      </c>
      <c r="B234" s="5" t="s">
        <v>495</v>
      </c>
      <c r="C234" s="4" t="s">
        <v>13</v>
      </c>
      <c r="D234" s="4" t="s">
        <v>118</v>
      </c>
      <c r="E234" s="4" t="s">
        <v>119</v>
      </c>
      <c r="F234" s="4" t="s">
        <v>16</v>
      </c>
      <c r="G234" s="4" t="s">
        <v>42</v>
      </c>
      <c r="H234" s="4" t="s">
        <v>18</v>
      </c>
      <c r="I234" s="4" t="s">
        <v>39</v>
      </c>
      <c r="J234" s="3">
        <v>2</v>
      </c>
      <c r="K234" s="6">
        <v>13434</v>
      </c>
      <c r="L234" s="6">
        <f t="shared" si="9"/>
        <v>9403.7999999999993</v>
      </c>
      <c r="M234" s="6">
        <v>4030.2000000000007</v>
      </c>
      <c r="N234" s="5" t="str">
        <f t="shared" si="10"/>
        <v>Jan</v>
      </c>
      <c r="O234" s="5" t="str">
        <f t="shared" si="11"/>
        <v xml:space="preserve"> 2023</v>
      </c>
    </row>
    <row r="235" spans="1:15" x14ac:dyDescent="0.35">
      <c r="A235" t="s">
        <v>496</v>
      </c>
      <c r="B235" s="5" t="s">
        <v>381</v>
      </c>
      <c r="C235" s="4" t="s">
        <v>22</v>
      </c>
      <c r="D235" s="4" t="s">
        <v>23</v>
      </c>
      <c r="E235" s="4" t="s">
        <v>24</v>
      </c>
      <c r="F235" s="4" t="s">
        <v>25</v>
      </c>
      <c r="G235" s="4" t="s">
        <v>52</v>
      </c>
      <c r="H235" s="4" t="s">
        <v>27</v>
      </c>
      <c r="I235" s="4" t="s">
        <v>39</v>
      </c>
      <c r="J235" s="3">
        <v>9</v>
      </c>
      <c r="K235" s="6">
        <v>149526</v>
      </c>
      <c r="L235" s="6">
        <f t="shared" si="9"/>
        <v>104668.2</v>
      </c>
      <c r="M235" s="6">
        <v>44857.8</v>
      </c>
      <c r="N235" s="5" t="str">
        <f t="shared" si="10"/>
        <v>Sep</v>
      </c>
      <c r="O235" s="5" t="str">
        <f t="shared" si="11"/>
        <v xml:space="preserve"> 2023</v>
      </c>
    </row>
    <row r="236" spans="1:15" x14ac:dyDescent="0.35">
      <c r="A236" t="s">
        <v>497</v>
      </c>
      <c r="B236" s="5" t="s">
        <v>498</v>
      </c>
      <c r="C236" s="4" t="s">
        <v>55</v>
      </c>
      <c r="D236" s="4" t="s">
        <v>63</v>
      </c>
      <c r="E236" s="4" t="s">
        <v>64</v>
      </c>
      <c r="F236" s="4" t="s">
        <v>25</v>
      </c>
      <c r="G236" s="4" t="s">
        <v>71</v>
      </c>
      <c r="H236" s="4" t="s">
        <v>18</v>
      </c>
      <c r="I236" s="4" t="s">
        <v>60</v>
      </c>
      <c r="J236" s="3">
        <v>7</v>
      </c>
      <c r="K236" s="6">
        <v>133812</v>
      </c>
      <c r="L236" s="6">
        <f t="shared" si="9"/>
        <v>93668.4</v>
      </c>
      <c r="M236" s="6">
        <v>40143.600000000006</v>
      </c>
      <c r="N236" s="5" t="str">
        <f t="shared" si="10"/>
        <v>Jun</v>
      </c>
      <c r="O236" s="5" t="str">
        <f t="shared" si="11"/>
        <v xml:space="preserve"> 2024</v>
      </c>
    </row>
    <row r="237" spans="1:15" x14ac:dyDescent="0.35">
      <c r="A237" t="s">
        <v>499</v>
      </c>
      <c r="B237" s="5" t="s">
        <v>500</v>
      </c>
      <c r="C237" s="4" t="s">
        <v>22</v>
      </c>
      <c r="D237" s="4" t="s">
        <v>90</v>
      </c>
      <c r="E237" s="4" t="s">
        <v>91</v>
      </c>
      <c r="F237" s="4" t="s">
        <v>25</v>
      </c>
      <c r="G237" s="4" t="s">
        <v>26</v>
      </c>
      <c r="H237" s="4" t="s">
        <v>18</v>
      </c>
      <c r="I237" s="4" t="s">
        <v>19</v>
      </c>
      <c r="J237" s="3">
        <v>10</v>
      </c>
      <c r="K237" s="6">
        <v>404770</v>
      </c>
      <c r="L237" s="6">
        <f t="shared" si="9"/>
        <v>283339</v>
      </c>
      <c r="M237" s="6">
        <v>121431</v>
      </c>
      <c r="N237" s="5" t="str">
        <f t="shared" si="10"/>
        <v>Apr</v>
      </c>
      <c r="O237" s="5" t="str">
        <f t="shared" si="11"/>
        <v xml:space="preserve"> 2023</v>
      </c>
    </row>
    <row r="238" spans="1:15" x14ac:dyDescent="0.35">
      <c r="A238" t="s">
        <v>501</v>
      </c>
      <c r="B238" s="5" t="s">
        <v>502</v>
      </c>
      <c r="C238" s="4" t="s">
        <v>22</v>
      </c>
      <c r="D238" s="4" t="s">
        <v>23</v>
      </c>
      <c r="E238" s="4" t="s">
        <v>24</v>
      </c>
      <c r="F238" s="4" t="s">
        <v>37</v>
      </c>
      <c r="G238" s="4" t="s">
        <v>183</v>
      </c>
      <c r="H238" s="4" t="s">
        <v>18</v>
      </c>
      <c r="I238" s="4" t="s">
        <v>19</v>
      </c>
      <c r="J238" s="3">
        <v>1</v>
      </c>
      <c r="K238" s="6">
        <v>14091</v>
      </c>
      <c r="L238" s="6">
        <f t="shared" si="9"/>
        <v>9863.6999999999989</v>
      </c>
      <c r="M238" s="6">
        <v>4227.3000000000011</v>
      </c>
      <c r="N238" s="5" t="str">
        <f t="shared" si="10"/>
        <v>Feb</v>
      </c>
      <c r="O238" s="5" t="str">
        <f t="shared" si="11"/>
        <v xml:space="preserve"> 2023</v>
      </c>
    </row>
    <row r="239" spans="1:15" x14ac:dyDescent="0.35">
      <c r="A239" t="s">
        <v>503</v>
      </c>
      <c r="B239" s="5" t="s">
        <v>504</v>
      </c>
      <c r="C239" s="4" t="s">
        <v>13</v>
      </c>
      <c r="D239" s="4" t="s">
        <v>125</v>
      </c>
      <c r="E239" s="4" t="s">
        <v>126</v>
      </c>
      <c r="F239" s="4" t="s">
        <v>67</v>
      </c>
      <c r="G239" s="4" t="s">
        <v>113</v>
      </c>
      <c r="H239" s="4" t="s">
        <v>18</v>
      </c>
      <c r="I239" s="4" t="s">
        <v>60</v>
      </c>
      <c r="J239" s="3">
        <v>2</v>
      </c>
      <c r="K239" s="6">
        <v>19228</v>
      </c>
      <c r="L239" s="6">
        <f t="shared" si="9"/>
        <v>13459.599999999999</v>
      </c>
      <c r="M239" s="6">
        <v>5768.4000000000015</v>
      </c>
      <c r="N239" s="5" t="str">
        <f t="shared" si="10"/>
        <v>Feb</v>
      </c>
      <c r="O239" s="5" t="str">
        <f t="shared" si="11"/>
        <v xml:space="preserve"> 2023</v>
      </c>
    </row>
    <row r="240" spans="1:15" x14ac:dyDescent="0.35">
      <c r="A240" t="s">
        <v>505</v>
      </c>
      <c r="B240" s="5" t="s">
        <v>506</v>
      </c>
      <c r="C240" s="4" t="s">
        <v>13</v>
      </c>
      <c r="D240" s="4" t="s">
        <v>118</v>
      </c>
      <c r="E240" s="4" t="s">
        <v>119</v>
      </c>
      <c r="F240" s="4" t="s">
        <v>16</v>
      </c>
      <c r="G240" s="4" t="s">
        <v>17</v>
      </c>
      <c r="H240" s="4" t="s">
        <v>72</v>
      </c>
      <c r="I240" s="4" t="s">
        <v>39</v>
      </c>
      <c r="J240" s="3">
        <v>3</v>
      </c>
      <c r="K240" s="6">
        <v>29511</v>
      </c>
      <c r="L240" s="6">
        <f t="shared" si="9"/>
        <v>20657.699999999997</v>
      </c>
      <c r="M240" s="6">
        <v>8853.3000000000029</v>
      </c>
      <c r="N240" s="5" t="str">
        <f t="shared" si="10"/>
        <v>Jan</v>
      </c>
      <c r="O240" s="5" t="str">
        <f t="shared" si="11"/>
        <v xml:space="preserve"> 2024</v>
      </c>
    </row>
    <row r="241" spans="1:15" x14ac:dyDescent="0.35">
      <c r="A241" t="s">
        <v>507</v>
      </c>
      <c r="B241" s="5" t="s">
        <v>508</v>
      </c>
      <c r="C241" s="4" t="s">
        <v>13</v>
      </c>
      <c r="D241" s="4" t="s">
        <v>118</v>
      </c>
      <c r="E241" s="4" t="s">
        <v>119</v>
      </c>
      <c r="F241" s="4" t="s">
        <v>67</v>
      </c>
      <c r="G241" s="4" t="s">
        <v>68</v>
      </c>
      <c r="H241" s="4" t="s">
        <v>72</v>
      </c>
      <c r="I241" s="4" t="s">
        <v>60</v>
      </c>
      <c r="J241" s="3">
        <v>9</v>
      </c>
      <c r="K241" s="6">
        <v>349326</v>
      </c>
      <c r="L241" s="6">
        <f t="shared" si="9"/>
        <v>244528.19999999998</v>
      </c>
      <c r="M241" s="6">
        <v>104797.80000000002</v>
      </c>
      <c r="N241" s="5" t="str">
        <f t="shared" si="10"/>
        <v>Feb</v>
      </c>
      <c r="O241" s="5" t="str">
        <f t="shared" si="11"/>
        <v xml:space="preserve"> 2024</v>
      </c>
    </row>
    <row r="242" spans="1:15" x14ac:dyDescent="0.35">
      <c r="A242" t="s">
        <v>509</v>
      </c>
      <c r="B242" s="5" t="s">
        <v>510</v>
      </c>
      <c r="C242" s="4" t="s">
        <v>55</v>
      </c>
      <c r="D242" s="4" t="s">
        <v>98</v>
      </c>
      <c r="E242" s="4" t="s">
        <v>99</v>
      </c>
      <c r="F242" s="4" t="s">
        <v>67</v>
      </c>
      <c r="G242" s="4" t="s">
        <v>180</v>
      </c>
      <c r="H242" s="4" t="s">
        <v>18</v>
      </c>
      <c r="I242" s="4" t="s">
        <v>60</v>
      </c>
      <c r="J242" s="3">
        <v>3</v>
      </c>
      <c r="K242" s="6">
        <v>15135</v>
      </c>
      <c r="L242" s="6">
        <f t="shared" si="9"/>
        <v>10594.5</v>
      </c>
      <c r="M242" s="6">
        <v>4540.5</v>
      </c>
      <c r="N242" s="5" t="str">
        <f t="shared" si="10"/>
        <v>Jun</v>
      </c>
      <c r="O242" s="5" t="str">
        <f t="shared" si="11"/>
        <v xml:space="preserve"> 2024</v>
      </c>
    </row>
    <row r="243" spans="1:15" x14ac:dyDescent="0.35">
      <c r="A243" t="s">
        <v>511</v>
      </c>
      <c r="B243" s="5" t="s">
        <v>512</v>
      </c>
      <c r="C243" s="4" t="s">
        <v>31</v>
      </c>
      <c r="D243" s="4" t="s">
        <v>45</v>
      </c>
      <c r="E243" s="4" t="s">
        <v>46</v>
      </c>
      <c r="F243" s="4" t="s">
        <v>67</v>
      </c>
      <c r="G243" s="4" t="s">
        <v>113</v>
      </c>
      <c r="H243" s="4" t="s">
        <v>72</v>
      </c>
      <c r="I243" s="4" t="s">
        <v>47</v>
      </c>
      <c r="J243" s="3">
        <v>7</v>
      </c>
      <c r="K243" s="6">
        <v>263214</v>
      </c>
      <c r="L243" s="6">
        <f t="shared" si="9"/>
        <v>184249.8</v>
      </c>
      <c r="M243" s="6">
        <v>78964.200000000012</v>
      </c>
      <c r="N243" s="5" t="str">
        <f t="shared" si="10"/>
        <v>May</v>
      </c>
      <c r="O243" s="5" t="str">
        <f t="shared" si="11"/>
        <v xml:space="preserve"> 2024</v>
      </c>
    </row>
    <row r="244" spans="1:15" x14ac:dyDescent="0.35">
      <c r="A244" t="s">
        <v>513</v>
      </c>
      <c r="B244" s="5" t="s">
        <v>514</v>
      </c>
      <c r="C244" s="4" t="s">
        <v>31</v>
      </c>
      <c r="D244" s="4" t="s">
        <v>50</v>
      </c>
      <c r="E244" s="4" t="s">
        <v>51</v>
      </c>
      <c r="F244" s="4" t="s">
        <v>16</v>
      </c>
      <c r="G244" s="4" t="s">
        <v>17</v>
      </c>
      <c r="H244" s="4" t="s">
        <v>27</v>
      </c>
      <c r="I244" s="4" t="s">
        <v>19</v>
      </c>
      <c r="J244" s="3">
        <v>1</v>
      </c>
      <c r="K244" s="6">
        <v>21359</v>
      </c>
      <c r="L244" s="6">
        <f t="shared" si="9"/>
        <v>14951.3</v>
      </c>
      <c r="M244" s="6">
        <v>6407.7000000000007</v>
      </c>
      <c r="N244" s="5" t="str">
        <f t="shared" si="10"/>
        <v>Nov</v>
      </c>
      <c r="O244" s="5" t="str">
        <f t="shared" si="11"/>
        <v xml:space="preserve"> 2023</v>
      </c>
    </row>
    <row r="245" spans="1:15" x14ac:dyDescent="0.35">
      <c r="A245" t="s">
        <v>515</v>
      </c>
      <c r="B245" s="5" t="s">
        <v>516</v>
      </c>
      <c r="C245" s="4" t="s">
        <v>31</v>
      </c>
      <c r="D245" s="4" t="s">
        <v>32</v>
      </c>
      <c r="E245" s="4" t="s">
        <v>33</v>
      </c>
      <c r="F245" s="4" t="s">
        <v>67</v>
      </c>
      <c r="G245" s="4" t="s">
        <v>113</v>
      </c>
      <c r="H245" s="4" t="s">
        <v>72</v>
      </c>
      <c r="I245" s="4" t="s">
        <v>39</v>
      </c>
      <c r="J245" s="3">
        <v>8</v>
      </c>
      <c r="K245" s="6">
        <v>396376</v>
      </c>
      <c r="L245" s="6">
        <f t="shared" si="9"/>
        <v>277463.19999999995</v>
      </c>
      <c r="M245" s="6">
        <v>118912.80000000005</v>
      </c>
      <c r="N245" s="5" t="str">
        <f t="shared" si="10"/>
        <v>Jul</v>
      </c>
      <c r="O245" s="5" t="str">
        <f t="shared" si="11"/>
        <v xml:space="preserve"> 2024</v>
      </c>
    </row>
    <row r="246" spans="1:15" x14ac:dyDescent="0.35">
      <c r="A246" t="s">
        <v>517</v>
      </c>
      <c r="B246" s="5" t="s">
        <v>443</v>
      </c>
      <c r="C246" s="4" t="s">
        <v>31</v>
      </c>
      <c r="D246" s="4" t="s">
        <v>50</v>
      </c>
      <c r="E246" s="4" t="s">
        <v>51</v>
      </c>
      <c r="F246" s="4" t="s">
        <v>67</v>
      </c>
      <c r="G246" s="4" t="s">
        <v>68</v>
      </c>
      <c r="H246" s="4" t="s">
        <v>18</v>
      </c>
      <c r="I246" s="4" t="s">
        <v>47</v>
      </c>
      <c r="J246" s="3">
        <v>7</v>
      </c>
      <c r="K246" s="6">
        <v>44933</v>
      </c>
      <c r="L246" s="6">
        <f t="shared" si="9"/>
        <v>31453.1</v>
      </c>
      <c r="M246" s="6">
        <v>13479.900000000001</v>
      </c>
      <c r="N246" s="5" t="str">
        <f t="shared" si="10"/>
        <v>Sep</v>
      </c>
      <c r="O246" s="5" t="str">
        <f t="shared" si="11"/>
        <v xml:space="preserve"> 2023</v>
      </c>
    </row>
    <row r="247" spans="1:15" x14ac:dyDescent="0.35">
      <c r="A247" t="s">
        <v>518</v>
      </c>
      <c r="B247" s="5" t="s">
        <v>307</v>
      </c>
      <c r="C247" s="4" t="s">
        <v>13</v>
      </c>
      <c r="D247" s="4" t="s">
        <v>118</v>
      </c>
      <c r="E247" s="4" t="s">
        <v>119</v>
      </c>
      <c r="F247" s="4" t="s">
        <v>67</v>
      </c>
      <c r="G247" s="4" t="s">
        <v>113</v>
      </c>
      <c r="H247" s="4" t="s">
        <v>27</v>
      </c>
      <c r="I247" s="4" t="s">
        <v>19</v>
      </c>
      <c r="J247" s="3">
        <v>8</v>
      </c>
      <c r="K247" s="6">
        <v>346800</v>
      </c>
      <c r="L247" s="6">
        <f t="shared" si="9"/>
        <v>242759.99999999997</v>
      </c>
      <c r="M247" s="6">
        <v>104040.00000000003</v>
      </c>
      <c r="N247" s="5" t="str">
        <f t="shared" si="10"/>
        <v>Oct</v>
      </c>
      <c r="O247" s="5" t="str">
        <f t="shared" si="11"/>
        <v xml:space="preserve"> 2023</v>
      </c>
    </row>
    <row r="248" spans="1:15" x14ac:dyDescent="0.35">
      <c r="A248" t="s">
        <v>519</v>
      </c>
      <c r="B248" s="5" t="s">
        <v>520</v>
      </c>
      <c r="C248" s="4" t="s">
        <v>13</v>
      </c>
      <c r="D248" s="4" t="s">
        <v>118</v>
      </c>
      <c r="E248" s="4" t="s">
        <v>119</v>
      </c>
      <c r="F248" s="4" t="s">
        <v>25</v>
      </c>
      <c r="G248" s="4" t="s">
        <v>52</v>
      </c>
      <c r="H248" s="4" t="s">
        <v>18</v>
      </c>
      <c r="I248" s="4" t="s">
        <v>60</v>
      </c>
      <c r="J248" s="3">
        <v>8</v>
      </c>
      <c r="K248" s="6">
        <v>21232</v>
      </c>
      <c r="L248" s="6">
        <f t="shared" si="9"/>
        <v>14862.4</v>
      </c>
      <c r="M248" s="6">
        <v>6369.6</v>
      </c>
      <c r="N248" s="5" t="str">
        <f t="shared" si="10"/>
        <v>Apr</v>
      </c>
      <c r="O248" s="5" t="str">
        <f t="shared" si="11"/>
        <v xml:space="preserve"> 2024</v>
      </c>
    </row>
    <row r="249" spans="1:15" x14ac:dyDescent="0.35">
      <c r="A249" t="s">
        <v>521</v>
      </c>
      <c r="B249" s="5" t="s">
        <v>522</v>
      </c>
      <c r="C249" s="4" t="s">
        <v>31</v>
      </c>
      <c r="D249" s="4" t="s">
        <v>45</v>
      </c>
      <c r="E249" s="4" t="s">
        <v>46</v>
      </c>
      <c r="F249" s="4" t="s">
        <v>67</v>
      </c>
      <c r="G249" s="4" t="s">
        <v>68</v>
      </c>
      <c r="H249" s="4" t="s">
        <v>18</v>
      </c>
      <c r="I249" s="4" t="s">
        <v>19</v>
      </c>
      <c r="J249" s="3">
        <v>8</v>
      </c>
      <c r="K249" s="6">
        <v>392976</v>
      </c>
      <c r="L249" s="6">
        <f t="shared" si="9"/>
        <v>275083.19999999995</v>
      </c>
      <c r="M249" s="6">
        <v>117892.80000000005</v>
      </c>
      <c r="N249" s="5" t="str">
        <f t="shared" si="10"/>
        <v>Feb</v>
      </c>
      <c r="O249" s="5" t="str">
        <f t="shared" si="11"/>
        <v xml:space="preserve"> 2024</v>
      </c>
    </row>
    <row r="250" spans="1:15" x14ac:dyDescent="0.35">
      <c r="A250" t="s">
        <v>523</v>
      </c>
      <c r="B250" s="5" t="s">
        <v>524</v>
      </c>
      <c r="C250" s="4" t="s">
        <v>31</v>
      </c>
      <c r="D250" s="4" t="s">
        <v>32</v>
      </c>
      <c r="E250" s="4" t="s">
        <v>33</v>
      </c>
      <c r="F250" s="4" t="s">
        <v>37</v>
      </c>
      <c r="G250" s="4" t="s">
        <v>148</v>
      </c>
      <c r="H250" s="4" t="s">
        <v>18</v>
      </c>
      <c r="I250" s="4" t="s">
        <v>28</v>
      </c>
      <c r="J250" s="3">
        <v>5</v>
      </c>
      <c r="K250" s="6">
        <v>46050</v>
      </c>
      <c r="L250" s="6">
        <f t="shared" si="9"/>
        <v>32234.999999999996</v>
      </c>
      <c r="M250" s="6">
        <v>13815.000000000004</v>
      </c>
      <c r="N250" s="5" t="str">
        <f t="shared" si="10"/>
        <v>Oct</v>
      </c>
      <c r="O250" s="5" t="str">
        <f t="shared" si="11"/>
        <v xml:space="preserve"> 2024</v>
      </c>
    </row>
    <row r="251" spans="1:15" x14ac:dyDescent="0.35">
      <c r="A251" t="s">
        <v>525</v>
      </c>
      <c r="B251" s="5" t="s">
        <v>129</v>
      </c>
      <c r="C251" s="4" t="s">
        <v>13</v>
      </c>
      <c r="D251" s="4" t="s">
        <v>125</v>
      </c>
      <c r="E251" s="4" t="s">
        <v>126</v>
      </c>
      <c r="F251" s="4" t="s">
        <v>16</v>
      </c>
      <c r="G251" s="4" t="s">
        <v>122</v>
      </c>
      <c r="H251" s="4" t="s">
        <v>72</v>
      </c>
      <c r="I251" s="4" t="s">
        <v>19</v>
      </c>
      <c r="J251" s="3">
        <v>2</v>
      </c>
      <c r="K251" s="6">
        <v>36924</v>
      </c>
      <c r="L251" s="6">
        <f t="shared" si="9"/>
        <v>25846.799999999999</v>
      </c>
      <c r="M251" s="6">
        <v>11077.2</v>
      </c>
      <c r="N251" s="5" t="str">
        <f t="shared" si="10"/>
        <v>Aug</v>
      </c>
      <c r="O251" s="5" t="str">
        <f t="shared" si="11"/>
        <v xml:space="preserve"> 2023</v>
      </c>
    </row>
    <row r="252" spans="1:15" x14ac:dyDescent="0.35">
      <c r="A252" t="s">
        <v>526</v>
      </c>
      <c r="B252" s="5" t="s">
        <v>527</v>
      </c>
      <c r="C252" s="4" t="s">
        <v>55</v>
      </c>
      <c r="D252" s="4" t="s">
        <v>82</v>
      </c>
      <c r="E252" s="4" t="s">
        <v>83</v>
      </c>
      <c r="F252" s="4" t="s">
        <v>25</v>
      </c>
      <c r="G252" s="4" t="s">
        <v>71</v>
      </c>
      <c r="H252" s="4" t="s">
        <v>18</v>
      </c>
      <c r="I252" s="4" t="s">
        <v>47</v>
      </c>
      <c r="J252" s="3">
        <v>10</v>
      </c>
      <c r="K252" s="6">
        <v>258740</v>
      </c>
      <c r="L252" s="6">
        <f t="shared" si="9"/>
        <v>181118</v>
      </c>
      <c r="M252" s="6">
        <v>77622</v>
      </c>
      <c r="N252" s="5" t="str">
        <f t="shared" si="10"/>
        <v>Aug</v>
      </c>
      <c r="O252" s="5" t="str">
        <f t="shared" si="11"/>
        <v xml:space="preserve"> 2023</v>
      </c>
    </row>
    <row r="253" spans="1:15" x14ac:dyDescent="0.35">
      <c r="A253" t="s">
        <v>528</v>
      </c>
      <c r="B253" s="5" t="s">
        <v>529</v>
      </c>
      <c r="C253" s="4" t="s">
        <v>55</v>
      </c>
      <c r="D253" s="4" t="s">
        <v>63</v>
      </c>
      <c r="E253" s="4" t="s">
        <v>64</v>
      </c>
      <c r="F253" s="4" t="s">
        <v>67</v>
      </c>
      <c r="G253" s="4" t="s">
        <v>113</v>
      </c>
      <c r="H253" s="4" t="s">
        <v>27</v>
      </c>
      <c r="I253" s="4" t="s">
        <v>28</v>
      </c>
      <c r="J253" s="3">
        <v>5</v>
      </c>
      <c r="K253" s="6">
        <v>236805</v>
      </c>
      <c r="L253" s="6">
        <f t="shared" si="9"/>
        <v>165763.5</v>
      </c>
      <c r="M253" s="6">
        <v>71041.5</v>
      </c>
      <c r="N253" s="5" t="str">
        <f t="shared" si="10"/>
        <v>Nov</v>
      </c>
      <c r="O253" s="5" t="str">
        <f t="shared" si="11"/>
        <v xml:space="preserve"> 2023</v>
      </c>
    </row>
    <row r="254" spans="1:15" x14ac:dyDescent="0.35">
      <c r="A254" t="s">
        <v>530</v>
      </c>
      <c r="B254" s="5" t="s">
        <v>531</v>
      </c>
      <c r="C254" s="4" t="s">
        <v>55</v>
      </c>
      <c r="D254" s="4" t="s">
        <v>98</v>
      </c>
      <c r="E254" s="4" t="s">
        <v>99</v>
      </c>
      <c r="F254" s="4" t="s">
        <v>25</v>
      </c>
      <c r="G254" s="4" t="s">
        <v>26</v>
      </c>
      <c r="H254" s="4" t="s">
        <v>72</v>
      </c>
      <c r="I254" s="4" t="s">
        <v>39</v>
      </c>
      <c r="J254" s="3">
        <v>6</v>
      </c>
      <c r="K254" s="6">
        <v>36528</v>
      </c>
      <c r="L254" s="6">
        <f t="shared" si="9"/>
        <v>25569.599999999999</v>
      </c>
      <c r="M254" s="6">
        <v>10958.400000000001</v>
      </c>
      <c r="N254" s="5" t="str">
        <f t="shared" si="10"/>
        <v>May</v>
      </c>
      <c r="O254" s="5" t="str">
        <f t="shared" si="11"/>
        <v xml:space="preserve"> 2024</v>
      </c>
    </row>
    <row r="255" spans="1:15" x14ac:dyDescent="0.35">
      <c r="A255" t="s">
        <v>532</v>
      </c>
      <c r="B255" s="5" t="s">
        <v>533</v>
      </c>
      <c r="C255" s="4" t="s">
        <v>22</v>
      </c>
      <c r="D255" s="4" t="s">
        <v>90</v>
      </c>
      <c r="E255" s="4" t="s">
        <v>110</v>
      </c>
      <c r="F255" s="4" t="s">
        <v>37</v>
      </c>
      <c r="G255" s="4" t="s">
        <v>186</v>
      </c>
      <c r="H255" s="4" t="s">
        <v>27</v>
      </c>
      <c r="I255" s="4" t="s">
        <v>19</v>
      </c>
      <c r="J255" s="3">
        <v>8</v>
      </c>
      <c r="K255" s="6">
        <v>265936</v>
      </c>
      <c r="L255" s="6">
        <f t="shared" si="9"/>
        <v>186155.19999999998</v>
      </c>
      <c r="M255" s="6">
        <v>79780.800000000017</v>
      </c>
      <c r="N255" s="5" t="str">
        <f t="shared" si="10"/>
        <v>Dec</v>
      </c>
      <c r="O255" s="5" t="str">
        <f t="shared" si="11"/>
        <v xml:space="preserve"> 2023</v>
      </c>
    </row>
    <row r="256" spans="1:15" x14ac:dyDescent="0.35">
      <c r="A256" t="s">
        <v>534</v>
      </c>
      <c r="B256" s="5" t="s">
        <v>535</v>
      </c>
      <c r="C256" s="4" t="s">
        <v>13</v>
      </c>
      <c r="D256" s="4" t="s">
        <v>162</v>
      </c>
      <c r="E256" s="4" t="s">
        <v>163</v>
      </c>
      <c r="F256" s="4" t="s">
        <v>16</v>
      </c>
      <c r="G256" s="4" t="s">
        <v>17</v>
      </c>
      <c r="H256" s="4" t="s">
        <v>18</v>
      </c>
      <c r="I256" s="4" t="s">
        <v>28</v>
      </c>
      <c r="J256" s="3">
        <v>3</v>
      </c>
      <c r="K256" s="6">
        <v>68481</v>
      </c>
      <c r="L256" s="6">
        <f t="shared" si="9"/>
        <v>47936.7</v>
      </c>
      <c r="M256" s="6">
        <v>20544.300000000003</v>
      </c>
      <c r="N256" s="5" t="str">
        <f t="shared" si="10"/>
        <v>Sep</v>
      </c>
      <c r="O256" s="5" t="str">
        <f t="shared" si="11"/>
        <v xml:space="preserve"> 2023</v>
      </c>
    </row>
    <row r="257" spans="1:15" x14ac:dyDescent="0.35">
      <c r="A257" t="s">
        <v>536</v>
      </c>
      <c r="B257" s="5" t="s">
        <v>537</v>
      </c>
      <c r="C257" s="4" t="s">
        <v>22</v>
      </c>
      <c r="D257" s="4" t="s">
        <v>90</v>
      </c>
      <c r="E257" s="4" t="s">
        <v>91</v>
      </c>
      <c r="F257" s="4" t="s">
        <v>67</v>
      </c>
      <c r="G257" s="4" t="s">
        <v>68</v>
      </c>
      <c r="H257" s="4" t="s">
        <v>27</v>
      </c>
      <c r="I257" s="4" t="s">
        <v>28</v>
      </c>
      <c r="J257" s="3">
        <v>1</v>
      </c>
      <c r="K257" s="6">
        <v>40360</v>
      </c>
      <c r="L257" s="6">
        <f t="shared" si="9"/>
        <v>28252</v>
      </c>
      <c r="M257" s="6">
        <v>12108</v>
      </c>
      <c r="N257" s="5" t="str">
        <f t="shared" si="10"/>
        <v>Oct</v>
      </c>
      <c r="O257" s="5" t="str">
        <f t="shared" si="11"/>
        <v xml:space="preserve"> 2024</v>
      </c>
    </row>
    <row r="258" spans="1:15" x14ac:dyDescent="0.35">
      <c r="A258" t="s">
        <v>538</v>
      </c>
      <c r="B258" s="5" t="s">
        <v>539</v>
      </c>
      <c r="C258" s="4" t="s">
        <v>31</v>
      </c>
      <c r="D258" s="4" t="s">
        <v>104</v>
      </c>
      <c r="E258" s="4" t="s">
        <v>105</v>
      </c>
      <c r="F258" s="4" t="s">
        <v>16</v>
      </c>
      <c r="G258" s="4" t="s">
        <v>42</v>
      </c>
      <c r="H258" s="4" t="s">
        <v>18</v>
      </c>
      <c r="I258" s="4" t="s">
        <v>47</v>
      </c>
      <c r="J258" s="3">
        <v>7</v>
      </c>
      <c r="K258" s="6">
        <v>64176</v>
      </c>
      <c r="L258" s="6">
        <f t="shared" ref="L258:L321" si="12">K258*0.7</f>
        <v>44923.199999999997</v>
      </c>
      <c r="M258" s="6">
        <v>19252.800000000003</v>
      </c>
      <c r="N258" s="5" t="str">
        <f t="shared" ref="N258:N321" si="13">TEXT(B258,"mmm")</f>
        <v>Jan</v>
      </c>
      <c r="O258" s="5" t="str">
        <f t="shared" ref="O258:O321" si="14">TEXT(B258," yyyy")</f>
        <v xml:space="preserve"> 2023</v>
      </c>
    </row>
    <row r="259" spans="1:15" x14ac:dyDescent="0.35">
      <c r="A259" t="s">
        <v>540</v>
      </c>
      <c r="B259" s="5" t="s">
        <v>407</v>
      </c>
      <c r="C259" s="4" t="s">
        <v>55</v>
      </c>
      <c r="D259" s="4" t="s">
        <v>82</v>
      </c>
      <c r="E259" s="4" t="s">
        <v>83</v>
      </c>
      <c r="F259" s="4" t="s">
        <v>16</v>
      </c>
      <c r="G259" s="4" t="s">
        <v>17</v>
      </c>
      <c r="H259" s="4" t="s">
        <v>72</v>
      </c>
      <c r="I259" s="4" t="s">
        <v>60</v>
      </c>
      <c r="J259" s="3">
        <v>6</v>
      </c>
      <c r="K259" s="6">
        <v>230334</v>
      </c>
      <c r="L259" s="6">
        <f t="shared" si="12"/>
        <v>161233.79999999999</v>
      </c>
      <c r="M259" s="6">
        <v>69100.200000000012</v>
      </c>
      <c r="N259" s="5" t="str">
        <f t="shared" si="13"/>
        <v>Jan</v>
      </c>
      <c r="O259" s="5" t="str">
        <f t="shared" si="14"/>
        <v xml:space="preserve"> 2024</v>
      </c>
    </row>
    <row r="260" spans="1:15" x14ac:dyDescent="0.35">
      <c r="A260" t="s">
        <v>541</v>
      </c>
      <c r="B260" s="5" t="s">
        <v>542</v>
      </c>
      <c r="C260" s="4" t="s">
        <v>31</v>
      </c>
      <c r="D260" s="4" t="s">
        <v>45</v>
      </c>
      <c r="E260" s="4" t="s">
        <v>46</v>
      </c>
      <c r="F260" s="4" t="s">
        <v>16</v>
      </c>
      <c r="G260" s="4" t="s">
        <v>17</v>
      </c>
      <c r="H260" s="4" t="s">
        <v>27</v>
      </c>
      <c r="I260" s="4" t="s">
        <v>19</v>
      </c>
      <c r="J260" s="3">
        <v>10</v>
      </c>
      <c r="K260" s="6">
        <v>468660</v>
      </c>
      <c r="L260" s="6">
        <f t="shared" si="12"/>
        <v>328062</v>
      </c>
      <c r="M260" s="6">
        <v>140598</v>
      </c>
      <c r="N260" s="5" t="str">
        <f t="shared" si="13"/>
        <v>Mar</v>
      </c>
      <c r="O260" s="5" t="str">
        <f t="shared" si="14"/>
        <v xml:space="preserve"> 2024</v>
      </c>
    </row>
    <row r="261" spans="1:15" x14ac:dyDescent="0.35">
      <c r="A261" t="s">
        <v>543</v>
      </c>
      <c r="B261" s="5" t="s">
        <v>207</v>
      </c>
      <c r="C261" s="4" t="s">
        <v>22</v>
      </c>
      <c r="D261" s="4" t="s">
        <v>86</v>
      </c>
      <c r="E261" s="4" t="s">
        <v>87</v>
      </c>
      <c r="F261" s="4" t="s">
        <v>25</v>
      </c>
      <c r="G261" s="4" t="s">
        <v>77</v>
      </c>
      <c r="H261" s="4" t="s">
        <v>72</v>
      </c>
      <c r="I261" s="4" t="s">
        <v>39</v>
      </c>
      <c r="J261" s="3">
        <v>1</v>
      </c>
      <c r="K261" s="6">
        <v>48244</v>
      </c>
      <c r="L261" s="6">
        <f t="shared" si="12"/>
        <v>33770.799999999996</v>
      </c>
      <c r="M261" s="6">
        <v>14473.200000000004</v>
      </c>
      <c r="N261" s="5" t="str">
        <f t="shared" si="13"/>
        <v>Mar</v>
      </c>
      <c r="O261" s="5" t="str">
        <f t="shared" si="14"/>
        <v xml:space="preserve"> 2023</v>
      </c>
    </row>
    <row r="262" spans="1:15" x14ac:dyDescent="0.35">
      <c r="A262" t="s">
        <v>544</v>
      </c>
      <c r="B262" s="5" t="s">
        <v>221</v>
      </c>
      <c r="C262" s="4" t="s">
        <v>22</v>
      </c>
      <c r="D262" s="4" t="s">
        <v>90</v>
      </c>
      <c r="E262" s="4" t="s">
        <v>91</v>
      </c>
      <c r="F262" s="4" t="s">
        <v>67</v>
      </c>
      <c r="G262" s="4" t="s">
        <v>180</v>
      </c>
      <c r="H262" s="4" t="s">
        <v>72</v>
      </c>
      <c r="I262" s="4" t="s">
        <v>28</v>
      </c>
      <c r="J262" s="3">
        <v>4</v>
      </c>
      <c r="K262" s="6">
        <v>140124</v>
      </c>
      <c r="L262" s="6">
        <f t="shared" si="12"/>
        <v>98086.799999999988</v>
      </c>
      <c r="M262" s="6">
        <v>42037.200000000012</v>
      </c>
      <c r="N262" s="5" t="str">
        <f t="shared" si="13"/>
        <v>Apr</v>
      </c>
      <c r="O262" s="5" t="str">
        <f t="shared" si="14"/>
        <v xml:space="preserve"> 2024</v>
      </c>
    </row>
    <row r="263" spans="1:15" x14ac:dyDescent="0.35">
      <c r="A263" t="s">
        <v>545</v>
      </c>
      <c r="B263" s="5" t="s">
        <v>546</v>
      </c>
      <c r="C263" s="4" t="s">
        <v>31</v>
      </c>
      <c r="D263" s="4" t="s">
        <v>104</v>
      </c>
      <c r="E263" s="4" t="s">
        <v>105</v>
      </c>
      <c r="F263" s="4" t="s">
        <v>37</v>
      </c>
      <c r="G263" s="4" t="s">
        <v>186</v>
      </c>
      <c r="H263" s="4" t="s">
        <v>27</v>
      </c>
      <c r="I263" s="4" t="s">
        <v>39</v>
      </c>
      <c r="J263" s="3">
        <v>9</v>
      </c>
      <c r="K263" s="6">
        <v>165474</v>
      </c>
      <c r="L263" s="6">
        <f t="shared" si="12"/>
        <v>115831.79999999999</v>
      </c>
      <c r="M263" s="6">
        <v>49642.200000000012</v>
      </c>
      <c r="N263" s="5" t="str">
        <f t="shared" si="13"/>
        <v>Feb</v>
      </c>
      <c r="O263" s="5" t="str">
        <f t="shared" si="14"/>
        <v xml:space="preserve"> 2023</v>
      </c>
    </row>
    <row r="264" spans="1:15" x14ac:dyDescent="0.35">
      <c r="A264" t="s">
        <v>547</v>
      </c>
      <c r="B264" s="5" t="s">
        <v>548</v>
      </c>
      <c r="C264" s="4" t="s">
        <v>13</v>
      </c>
      <c r="D264" s="4" t="s">
        <v>118</v>
      </c>
      <c r="E264" s="4" t="s">
        <v>119</v>
      </c>
      <c r="F264" s="4" t="s">
        <v>37</v>
      </c>
      <c r="G264" s="4" t="s">
        <v>183</v>
      </c>
      <c r="H264" s="4" t="s">
        <v>18</v>
      </c>
      <c r="I264" s="4" t="s">
        <v>28</v>
      </c>
      <c r="J264" s="3">
        <v>7</v>
      </c>
      <c r="K264" s="6">
        <v>167069</v>
      </c>
      <c r="L264" s="6">
        <f t="shared" si="12"/>
        <v>116948.29999999999</v>
      </c>
      <c r="M264" s="6">
        <v>50120.700000000012</v>
      </c>
      <c r="N264" s="5" t="str">
        <f t="shared" si="13"/>
        <v>Nov</v>
      </c>
      <c r="O264" s="5" t="str">
        <f t="shared" si="14"/>
        <v xml:space="preserve"> 2023</v>
      </c>
    </row>
    <row r="265" spans="1:15" x14ac:dyDescent="0.35">
      <c r="A265" t="s">
        <v>549</v>
      </c>
      <c r="B265" s="5" t="s">
        <v>550</v>
      </c>
      <c r="C265" s="4" t="s">
        <v>13</v>
      </c>
      <c r="D265" s="4" t="s">
        <v>14</v>
      </c>
      <c r="E265" s="4" t="s">
        <v>15</v>
      </c>
      <c r="F265" s="4" t="s">
        <v>25</v>
      </c>
      <c r="G265" s="4" t="s">
        <v>52</v>
      </c>
      <c r="H265" s="4" t="s">
        <v>27</v>
      </c>
      <c r="I265" s="4" t="s">
        <v>47</v>
      </c>
      <c r="J265" s="3">
        <v>1</v>
      </c>
      <c r="K265" s="6">
        <v>47354</v>
      </c>
      <c r="L265" s="6">
        <f t="shared" si="12"/>
        <v>33147.799999999996</v>
      </c>
      <c r="M265" s="6">
        <v>14206.200000000004</v>
      </c>
      <c r="N265" s="5" t="str">
        <f t="shared" si="13"/>
        <v>May</v>
      </c>
      <c r="O265" s="5" t="str">
        <f t="shared" si="14"/>
        <v xml:space="preserve"> 2024</v>
      </c>
    </row>
    <row r="266" spans="1:15" x14ac:dyDescent="0.35">
      <c r="A266" t="s">
        <v>551</v>
      </c>
      <c r="B266" s="5" t="s">
        <v>552</v>
      </c>
      <c r="C266" s="4" t="s">
        <v>31</v>
      </c>
      <c r="D266" s="4" t="s">
        <v>104</v>
      </c>
      <c r="E266" s="4" t="s">
        <v>105</v>
      </c>
      <c r="F266" s="4" t="s">
        <v>37</v>
      </c>
      <c r="G266" s="4" t="s">
        <v>148</v>
      </c>
      <c r="H266" s="4" t="s">
        <v>72</v>
      </c>
      <c r="I266" s="4" t="s">
        <v>39</v>
      </c>
      <c r="J266" s="3">
        <v>5</v>
      </c>
      <c r="K266" s="6">
        <v>138485</v>
      </c>
      <c r="L266" s="6">
        <f t="shared" si="12"/>
        <v>96939.5</v>
      </c>
      <c r="M266" s="6">
        <v>41545.5</v>
      </c>
      <c r="N266" s="5" t="str">
        <f t="shared" si="13"/>
        <v>May</v>
      </c>
      <c r="O266" s="5" t="str">
        <f t="shared" si="14"/>
        <v xml:space="preserve"> 2023</v>
      </c>
    </row>
    <row r="267" spans="1:15" x14ac:dyDescent="0.35">
      <c r="A267" t="s">
        <v>553</v>
      </c>
      <c r="B267" s="5" t="s">
        <v>554</v>
      </c>
      <c r="C267" s="4" t="s">
        <v>22</v>
      </c>
      <c r="D267" s="4" t="s">
        <v>90</v>
      </c>
      <c r="E267" s="4" t="s">
        <v>91</v>
      </c>
      <c r="F267" s="4" t="s">
        <v>25</v>
      </c>
      <c r="G267" s="4" t="s">
        <v>26</v>
      </c>
      <c r="H267" s="4" t="s">
        <v>72</v>
      </c>
      <c r="I267" s="4" t="s">
        <v>60</v>
      </c>
      <c r="J267" s="3">
        <v>9</v>
      </c>
      <c r="K267" s="6">
        <v>95859</v>
      </c>
      <c r="L267" s="6">
        <f t="shared" si="12"/>
        <v>67101.3</v>
      </c>
      <c r="M267" s="6">
        <v>28757.699999999997</v>
      </c>
      <c r="N267" s="5" t="str">
        <f t="shared" si="13"/>
        <v>Sep</v>
      </c>
      <c r="O267" s="5" t="str">
        <f t="shared" si="14"/>
        <v xml:space="preserve"> 2023</v>
      </c>
    </row>
    <row r="268" spans="1:15" x14ac:dyDescent="0.35">
      <c r="A268" t="s">
        <v>555</v>
      </c>
      <c r="B268" s="5" t="s">
        <v>177</v>
      </c>
      <c r="C268" s="4" t="s">
        <v>55</v>
      </c>
      <c r="D268" s="4" t="s">
        <v>98</v>
      </c>
      <c r="E268" s="4" t="s">
        <v>99</v>
      </c>
      <c r="F268" s="4" t="s">
        <v>16</v>
      </c>
      <c r="G268" s="4" t="s">
        <v>122</v>
      </c>
      <c r="H268" s="4" t="s">
        <v>72</v>
      </c>
      <c r="I268" s="4" t="s">
        <v>47</v>
      </c>
      <c r="J268" s="3">
        <v>2</v>
      </c>
      <c r="K268" s="6">
        <v>16880</v>
      </c>
      <c r="L268" s="6">
        <f t="shared" si="12"/>
        <v>11816</v>
      </c>
      <c r="M268" s="6">
        <v>5064</v>
      </c>
      <c r="N268" s="5" t="str">
        <f t="shared" si="13"/>
        <v>Sep</v>
      </c>
      <c r="O268" s="5" t="str">
        <f t="shared" si="14"/>
        <v xml:space="preserve"> 2023</v>
      </c>
    </row>
    <row r="269" spans="1:15" x14ac:dyDescent="0.35">
      <c r="A269" t="s">
        <v>556</v>
      </c>
      <c r="B269" s="5" t="s">
        <v>557</v>
      </c>
      <c r="C269" s="4" t="s">
        <v>22</v>
      </c>
      <c r="D269" s="4" t="s">
        <v>23</v>
      </c>
      <c r="E269" s="4" t="s">
        <v>24</v>
      </c>
      <c r="F269" s="4" t="s">
        <v>16</v>
      </c>
      <c r="G269" s="4" t="s">
        <v>42</v>
      </c>
      <c r="H269" s="4" t="s">
        <v>72</v>
      </c>
      <c r="I269" s="4" t="s">
        <v>60</v>
      </c>
      <c r="J269" s="3">
        <v>1</v>
      </c>
      <c r="K269" s="6">
        <v>23848</v>
      </c>
      <c r="L269" s="6">
        <f t="shared" si="12"/>
        <v>16693.599999999999</v>
      </c>
      <c r="M269" s="6">
        <v>7154.4000000000015</v>
      </c>
      <c r="N269" s="5" t="str">
        <f t="shared" si="13"/>
        <v>Dec</v>
      </c>
      <c r="O269" s="5" t="str">
        <f t="shared" si="14"/>
        <v xml:space="preserve"> 2023</v>
      </c>
    </row>
    <row r="270" spans="1:15" x14ac:dyDescent="0.35">
      <c r="A270" t="s">
        <v>558</v>
      </c>
      <c r="B270" s="5" t="s">
        <v>348</v>
      </c>
      <c r="C270" s="4" t="s">
        <v>31</v>
      </c>
      <c r="D270" s="4" t="s">
        <v>50</v>
      </c>
      <c r="E270" s="4" t="s">
        <v>51</v>
      </c>
      <c r="F270" s="4" t="s">
        <v>25</v>
      </c>
      <c r="G270" s="4" t="s">
        <v>26</v>
      </c>
      <c r="H270" s="4" t="s">
        <v>72</v>
      </c>
      <c r="I270" s="4" t="s">
        <v>19</v>
      </c>
      <c r="J270" s="3">
        <v>8</v>
      </c>
      <c r="K270" s="6">
        <v>172856</v>
      </c>
      <c r="L270" s="6">
        <f t="shared" si="12"/>
        <v>120999.2</v>
      </c>
      <c r="M270" s="6">
        <v>51856.800000000003</v>
      </c>
      <c r="N270" s="5" t="str">
        <f t="shared" si="13"/>
        <v>Feb</v>
      </c>
      <c r="O270" s="5" t="str">
        <f t="shared" si="14"/>
        <v xml:space="preserve"> 2023</v>
      </c>
    </row>
    <row r="271" spans="1:15" x14ac:dyDescent="0.35">
      <c r="A271" t="s">
        <v>559</v>
      </c>
      <c r="B271" s="5" t="s">
        <v>560</v>
      </c>
      <c r="C271" s="4" t="s">
        <v>22</v>
      </c>
      <c r="D271" s="4" t="s">
        <v>23</v>
      </c>
      <c r="E271" s="4" t="s">
        <v>24</v>
      </c>
      <c r="F271" s="4" t="s">
        <v>37</v>
      </c>
      <c r="G271" s="4" t="s">
        <v>148</v>
      </c>
      <c r="H271" s="4" t="s">
        <v>27</v>
      </c>
      <c r="I271" s="4" t="s">
        <v>39</v>
      </c>
      <c r="J271" s="3">
        <v>10</v>
      </c>
      <c r="K271" s="6">
        <v>55240</v>
      </c>
      <c r="L271" s="6">
        <f t="shared" si="12"/>
        <v>38668</v>
      </c>
      <c r="M271" s="6">
        <v>16572</v>
      </c>
      <c r="N271" s="5" t="str">
        <f t="shared" si="13"/>
        <v>Nov</v>
      </c>
      <c r="O271" s="5" t="str">
        <f t="shared" si="14"/>
        <v xml:space="preserve"> 2023</v>
      </c>
    </row>
    <row r="272" spans="1:15" x14ac:dyDescent="0.35">
      <c r="A272" t="s">
        <v>561</v>
      </c>
      <c r="B272" s="5" t="s">
        <v>269</v>
      </c>
      <c r="C272" s="4" t="s">
        <v>55</v>
      </c>
      <c r="D272" s="4" t="s">
        <v>56</v>
      </c>
      <c r="E272" s="4" t="s">
        <v>57</v>
      </c>
      <c r="F272" s="4" t="s">
        <v>67</v>
      </c>
      <c r="G272" s="4" t="s">
        <v>113</v>
      </c>
      <c r="H272" s="4" t="s">
        <v>72</v>
      </c>
      <c r="I272" s="4" t="s">
        <v>39</v>
      </c>
      <c r="J272" s="3">
        <v>9</v>
      </c>
      <c r="K272" s="6">
        <v>93249</v>
      </c>
      <c r="L272" s="6">
        <f t="shared" si="12"/>
        <v>65274.299999999996</v>
      </c>
      <c r="M272" s="6">
        <v>27974.700000000004</v>
      </c>
      <c r="N272" s="5" t="str">
        <f t="shared" si="13"/>
        <v>Apr</v>
      </c>
      <c r="O272" s="5" t="str">
        <f t="shared" si="14"/>
        <v xml:space="preserve"> 2023</v>
      </c>
    </row>
    <row r="273" spans="1:15" x14ac:dyDescent="0.35">
      <c r="A273" t="s">
        <v>562</v>
      </c>
      <c r="B273" s="5" t="s">
        <v>563</v>
      </c>
      <c r="C273" s="4" t="s">
        <v>22</v>
      </c>
      <c r="D273" s="4" t="s">
        <v>23</v>
      </c>
      <c r="E273" s="4" t="s">
        <v>24</v>
      </c>
      <c r="F273" s="4" t="s">
        <v>25</v>
      </c>
      <c r="G273" s="4" t="s">
        <v>26</v>
      </c>
      <c r="H273" s="4" t="s">
        <v>72</v>
      </c>
      <c r="I273" s="4" t="s">
        <v>28</v>
      </c>
      <c r="J273" s="3">
        <v>10</v>
      </c>
      <c r="K273" s="6">
        <v>170010</v>
      </c>
      <c r="L273" s="6">
        <f t="shared" si="12"/>
        <v>119006.99999999999</v>
      </c>
      <c r="M273" s="6">
        <v>51003.000000000015</v>
      </c>
      <c r="N273" s="5" t="str">
        <f t="shared" si="13"/>
        <v>Apr</v>
      </c>
      <c r="O273" s="5" t="str">
        <f t="shared" si="14"/>
        <v xml:space="preserve"> 2024</v>
      </c>
    </row>
    <row r="274" spans="1:15" x14ac:dyDescent="0.35">
      <c r="A274" t="s">
        <v>564</v>
      </c>
      <c r="B274" s="5" t="s">
        <v>565</v>
      </c>
      <c r="C274" s="4" t="s">
        <v>22</v>
      </c>
      <c r="D274" s="4" t="s">
        <v>90</v>
      </c>
      <c r="E274" s="4" t="s">
        <v>91</v>
      </c>
      <c r="F274" s="4" t="s">
        <v>67</v>
      </c>
      <c r="G274" s="4" t="s">
        <v>113</v>
      </c>
      <c r="H274" s="4" t="s">
        <v>27</v>
      </c>
      <c r="I274" s="4" t="s">
        <v>28</v>
      </c>
      <c r="J274" s="3">
        <v>3</v>
      </c>
      <c r="K274" s="6">
        <v>43536</v>
      </c>
      <c r="L274" s="6">
        <f t="shared" si="12"/>
        <v>30475.199999999997</v>
      </c>
      <c r="M274" s="6">
        <v>13060.800000000003</v>
      </c>
      <c r="N274" s="5" t="str">
        <f t="shared" si="13"/>
        <v>Jul</v>
      </c>
      <c r="O274" s="5" t="str">
        <f t="shared" si="14"/>
        <v xml:space="preserve"> 2023</v>
      </c>
    </row>
    <row r="275" spans="1:15" x14ac:dyDescent="0.35">
      <c r="A275" t="s">
        <v>566</v>
      </c>
      <c r="B275" s="5" t="s">
        <v>396</v>
      </c>
      <c r="C275" s="4" t="s">
        <v>13</v>
      </c>
      <c r="D275" s="4" t="s">
        <v>125</v>
      </c>
      <c r="E275" s="4" t="s">
        <v>126</v>
      </c>
      <c r="F275" s="4" t="s">
        <v>67</v>
      </c>
      <c r="G275" s="4" t="s">
        <v>180</v>
      </c>
      <c r="H275" s="4" t="s">
        <v>27</v>
      </c>
      <c r="I275" s="4" t="s">
        <v>19</v>
      </c>
      <c r="J275" s="3">
        <v>8</v>
      </c>
      <c r="K275" s="6">
        <v>62048</v>
      </c>
      <c r="L275" s="6">
        <f t="shared" si="12"/>
        <v>43433.599999999999</v>
      </c>
      <c r="M275" s="6">
        <v>18614.400000000001</v>
      </c>
      <c r="N275" s="5" t="str">
        <f t="shared" si="13"/>
        <v>Mar</v>
      </c>
      <c r="O275" s="5" t="str">
        <f t="shared" si="14"/>
        <v xml:space="preserve"> 2024</v>
      </c>
    </row>
    <row r="276" spans="1:15" x14ac:dyDescent="0.35">
      <c r="A276" t="s">
        <v>567</v>
      </c>
      <c r="B276" s="5" t="s">
        <v>568</v>
      </c>
      <c r="C276" s="4" t="s">
        <v>31</v>
      </c>
      <c r="D276" s="4" t="s">
        <v>50</v>
      </c>
      <c r="E276" s="4" t="s">
        <v>51</v>
      </c>
      <c r="F276" s="4" t="s">
        <v>16</v>
      </c>
      <c r="G276" s="4" t="s">
        <v>17</v>
      </c>
      <c r="H276" s="4" t="s">
        <v>72</v>
      </c>
      <c r="I276" s="4" t="s">
        <v>60</v>
      </c>
      <c r="J276" s="3">
        <v>10</v>
      </c>
      <c r="K276" s="6">
        <v>373320</v>
      </c>
      <c r="L276" s="6">
        <f t="shared" si="12"/>
        <v>261323.99999999997</v>
      </c>
      <c r="M276" s="6">
        <v>111996.00000000003</v>
      </c>
      <c r="N276" s="5" t="str">
        <f t="shared" si="13"/>
        <v>Nov</v>
      </c>
      <c r="O276" s="5" t="str">
        <f t="shared" si="14"/>
        <v xml:space="preserve"> 2024</v>
      </c>
    </row>
    <row r="277" spans="1:15" x14ac:dyDescent="0.35">
      <c r="A277" t="s">
        <v>569</v>
      </c>
      <c r="B277" s="5" t="s">
        <v>570</v>
      </c>
      <c r="C277" s="4" t="s">
        <v>55</v>
      </c>
      <c r="D277" s="4" t="s">
        <v>82</v>
      </c>
      <c r="E277" s="4" t="s">
        <v>83</v>
      </c>
      <c r="F277" s="4" t="s">
        <v>16</v>
      </c>
      <c r="G277" s="4" t="s">
        <v>122</v>
      </c>
      <c r="H277" s="4" t="s">
        <v>27</v>
      </c>
      <c r="I277" s="4" t="s">
        <v>39</v>
      </c>
      <c r="J277" s="3">
        <v>5</v>
      </c>
      <c r="K277" s="6">
        <v>193150</v>
      </c>
      <c r="L277" s="6">
        <f t="shared" si="12"/>
        <v>135205</v>
      </c>
      <c r="M277" s="6">
        <v>57945</v>
      </c>
      <c r="N277" s="5" t="str">
        <f t="shared" si="13"/>
        <v>Nov</v>
      </c>
      <c r="O277" s="5" t="str">
        <f t="shared" si="14"/>
        <v xml:space="preserve"> 2024</v>
      </c>
    </row>
    <row r="278" spans="1:15" x14ac:dyDescent="0.35">
      <c r="A278" t="s">
        <v>571</v>
      </c>
      <c r="B278" s="5" t="s">
        <v>572</v>
      </c>
      <c r="C278" s="4" t="s">
        <v>31</v>
      </c>
      <c r="D278" s="4" t="s">
        <v>104</v>
      </c>
      <c r="E278" s="4" t="s">
        <v>105</v>
      </c>
      <c r="F278" s="4" t="s">
        <v>25</v>
      </c>
      <c r="G278" s="4" t="s">
        <v>52</v>
      </c>
      <c r="H278" s="4" t="s">
        <v>72</v>
      </c>
      <c r="I278" s="4" t="s">
        <v>28</v>
      </c>
      <c r="J278" s="3">
        <v>1</v>
      </c>
      <c r="K278" s="6">
        <v>28281</v>
      </c>
      <c r="L278" s="6">
        <f t="shared" si="12"/>
        <v>19796.699999999997</v>
      </c>
      <c r="M278" s="6">
        <v>8484.3000000000029</v>
      </c>
      <c r="N278" s="5" t="str">
        <f t="shared" si="13"/>
        <v>Oct</v>
      </c>
      <c r="O278" s="5" t="str">
        <f t="shared" si="14"/>
        <v xml:space="preserve"> 2024</v>
      </c>
    </row>
    <row r="279" spans="1:15" x14ac:dyDescent="0.35">
      <c r="A279" t="s">
        <v>573</v>
      </c>
      <c r="B279" s="5" t="s">
        <v>574</v>
      </c>
      <c r="C279" s="4" t="s">
        <v>55</v>
      </c>
      <c r="D279" s="4" t="s">
        <v>82</v>
      </c>
      <c r="E279" s="4" t="s">
        <v>83</v>
      </c>
      <c r="F279" s="4" t="s">
        <v>37</v>
      </c>
      <c r="G279" s="4" t="s">
        <v>38</v>
      </c>
      <c r="H279" s="4" t="s">
        <v>72</v>
      </c>
      <c r="I279" s="4" t="s">
        <v>60</v>
      </c>
      <c r="J279" s="3">
        <v>7</v>
      </c>
      <c r="K279" s="6">
        <v>258412</v>
      </c>
      <c r="L279" s="6">
        <f t="shared" si="12"/>
        <v>180888.4</v>
      </c>
      <c r="M279" s="6">
        <v>77523.600000000006</v>
      </c>
      <c r="N279" s="5" t="str">
        <f t="shared" si="13"/>
        <v>Jan</v>
      </c>
      <c r="O279" s="5" t="str">
        <f t="shared" si="14"/>
        <v xml:space="preserve"> 2023</v>
      </c>
    </row>
    <row r="280" spans="1:15" x14ac:dyDescent="0.35">
      <c r="A280" t="s">
        <v>575</v>
      </c>
      <c r="B280" s="5" t="s">
        <v>512</v>
      </c>
      <c r="C280" s="4" t="s">
        <v>55</v>
      </c>
      <c r="D280" s="4" t="s">
        <v>56</v>
      </c>
      <c r="E280" s="4" t="s">
        <v>57</v>
      </c>
      <c r="F280" s="4" t="s">
        <v>16</v>
      </c>
      <c r="G280" s="4" t="s">
        <v>122</v>
      </c>
      <c r="H280" s="4" t="s">
        <v>18</v>
      </c>
      <c r="I280" s="4" t="s">
        <v>47</v>
      </c>
      <c r="J280" s="3">
        <v>9</v>
      </c>
      <c r="K280" s="6">
        <v>438876</v>
      </c>
      <c r="L280" s="6">
        <f t="shared" si="12"/>
        <v>307213.19999999995</v>
      </c>
      <c r="M280" s="6">
        <v>131662.80000000005</v>
      </c>
      <c r="N280" s="5" t="str">
        <f t="shared" si="13"/>
        <v>May</v>
      </c>
      <c r="O280" s="5" t="str">
        <f t="shared" si="14"/>
        <v xml:space="preserve"> 2024</v>
      </c>
    </row>
    <row r="281" spans="1:15" x14ac:dyDescent="0.35">
      <c r="A281" t="s">
        <v>576</v>
      </c>
      <c r="B281" s="5" t="s">
        <v>577</v>
      </c>
      <c r="C281" s="4" t="s">
        <v>31</v>
      </c>
      <c r="D281" s="4" t="s">
        <v>50</v>
      </c>
      <c r="E281" s="4" t="s">
        <v>51</v>
      </c>
      <c r="F281" s="4" t="s">
        <v>67</v>
      </c>
      <c r="G281" s="4" t="s">
        <v>68</v>
      </c>
      <c r="H281" s="4" t="s">
        <v>72</v>
      </c>
      <c r="I281" s="4" t="s">
        <v>19</v>
      </c>
      <c r="J281" s="3">
        <v>1</v>
      </c>
      <c r="K281" s="6">
        <v>26085</v>
      </c>
      <c r="L281" s="6">
        <f t="shared" si="12"/>
        <v>18259.5</v>
      </c>
      <c r="M281" s="6">
        <v>7825.5</v>
      </c>
      <c r="N281" s="5" t="str">
        <f t="shared" si="13"/>
        <v>Nov</v>
      </c>
      <c r="O281" s="5" t="str">
        <f t="shared" si="14"/>
        <v xml:space="preserve"> 2024</v>
      </c>
    </row>
    <row r="282" spans="1:15" x14ac:dyDescent="0.35">
      <c r="A282" t="s">
        <v>578</v>
      </c>
      <c r="B282" s="5" t="s">
        <v>579</v>
      </c>
      <c r="C282" s="4" t="s">
        <v>55</v>
      </c>
      <c r="D282" s="4" t="s">
        <v>98</v>
      </c>
      <c r="E282" s="4" t="s">
        <v>99</v>
      </c>
      <c r="F282" s="4" t="s">
        <v>25</v>
      </c>
      <c r="G282" s="4" t="s">
        <v>71</v>
      </c>
      <c r="H282" s="4" t="s">
        <v>72</v>
      </c>
      <c r="I282" s="4" t="s">
        <v>39</v>
      </c>
      <c r="J282" s="3">
        <v>3</v>
      </c>
      <c r="K282" s="6">
        <v>140511</v>
      </c>
      <c r="L282" s="6">
        <f t="shared" si="12"/>
        <v>98357.7</v>
      </c>
      <c r="M282" s="6">
        <v>42153.3</v>
      </c>
      <c r="N282" s="5" t="str">
        <f t="shared" si="13"/>
        <v>Oct</v>
      </c>
      <c r="O282" s="5" t="str">
        <f t="shared" si="14"/>
        <v xml:space="preserve"> 2024</v>
      </c>
    </row>
    <row r="283" spans="1:15" x14ac:dyDescent="0.35">
      <c r="A283" t="s">
        <v>580</v>
      </c>
      <c r="B283" s="5" t="s">
        <v>581</v>
      </c>
      <c r="C283" s="4" t="s">
        <v>22</v>
      </c>
      <c r="D283" s="4" t="s">
        <v>90</v>
      </c>
      <c r="E283" s="4" t="s">
        <v>91</v>
      </c>
      <c r="F283" s="4" t="s">
        <v>67</v>
      </c>
      <c r="G283" s="4" t="s">
        <v>113</v>
      </c>
      <c r="H283" s="4" t="s">
        <v>18</v>
      </c>
      <c r="I283" s="4" t="s">
        <v>60</v>
      </c>
      <c r="J283" s="3">
        <v>4</v>
      </c>
      <c r="K283" s="6">
        <v>49792</v>
      </c>
      <c r="L283" s="6">
        <f t="shared" si="12"/>
        <v>34854.399999999994</v>
      </c>
      <c r="M283" s="6">
        <v>14937.600000000006</v>
      </c>
      <c r="N283" s="5" t="str">
        <f t="shared" si="13"/>
        <v>Jan</v>
      </c>
      <c r="O283" s="5" t="str">
        <f t="shared" si="14"/>
        <v xml:space="preserve"> 2024</v>
      </c>
    </row>
    <row r="284" spans="1:15" x14ac:dyDescent="0.35">
      <c r="A284" t="s">
        <v>582</v>
      </c>
      <c r="B284" s="5" t="s">
        <v>583</v>
      </c>
      <c r="C284" s="4" t="s">
        <v>55</v>
      </c>
      <c r="D284" s="4" t="s">
        <v>63</v>
      </c>
      <c r="E284" s="4" t="s">
        <v>64</v>
      </c>
      <c r="F284" s="4" t="s">
        <v>37</v>
      </c>
      <c r="G284" s="4" t="s">
        <v>183</v>
      </c>
      <c r="H284" s="4" t="s">
        <v>18</v>
      </c>
      <c r="I284" s="4" t="s">
        <v>47</v>
      </c>
      <c r="J284" s="3">
        <v>10</v>
      </c>
      <c r="K284" s="6">
        <v>141870</v>
      </c>
      <c r="L284" s="6">
        <f t="shared" si="12"/>
        <v>99309</v>
      </c>
      <c r="M284" s="6">
        <v>42561</v>
      </c>
      <c r="N284" s="5" t="str">
        <f t="shared" si="13"/>
        <v>Mar</v>
      </c>
      <c r="O284" s="5" t="str">
        <f t="shared" si="14"/>
        <v xml:space="preserve"> 2023</v>
      </c>
    </row>
    <row r="285" spans="1:15" x14ac:dyDescent="0.35">
      <c r="A285" t="s">
        <v>584</v>
      </c>
      <c r="B285" s="5" t="s">
        <v>30</v>
      </c>
      <c r="C285" s="4" t="s">
        <v>13</v>
      </c>
      <c r="D285" s="4" t="s">
        <v>125</v>
      </c>
      <c r="E285" s="4" t="s">
        <v>126</v>
      </c>
      <c r="F285" s="4" t="s">
        <v>37</v>
      </c>
      <c r="G285" s="4" t="s">
        <v>148</v>
      </c>
      <c r="H285" s="4" t="s">
        <v>27</v>
      </c>
      <c r="I285" s="4" t="s">
        <v>47</v>
      </c>
      <c r="J285" s="3">
        <v>2</v>
      </c>
      <c r="K285" s="6">
        <v>29122</v>
      </c>
      <c r="L285" s="6">
        <f t="shared" si="12"/>
        <v>20385.399999999998</v>
      </c>
      <c r="M285" s="6">
        <v>8736.6000000000022</v>
      </c>
      <c r="N285" s="5" t="str">
        <f t="shared" si="13"/>
        <v>Mar</v>
      </c>
      <c r="O285" s="5" t="str">
        <f t="shared" si="14"/>
        <v xml:space="preserve"> 2023</v>
      </c>
    </row>
    <row r="286" spans="1:15" x14ac:dyDescent="0.35">
      <c r="A286" t="s">
        <v>585</v>
      </c>
      <c r="B286" s="5" t="s">
        <v>586</v>
      </c>
      <c r="C286" s="4" t="s">
        <v>55</v>
      </c>
      <c r="D286" s="4" t="s">
        <v>63</v>
      </c>
      <c r="E286" s="4" t="s">
        <v>64</v>
      </c>
      <c r="F286" s="4" t="s">
        <v>67</v>
      </c>
      <c r="G286" s="4" t="s">
        <v>68</v>
      </c>
      <c r="H286" s="4" t="s">
        <v>72</v>
      </c>
      <c r="I286" s="4" t="s">
        <v>60</v>
      </c>
      <c r="J286" s="3">
        <v>10</v>
      </c>
      <c r="K286" s="6">
        <v>446090</v>
      </c>
      <c r="L286" s="6">
        <f t="shared" si="12"/>
        <v>312263</v>
      </c>
      <c r="M286" s="6">
        <v>133827</v>
      </c>
      <c r="N286" s="5" t="str">
        <f t="shared" si="13"/>
        <v>Sep</v>
      </c>
      <c r="O286" s="5" t="str">
        <f t="shared" si="14"/>
        <v xml:space="preserve"> 2023</v>
      </c>
    </row>
    <row r="287" spans="1:15" x14ac:dyDescent="0.35">
      <c r="A287" t="s">
        <v>587</v>
      </c>
      <c r="B287" s="5" t="s">
        <v>588</v>
      </c>
      <c r="C287" s="4" t="s">
        <v>22</v>
      </c>
      <c r="D287" s="4" t="s">
        <v>23</v>
      </c>
      <c r="E287" s="4" t="s">
        <v>24</v>
      </c>
      <c r="F287" s="4" t="s">
        <v>37</v>
      </c>
      <c r="G287" s="4" t="s">
        <v>38</v>
      </c>
      <c r="H287" s="4" t="s">
        <v>72</v>
      </c>
      <c r="I287" s="4" t="s">
        <v>47</v>
      </c>
      <c r="J287" s="3">
        <v>6</v>
      </c>
      <c r="K287" s="6">
        <v>158244</v>
      </c>
      <c r="L287" s="6">
        <f t="shared" si="12"/>
        <v>110770.79999999999</v>
      </c>
      <c r="M287" s="6">
        <v>47473.200000000012</v>
      </c>
      <c r="N287" s="5" t="str">
        <f t="shared" si="13"/>
        <v>Jun</v>
      </c>
      <c r="O287" s="5" t="str">
        <f t="shared" si="14"/>
        <v xml:space="preserve"> 2023</v>
      </c>
    </row>
    <row r="288" spans="1:15" x14ac:dyDescent="0.35">
      <c r="A288" t="s">
        <v>589</v>
      </c>
      <c r="B288" s="5" t="s">
        <v>590</v>
      </c>
      <c r="C288" s="4" t="s">
        <v>22</v>
      </c>
      <c r="D288" s="4" t="s">
        <v>90</v>
      </c>
      <c r="E288" s="4" t="s">
        <v>110</v>
      </c>
      <c r="F288" s="4" t="s">
        <v>16</v>
      </c>
      <c r="G288" s="4" t="s">
        <v>34</v>
      </c>
      <c r="H288" s="4" t="s">
        <v>27</v>
      </c>
      <c r="I288" s="4" t="s">
        <v>47</v>
      </c>
      <c r="J288" s="3">
        <v>9</v>
      </c>
      <c r="K288" s="6">
        <v>351153</v>
      </c>
      <c r="L288" s="6">
        <f t="shared" si="12"/>
        <v>245807.09999999998</v>
      </c>
      <c r="M288" s="6">
        <v>105345.90000000002</v>
      </c>
      <c r="N288" s="5" t="str">
        <f t="shared" si="13"/>
        <v>May</v>
      </c>
      <c r="O288" s="5" t="str">
        <f t="shared" si="14"/>
        <v xml:space="preserve"> 2023</v>
      </c>
    </row>
    <row r="289" spans="1:15" x14ac:dyDescent="0.35">
      <c r="A289" t="s">
        <v>591</v>
      </c>
      <c r="B289" s="5" t="s">
        <v>537</v>
      </c>
      <c r="C289" s="4" t="s">
        <v>13</v>
      </c>
      <c r="D289" s="4" t="s">
        <v>118</v>
      </c>
      <c r="E289" s="4" t="s">
        <v>119</v>
      </c>
      <c r="F289" s="4" t="s">
        <v>16</v>
      </c>
      <c r="G289" s="4" t="s">
        <v>122</v>
      </c>
      <c r="H289" s="4" t="s">
        <v>18</v>
      </c>
      <c r="I289" s="4" t="s">
        <v>19</v>
      </c>
      <c r="J289" s="3">
        <v>6</v>
      </c>
      <c r="K289" s="6">
        <v>110826</v>
      </c>
      <c r="L289" s="6">
        <f t="shared" si="12"/>
        <v>77578.2</v>
      </c>
      <c r="M289" s="6">
        <v>33247.800000000003</v>
      </c>
      <c r="N289" s="5" t="str">
        <f t="shared" si="13"/>
        <v>Oct</v>
      </c>
      <c r="O289" s="5" t="str">
        <f t="shared" si="14"/>
        <v xml:space="preserve"> 2024</v>
      </c>
    </row>
    <row r="290" spans="1:15" x14ac:dyDescent="0.35">
      <c r="A290" t="s">
        <v>592</v>
      </c>
      <c r="B290" s="5" t="s">
        <v>593</v>
      </c>
      <c r="C290" s="4" t="s">
        <v>22</v>
      </c>
      <c r="D290" s="4" t="s">
        <v>90</v>
      </c>
      <c r="E290" s="4" t="s">
        <v>110</v>
      </c>
      <c r="F290" s="4" t="s">
        <v>37</v>
      </c>
      <c r="G290" s="4" t="s">
        <v>183</v>
      </c>
      <c r="H290" s="4" t="s">
        <v>72</v>
      </c>
      <c r="I290" s="4" t="s">
        <v>19</v>
      </c>
      <c r="J290" s="3">
        <v>7</v>
      </c>
      <c r="K290" s="6">
        <v>265237</v>
      </c>
      <c r="L290" s="6">
        <f t="shared" si="12"/>
        <v>185665.9</v>
      </c>
      <c r="M290" s="6">
        <v>79571.100000000006</v>
      </c>
      <c r="N290" s="5" t="str">
        <f t="shared" si="13"/>
        <v>Dec</v>
      </c>
      <c r="O290" s="5" t="str">
        <f t="shared" si="14"/>
        <v xml:space="preserve"> 2023</v>
      </c>
    </row>
    <row r="291" spans="1:15" x14ac:dyDescent="0.35">
      <c r="A291" t="s">
        <v>594</v>
      </c>
      <c r="B291" s="5" t="s">
        <v>335</v>
      </c>
      <c r="C291" s="4" t="s">
        <v>22</v>
      </c>
      <c r="D291" s="4" t="s">
        <v>90</v>
      </c>
      <c r="E291" s="4" t="s">
        <v>91</v>
      </c>
      <c r="F291" s="4" t="s">
        <v>16</v>
      </c>
      <c r="G291" s="4" t="s">
        <v>42</v>
      </c>
      <c r="H291" s="4" t="s">
        <v>18</v>
      </c>
      <c r="I291" s="4" t="s">
        <v>28</v>
      </c>
      <c r="J291" s="3">
        <v>2</v>
      </c>
      <c r="K291" s="6">
        <v>72602</v>
      </c>
      <c r="L291" s="6">
        <f t="shared" si="12"/>
        <v>50821.399999999994</v>
      </c>
      <c r="M291" s="6">
        <v>21780.600000000006</v>
      </c>
      <c r="N291" s="5" t="str">
        <f t="shared" si="13"/>
        <v>Jun</v>
      </c>
      <c r="O291" s="5" t="str">
        <f t="shared" si="14"/>
        <v xml:space="preserve"> 2024</v>
      </c>
    </row>
    <row r="292" spans="1:15" x14ac:dyDescent="0.35">
      <c r="A292" t="s">
        <v>595</v>
      </c>
      <c r="B292" s="5" t="s">
        <v>596</v>
      </c>
      <c r="C292" s="4" t="s">
        <v>55</v>
      </c>
      <c r="D292" s="4" t="s">
        <v>56</v>
      </c>
      <c r="E292" s="4" t="s">
        <v>57</v>
      </c>
      <c r="F292" s="4" t="s">
        <v>67</v>
      </c>
      <c r="G292" s="4" t="s">
        <v>68</v>
      </c>
      <c r="H292" s="4" t="s">
        <v>72</v>
      </c>
      <c r="I292" s="4" t="s">
        <v>28</v>
      </c>
      <c r="J292" s="3">
        <v>6</v>
      </c>
      <c r="K292" s="6">
        <v>84984</v>
      </c>
      <c r="L292" s="6">
        <f t="shared" si="12"/>
        <v>59488.799999999996</v>
      </c>
      <c r="M292" s="6">
        <v>25495.200000000004</v>
      </c>
      <c r="N292" s="5" t="str">
        <f t="shared" si="13"/>
        <v>Jun</v>
      </c>
      <c r="O292" s="5" t="str">
        <f t="shared" si="14"/>
        <v xml:space="preserve"> 2023</v>
      </c>
    </row>
    <row r="293" spans="1:15" x14ac:dyDescent="0.35">
      <c r="A293" t="s">
        <v>597</v>
      </c>
      <c r="B293" s="5" t="s">
        <v>598</v>
      </c>
      <c r="C293" s="4" t="s">
        <v>55</v>
      </c>
      <c r="D293" s="4" t="s">
        <v>56</v>
      </c>
      <c r="E293" s="4" t="s">
        <v>57</v>
      </c>
      <c r="F293" s="4" t="s">
        <v>16</v>
      </c>
      <c r="G293" s="4" t="s">
        <v>42</v>
      </c>
      <c r="H293" s="4" t="s">
        <v>18</v>
      </c>
      <c r="I293" s="4" t="s">
        <v>19</v>
      </c>
      <c r="J293" s="3">
        <v>2</v>
      </c>
      <c r="K293" s="6">
        <v>15198</v>
      </c>
      <c r="L293" s="6">
        <f t="shared" si="12"/>
        <v>10638.599999999999</v>
      </c>
      <c r="M293" s="6">
        <v>4559.4000000000015</v>
      </c>
      <c r="N293" s="5" t="str">
        <f t="shared" si="13"/>
        <v>May</v>
      </c>
      <c r="O293" s="5" t="str">
        <f t="shared" si="14"/>
        <v xml:space="preserve"> 2024</v>
      </c>
    </row>
    <row r="294" spans="1:15" x14ac:dyDescent="0.35">
      <c r="A294" t="s">
        <v>599</v>
      </c>
      <c r="B294" s="5" t="s">
        <v>600</v>
      </c>
      <c r="C294" s="4" t="s">
        <v>13</v>
      </c>
      <c r="D294" s="4" t="s">
        <v>118</v>
      </c>
      <c r="E294" s="4" t="s">
        <v>119</v>
      </c>
      <c r="F294" s="4" t="s">
        <v>16</v>
      </c>
      <c r="G294" s="4" t="s">
        <v>17</v>
      </c>
      <c r="H294" s="4" t="s">
        <v>27</v>
      </c>
      <c r="I294" s="4" t="s">
        <v>28</v>
      </c>
      <c r="J294" s="3">
        <v>5</v>
      </c>
      <c r="K294" s="6">
        <v>138190</v>
      </c>
      <c r="L294" s="6">
        <f t="shared" si="12"/>
        <v>96733</v>
      </c>
      <c r="M294" s="6">
        <v>41457</v>
      </c>
      <c r="N294" s="5" t="str">
        <f t="shared" si="13"/>
        <v>Nov</v>
      </c>
      <c r="O294" s="5" t="str">
        <f t="shared" si="14"/>
        <v xml:space="preserve"> 2023</v>
      </c>
    </row>
    <row r="295" spans="1:15" x14ac:dyDescent="0.35">
      <c r="A295" t="s">
        <v>601</v>
      </c>
      <c r="B295" s="5" t="s">
        <v>459</v>
      </c>
      <c r="C295" s="4" t="s">
        <v>31</v>
      </c>
      <c r="D295" s="4" t="s">
        <v>32</v>
      </c>
      <c r="E295" s="4" t="s">
        <v>33</v>
      </c>
      <c r="F295" s="4" t="s">
        <v>37</v>
      </c>
      <c r="G295" s="4" t="s">
        <v>38</v>
      </c>
      <c r="H295" s="4" t="s">
        <v>27</v>
      </c>
      <c r="I295" s="4" t="s">
        <v>28</v>
      </c>
      <c r="J295" s="3">
        <v>5</v>
      </c>
      <c r="K295" s="6">
        <v>3290</v>
      </c>
      <c r="L295" s="6">
        <f t="shared" si="12"/>
        <v>2303</v>
      </c>
      <c r="M295" s="6">
        <v>987</v>
      </c>
      <c r="N295" s="5" t="str">
        <f t="shared" si="13"/>
        <v>Jun</v>
      </c>
      <c r="O295" s="5" t="str">
        <f t="shared" si="14"/>
        <v xml:space="preserve"> 2024</v>
      </c>
    </row>
    <row r="296" spans="1:15" x14ac:dyDescent="0.35">
      <c r="A296" t="s">
        <v>602</v>
      </c>
      <c r="B296" s="5" t="s">
        <v>603</v>
      </c>
      <c r="C296" s="4" t="s">
        <v>13</v>
      </c>
      <c r="D296" s="4" t="s">
        <v>118</v>
      </c>
      <c r="E296" s="4" t="s">
        <v>119</v>
      </c>
      <c r="F296" s="4" t="s">
        <v>67</v>
      </c>
      <c r="G296" s="4" t="s">
        <v>113</v>
      </c>
      <c r="H296" s="4" t="s">
        <v>18</v>
      </c>
      <c r="I296" s="4" t="s">
        <v>28</v>
      </c>
      <c r="J296" s="3">
        <v>2</v>
      </c>
      <c r="K296" s="6">
        <v>80040</v>
      </c>
      <c r="L296" s="6">
        <f t="shared" si="12"/>
        <v>56028</v>
      </c>
      <c r="M296" s="6">
        <v>24012</v>
      </c>
      <c r="N296" s="5" t="str">
        <f t="shared" si="13"/>
        <v>Oct</v>
      </c>
      <c r="O296" s="5" t="str">
        <f t="shared" si="14"/>
        <v xml:space="preserve"> 2024</v>
      </c>
    </row>
    <row r="297" spans="1:15" x14ac:dyDescent="0.35">
      <c r="A297" t="s">
        <v>604</v>
      </c>
      <c r="B297" s="5" t="s">
        <v>605</v>
      </c>
      <c r="C297" s="4" t="s">
        <v>55</v>
      </c>
      <c r="D297" s="4" t="s">
        <v>56</v>
      </c>
      <c r="E297" s="4" t="s">
        <v>57</v>
      </c>
      <c r="F297" s="4" t="s">
        <v>67</v>
      </c>
      <c r="G297" s="4" t="s">
        <v>68</v>
      </c>
      <c r="H297" s="4" t="s">
        <v>18</v>
      </c>
      <c r="I297" s="4" t="s">
        <v>39</v>
      </c>
      <c r="J297" s="3">
        <v>1</v>
      </c>
      <c r="K297" s="6">
        <v>17446</v>
      </c>
      <c r="L297" s="6">
        <f t="shared" si="12"/>
        <v>12212.199999999999</v>
      </c>
      <c r="M297" s="6">
        <v>5233.8000000000011</v>
      </c>
      <c r="N297" s="5" t="str">
        <f t="shared" si="13"/>
        <v>Jul</v>
      </c>
      <c r="O297" s="5" t="str">
        <f t="shared" si="14"/>
        <v xml:space="preserve"> 2024</v>
      </c>
    </row>
    <row r="298" spans="1:15" x14ac:dyDescent="0.35">
      <c r="A298" t="s">
        <v>606</v>
      </c>
      <c r="B298" s="5" t="s">
        <v>394</v>
      </c>
      <c r="C298" s="4" t="s">
        <v>22</v>
      </c>
      <c r="D298" s="4" t="s">
        <v>90</v>
      </c>
      <c r="E298" s="4" t="s">
        <v>91</v>
      </c>
      <c r="F298" s="4" t="s">
        <v>16</v>
      </c>
      <c r="G298" s="4" t="s">
        <v>42</v>
      </c>
      <c r="H298" s="4" t="s">
        <v>72</v>
      </c>
      <c r="I298" s="4" t="s">
        <v>47</v>
      </c>
      <c r="J298" s="3">
        <v>3</v>
      </c>
      <c r="K298" s="6">
        <v>24525</v>
      </c>
      <c r="L298" s="6">
        <f t="shared" si="12"/>
        <v>17167.5</v>
      </c>
      <c r="M298" s="6">
        <v>7357.5</v>
      </c>
      <c r="N298" s="5" t="str">
        <f t="shared" si="13"/>
        <v>Mar</v>
      </c>
      <c r="O298" s="5" t="str">
        <f t="shared" si="14"/>
        <v xml:space="preserve"> 2024</v>
      </c>
    </row>
    <row r="299" spans="1:15" x14ac:dyDescent="0.35">
      <c r="A299" t="s">
        <v>607</v>
      </c>
      <c r="B299" s="5" t="s">
        <v>608</v>
      </c>
      <c r="C299" s="4" t="s">
        <v>13</v>
      </c>
      <c r="D299" s="4" t="s">
        <v>14</v>
      </c>
      <c r="E299" s="4" t="s">
        <v>15</v>
      </c>
      <c r="F299" s="4" t="s">
        <v>67</v>
      </c>
      <c r="G299" s="4" t="s">
        <v>68</v>
      </c>
      <c r="H299" s="4" t="s">
        <v>72</v>
      </c>
      <c r="I299" s="4" t="s">
        <v>60</v>
      </c>
      <c r="J299" s="3">
        <v>10</v>
      </c>
      <c r="K299" s="6">
        <v>422200</v>
      </c>
      <c r="L299" s="6">
        <f t="shared" si="12"/>
        <v>295540</v>
      </c>
      <c r="M299" s="6">
        <v>126660</v>
      </c>
      <c r="N299" s="5" t="str">
        <f t="shared" si="13"/>
        <v>Mar</v>
      </c>
      <c r="O299" s="5" t="str">
        <f t="shared" si="14"/>
        <v xml:space="preserve"> 2024</v>
      </c>
    </row>
    <row r="300" spans="1:15" x14ac:dyDescent="0.35">
      <c r="A300" t="s">
        <v>609</v>
      </c>
      <c r="B300" s="5" t="s">
        <v>610</v>
      </c>
      <c r="C300" s="4" t="s">
        <v>13</v>
      </c>
      <c r="D300" s="4" t="s">
        <v>14</v>
      </c>
      <c r="E300" s="4" t="s">
        <v>15</v>
      </c>
      <c r="F300" s="4" t="s">
        <v>67</v>
      </c>
      <c r="G300" s="4" t="s">
        <v>134</v>
      </c>
      <c r="H300" s="4" t="s">
        <v>72</v>
      </c>
      <c r="I300" s="4" t="s">
        <v>28</v>
      </c>
      <c r="J300" s="3">
        <v>10</v>
      </c>
      <c r="K300" s="6">
        <v>476230</v>
      </c>
      <c r="L300" s="6">
        <f t="shared" si="12"/>
        <v>333361</v>
      </c>
      <c r="M300" s="6">
        <v>142869</v>
      </c>
      <c r="N300" s="5" t="str">
        <f t="shared" si="13"/>
        <v>Sep</v>
      </c>
      <c r="O300" s="5" t="str">
        <f t="shared" si="14"/>
        <v xml:space="preserve"> 2024</v>
      </c>
    </row>
    <row r="301" spans="1:15" x14ac:dyDescent="0.35">
      <c r="A301" t="s">
        <v>611</v>
      </c>
      <c r="B301" s="5" t="s">
        <v>612</v>
      </c>
      <c r="C301" s="4" t="s">
        <v>22</v>
      </c>
      <c r="D301" s="4" t="s">
        <v>86</v>
      </c>
      <c r="E301" s="4" t="s">
        <v>87</v>
      </c>
      <c r="F301" s="4" t="s">
        <v>25</v>
      </c>
      <c r="G301" s="4" t="s">
        <v>77</v>
      </c>
      <c r="H301" s="4" t="s">
        <v>72</v>
      </c>
      <c r="I301" s="4" t="s">
        <v>28</v>
      </c>
      <c r="J301" s="3">
        <v>6</v>
      </c>
      <c r="K301" s="6">
        <v>34866</v>
      </c>
      <c r="L301" s="6">
        <f t="shared" si="12"/>
        <v>24406.199999999997</v>
      </c>
      <c r="M301" s="6">
        <v>10459.800000000003</v>
      </c>
      <c r="N301" s="5" t="str">
        <f t="shared" si="13"/>
        <v>Oct</v>
      </c>
      <c r="O301" s="5" t="str">
        <f t="shared" si="14"/>
        <v xml:space="preserve"> 2024</v>
      </c>
    </row>
    <row r="302" spans="1:15" x14ac:dyDescent="0.35">
      <c r="A302" t="s">
        <v>613</v>
      </c>
      <c r="B302" s="5" t="s">
        <v>614</v>
      </c>
      <c r="C302" s="4" t="s">
        <v>55</v>
      </c>
      <c r="D302" s="4" t="s">
        <v>63</v>
      </c>
      <c r="E302" s="4" t="s">
        <v>64</v>
      </c>
      <c r="F302" s="4" t="s">
        <v>16</v>
      </c>
      <c r="G302" s="4" t="s">
        <v>17</v>
      </c>
      <c r="H302" s="4" t="s">
        <v>18</v>
      </c>
      <c r="I302" s="4" t="s">
        <v>28</v>
      </c>
      <c r="J302" s="3">
        <v>8</v>
      </c>
      <c r="K302" s="6">
        <v>148880</v>
      </c>
      <c r="L302" s="6">
        <f t="shared" si="12"/>
        <v>104216</v>
      </c>
      <c r="M302" s="6">
        <v>44664</v>
      </c>
      <c r="N302" s="5" t="str">
        <f t="shared" si="13"/>
        <v>Feb</v>
      </c>
      <c r="O302" s="5" t="str">
        <f t="shared" si="14"/>
        <v xml:space="preserve"> 2024</v>
      </c>
    </row>
    <row r="303" spans="1:15" x14ac:dyDescent="0.35">
      <c r="A303" t="s">
        <v>615</v>
      </c>
      <c r="B303" s="5" t="s">
        <v>616</v>
      </c>
      <c r="C303" s="4" t="s">
        <v>13</v>
      </c>
      <c r="D303" s="4" t="s">
        <v>14</v>
      </c>
      <c r="E303" s="4" t="s">
        <v>15</v>
      </c>
      <c r="F303" s="4" t="s">
        <v>37</v>
      </c>
      <c r="G303" s="4" t="s">
        <v>183</v>
      </c>
      <c r="H303" s="4" t="s">
        <v>27</v>
      </c>
      <c r="I303" s="4" t="s">
        <v>60</v>
      </c>
      <c r="J303" s="3">
        <v>10</v>
      </c>
      <c r="K303" s="6">
        <v>50460</v>
      </c>
      <c r="L303" s="6">
        <f t="shared" si="12"/>
        <v>35322</v>
      </c>
      <c r="M303" s="6">
        <v>15138</v>
      </c>
      <c r="N303" s="5" t="str">
        <f t="shared" si="13"/>
        <v>Feb</v>
      </c>
      <c r="O303" s="5" t="str">
        <f t="shared" si="14"/>
        <v xml:space="preserve"> 2023</v>
      </c>
    </row>
    <row r="304" spans="1:15" x14ac:dyDescent="0.35">
      <c r="A304" t="s">
        <v>617</v>
      </c>
      <c r="B304" s="5" t="s">
        <v>616</v>
      </c>
      <c r="C304" s="4" t="s">
        <v>31</v>
      </c>
      <c r="D304" s="4" t="s">
        <v>45</v>
      </c>
      <c r="E304" s="4" t="s">
        <v>46</v>
      </c>
      <c r="F304" s="4" t="s">
        <v>37</v>
      </c>
      <c r="G304" s="4" t="s">
        <v>186</v>
      </c>
      <c r="H304" s="4" t="s">
        <v>72</v>
      </c>
      <c r="I304" s="4" t="s">
        <v>47</v>
      </c>
      <c r="J304" s="3">
        <v>1</v>
      </c>
      <c r="K304" s="6">
        <v>46543</v>
      </c>
      <c r="L304" s="6">
        <f t="shared" si="12"/>
        <v>32580.1</v>
      </c>
      <c r="M304" s="6">
        <v>13962.900000000001</v>
      </c>
      <c r="N304" s="5" t="str">
        <f t="shared" si="13"/>
        <v>Feb</v>
      </c>
      <c r="O304" s="5" t="str">
        <f t="shared" si="14"/>
        <v xml:space="preserve"> 2023</v>
      </c>
    </row>
    <row r="305" spans="1:15" x14ac:dyDescent="0.35">
      <c r="A305" t="s">
        <v>618</v>
      </c>
      <c r="B305" s="5" t="s">
        <v>619</v>
      </c>
      <c r="C305" s="4" t="s">
        <v>55</v>
      </c>
      <c r="D305" s="4" t="s">
        <v>82</v>
      </c>
      <c r="E305" s="4" t="s">
        <v>83</v>
      </c>
      <c r="F305" s="4" t="s">
        <v>37</v>
      </c>
      <c r="G305" s="4" t="s">
        <v>148</v>
      </c>
      <c r="H305" s="4" t="s">
        <v>72</v>
      </c>
      <c r="I305" s="4" t="s">
        <v>19</v>
      </c>
      <c r="J305" s="3">
        <v>7</v>
      </c>
      <c r="K305" s="6">
        <v>88844</v>
      </c>
      <c r="L305" s="6">
        <f t="shared" si="12"/>
        <v>62190.799999999996</v>
      </c>
      <c r="M305" s="6">
        <v>26653.200000000004</v>
      </c>
      <c r="N305" s="5" t="str">
        <f t="shared" si="13"/>
        <v>Jul</v>
      </c>
      <c r="O305" s="5" t="str">
        <f t="shared" si="14"/>
        <v xml:space="preserve"> 2024</v>
      </c>
    </row>
    <row r="306" spans="1:15" x14ac:dyDescent="0.35">
      <c r="A306" t="s">
        <v>620</v>
      </c>
      <c r="B306" s="5" t="s">
        <v>477</v>
      </c>
      <c r="C306" s="4" t="s">
        <v>13</v>
      </c>
      <c r="D306" s="4" t="s">
        <v>162</v>
      </c>
      <c r="E306" s="4" t="s">
        <v>163</v>
      </c>
      <c r="F306" s="4" t="s">
        <v>67</v>
      </c>
      <c r="G306" s="4" t="s">
        <v>134</v>
      </c>
      <c r="H306" s="4" t="s">
        <v>72</v>
      </c>
      <c r="I306" s="4" t="s">
        <v>19</v>
      </c>
      <c r="J306" s="3">
        <v>5</v>
      </c>
      <c r="K306" s="6">
        <v>199045</v>
      </c>
      <c r="L306" s="6">
        <f t="shared" si="12"/>
        <v>139331.5</v>
      </c>
      <c r="M306" s="6">
        <v>59713.5</v>
      </c>
      <c r="N306" s="5" t="str">
        <f t="shared" si="13"/>
        <v>Aug</v>
      </c>
      <c r="O306" s="5" t="str">
        <f t="shared" si="14"/>
        <v xml:space="preserve"> 2023</v>
      </c>
    </row>
    <row r="307" spans="1:15" x14ac:dyDescent="0.35">
      <c r="A307" t="s">
        <v>621</v>
      </c>
      <c r="B307" s="5" t="s">
        <v>622</v>
      </c>
      <c r="C307" s="4" t="s">
        <v>31</v>
      </c>
      <c r="D307" s="4" t="s">
        <v>32</v>
      </c>
      <c r="E307" s="4" t="s">
        <v>33</v>
      </c>
      <c r="F307" s="4" t="s">
        <v>67</v>
      </c>
      <c r="G307" s="4" t="s">
        <v>134</v>
      </c>
      <c r="H307" s="4" t="s">
        <v>72</v>
      </c>
      <c r="I307" s="4" t="s">
        <v>47</v>
      </c>
      <c r="J307" s="3">
        <v>7</v>
      </c>
      <c r="K307" s="6">
        <v>153881</v>
      </c>
      <c r="L307" s="6">
        <f t="shared" si="12"/>
        <v>107716.7</v>
      </c>
      <c r="M307" s="6">
        <v>46164.3</v>
      </c>
      <c r="N307" s="5" t="str">
        <f t="shared" si="13"/>
        <v>Feb</v>
      </c>
      <c r="O307" s="5" t="str">
        <f t="shared" si="14"/>
        <v xml:space="preserve"> 2023</v>
      </c>
    </row>
    <row r="308" spans="1:15" x14ac:dyDescent="0.35">
      <c r="A308" t="s">
        <v>623</v>
      </c>
      <c r="B308" s="5" t="s">
        <v>612</v>
      </c>
      <c r="C308" s="4" t="s">
        <v>22</v>
      </c>
      <c r="D308" s="4" t="s">
        <v>90</v>
      </c>
      <c r="E308" s="4" t="s">
        <v>110</v>
      </c>
      <c r="F308" s="4" t="s">
        <v>67</v>
      </c>
      <c r="G308" s="4" t="s">
        <v>180</v>
      </c>
      <c r="H308" s="4" t="s">
        <v>72</v>
      </c>
      <c r="I308" s="4" t="s">
        <v>19</v>
      </c>
      <c r="J308" s="3">
        <v>3</v>
      </c>
      <c r="K308" s="6">
        <v>114552</v>
      </c>
      <c r="L308" s="6">
        <f t="shared" si="12"/>
        <v>80186.399999999994</v>
      </c>
      <c r="M308" s="6">
        <v>34365.600000000006</v>
      </c>
      <c r="N308" s="5" t="str">
        <f t="shared" si="13"/>
        <v>Oct</v>
      </c>
      <c r="O308" s="5" t="str">
        <f t="shared" si="14"/>
        <v xml:space="preserve"> 2024</v>
      </c>
    </row>
    <row r="309" spans="1:15" x14ac:dyDescent="0.35">
      <c r="A309" t="s">
        <v>624</v>
      </c>
      <c r="B309" s="5" t="s">
        <v>156</v>
      </c>
      <c r="C309" s="4" t="s">
        <v>31</v>
      </c>
      <c r="D309" s="4" t="s">
        <v>32</v>
      </c>
      <c r="E309" s="4" t="s">
        <v>33</v>
      </c>
      <c r="F309" s="4" t="s">
        <v>16</v>
      </c>
      <c r="G309" s="4" t="s">
        <v>17</v>
      </c>
      <c r="H309" s="4" t="s">
        <v>27</v>
      </c>
      <c r="I309" s="4" t="s">
        <v>39</v>
      </c>
      <c r="J309" s="3">
        <v>7</v>
      </c>
      <c r="K309" s="6">
        <v>146356</v>
      </c>
      <c r="L309" s="6">
        <f t="shared" si="12"/>
        <v>102449.2</v>
      </c>
      <c r="M309" s="6">
        <v>43906.8</v>
      </c>
      <c r="N309" s="5" t="str">
        <f t="shared" si="13"/>
        <v>Feb</v>
      </c>
      <c r="O309" s="5" t="str">
        <f t="shared" si="14"/>
        <v xml:space="preserve"> 2024</v>
      </c>
    </row>
    <row r="310" spans="1:15" x14ac:dyDescent="0.35">
      <c r="A310" t="s">
        <v>625</v>
      </c>
      <c r="B310" s="5" t="s">
        <v>626</v>
      </c>
      <c r="C310" s="4" t="s">
        <v>55</v>
      </c>
      <c r="D310" s="4" t="s">
        <v>56</v>
      </c>
      <c r="E310" s="4" t="s">
        <v>57</v>
      </c>
      <c r="F310" s="4" t="s">
        <v>37</v>
      </c>
      <c r="G310" s="4" t="s">
        <v>183</v>
      </c>
      <c r="H310" s="4" t="s">
        <v>27</v>
      </c>
      <c r="I310" s="4" t="s">
        <v>19</v>
      </c>
      <c r="J310" s="3">
        <v>6</v>
      </c>
      <c r="K310" s="6">
        <v>66426</v>
      </c>
      <c r="L310" s="6">
        <f t="shared" si="12"/>
        <v>46498.2</v>
      </c>
      <c r="M310" s="6">
        <v>19927.800000000003</v>
      </c>
      <c r="N310" s="5" t="str">
        <f t="shared" si="13"/>
        <v>Oct</v>
      </c>
      <c r="O310" s="5" t="str">
        <f t="shared" si="14"/>
        <v xml:space="preserve"> 2023</v>
      </c>
    </row>
    <row r="311" spans="1:15" x14ac:dyDescent="0.35">
      <c r="A311" t="s">
        <v>627</v>
      </c>
      <c r="B311" s="5" t="s">
        <v>345</v>
      </c>
      <c r="C311" s="4" t="s">
        <v>55</v>
      </c>
      <c r="D311" s="4" t="s">
        <v>63</v>
      </c>
      <c r="E311" s="4" t="s">
        <v>64</v>
      </c>
      <c r="F311" s="4" t="s">
        <v>37</v>
      </c>
      <c r="G311" s="4" t="s">
        <v>148</v>
      </c>
      <c r="H311" s="4" t="s">
        <v>27</v>
      </c>
      <c r="I311" s="4" t="s">
        <v>19</v>
      </c>
      <c r="J311" s="3">
        <v>2</v>
      </c>
      <c r="K311" s="6">
        <v>46528</v>
      </c>
      <c r="L311" s="6">
        <f t="shared" si="12"/>
        <v>32569.599999999999</v>
      </c>
      <c r="M311" s="6">
        <v>13958.400000000001</v>
      </c>
      <c r="N311" s="5" t="str">
        <f t="shared" si="13"/>
        <v>Dec</v>
      </c>
      <c r="O311" s="5" t="str">
        <f t="shared" si="14"/>
        <v xml:space="preserve"> 2023</v>
      </c>
    </row>
    <row r="312" spans="1:15" x14ac:dyDescent="0.35">
      <c r="A312" t="s">
        <v>628</v>
      </c>
      <c r="B312" s="5" t="s">
        <v>629</v>
      </c>
      <c r="C312" s="4" t="s">
        <v>13</v>
      </c>
      <c r="D312" s="4" t="s">
        <v>14</v>
      </c>
      <c r="E312" s="4" t="s">
        <v>15</v>
      </c>
      <c r="F312" s="4" t="s">
        <v>16</v>
      </c>
      <c r="G312" s="4" t="s">
        <v>122</v>
      </c>
      <c r="H312" s="4" t="s">
        <v>18</v>
      </c>
      <c r="I312" s="4" t="s">
        <v>28</v>
      </c>
      <c r="J312" s="3">
        <v>6</v>
      </c>
      <c r="K312" s="6">
        <v>253224</v>
      </c>
      <c r="L312" s="6">
        <f t="shared" si="12"/>
        <v>177256.8</v>
      </c>
      <c r="M312" s="6">
        <v>75967.200000000012</v>
      </c>
      <c r="N312" s="5" t="str">
        <f t="shared" si="13"/>
        <v>Feb</v>
      </c>
      <c r="O312" s="5" t="str">
        <f t="shared" si="14"/>
        <v xml:space="preserve"> 2023</v>
      </c>
    </row>
    <row r="313" spans="1:15" x14ac:dyDescent="0.35">
      <c r="A313" t="s">
        <v>630</v>
      </c>
      <c r="B313" s="5" t="s">
        <v>403</v>
      </c>
      <c r="C313" s="4" t="s">
        <v>22</v>
      </c>
      <c r="D313" s="4" t="s">
        <v>86</v>
      </c>
      <c r="E313" s="4" t="s">
        <v>87</v>
      </c>
      <c r="F313" s="4" t="s">
        <v>16</v>
      </c>
      <c r="G313" s="4" t="s">
        <v>122</v>
      </c>
      <c r="H313" s="4" t="s">
        <v>18</v>
      </c>
      <c r="I313" s="4" t="s">
        <v>39</v>
      </c>
      <c r="J313" s="3">
        <v>5</v>
      </c>
      <c r="K313" s="6">
        <v>134435</v>
      </c>
      <c r="L313" s="6">
        <f t="shared" si="12"/>
        <v>94104.5</v>
      </c>
      <c r="M313" s="6">
        <v>40330.5</v>
      </c>
      <c r="N313" s="5" t="str">
        <f t="shared" si="13"/>
        <v>Dec</v>
      </c>
      <c r="O313" s="5" t="str">
        <f t="shared" si="14"/>
        <v xml:space="preserve"> 2023</v>
      </c>
    </row>
    <row r="314" spans="1:15" x14ac:dyDescent="0.35">
      <c r="A314" t="s">
        <v>631</v>
      </c>
      <c r="B314" s="5" t="s">
        <v>632</v>
      </c>
      <c r="C314" s="4" t="s">
        <v>55</v>
      </c>
      <c r="D314" s="4" t="s">
        <v>56</v>
      </c>
      <c r="E314" s="4" t="s">
        <v>57</v>
      </c>
      <c r="F314" s="4" t="s">
        <v>25</v>
      </c>
      <c r="G314" s="4" t="s">
        <v>77</v>
      </c>
      <c r="H314" s="4" t="s">
        <v>72</v>
      </c>
      <c r="I314" s="4" t="s">
        <v>60</v>
      </c>
      <c r="J314" s="3">
        <v>2</v>
      </c>
      <c r="K314" s="6">
        <v>65796</v>
      </c>
      <c r="L314" s="6">
        <f t="shared" si="12"/>
        <v>46057.2</v>
      </c>
      <c r="M314" s="6">
        <v>19738.800000000003</v>
      </c>
      <c r="N314" s="5" t="str">
        <f t="shared" si="13"/>
        <v>Jan</v>
      </c>
      <c r="O314" s="5" t="str">
        <f t="shared" si="14"/>
        <v xml:space="preserve"> 2024</v>
      </c>
    </row>
    <row r="315" spans="1:15" x14ac:dyDescent="0.35">
      <c r="A315" t="s">
        <v>633</v>
      </c>
      <c r="B315" s="5" t="s">
        <v>634</v>
      </c>
      <c r="C315" s="4" t="s">
        <v>31</v>
      </c>
      <c r="D315" s="4" t="s">
        <v>104</v>
      </c>
      <c r="E315" s="4" t="s">
        <v>105</v>
      </c>
      <c r="F315" s="4" t="s">
        <v>25</v>
      </c>
      <c r="G315" s="4" t="s">
        <v>26</v>
      </c>
      <c r="H315" s="4" t="s">
        <v>72</v>
      </c>
      <c r="I315" s="4" t="s">
        <v>39</v>
      </c>
      <c r="J315" s="3">
        <v>5</v>
      </c>
      <c r="K315" s="6">
        <v>75195</v>
      </c>
      <c r="L315" s="6">
        <f t="shared" si="12"/>
        <v>52636.5</v>
      </c>
      <c r="M315" s="6">
        <v>22558.5</v>
      </c>
      <c r="N315" s="5" t="str">
        <f t="shared" si="13"/>
        <v>Feb</v>
      </c>
      <c r="O315" s="5" t="str">
        <f t="shared" si="14"/>
        <v xml:space="preserve"> 2024</v>
      </c>
    </row>
    <row r="316" spans="1:15" x14ac:dyDescent="0.35">
      <c r="A316" t="s">
        <v>635</v>
      </c>
      <c r="B316" s="5" t="s">
        <v>636</v>
      </c>
      <c r="C316" s="4" t="s">
        <v>22</v>
      </c>
      <c r="D316" s="4" t="s">
        <v>86</v>
      </c>
      <c r="E316" s="4" t="s">
        <v>87</v>
      </c>
      <c r="F316" s="4" t="s">
        <v>16</v>
      </c>
      <c r="G316" s="4" t="s">
        <v>17</v>
      </c>
      <c r="H316" s="4" t="s">
        <v>72</v>
      </c>
      <c r="I316" s="4" t="s">
        <v>47</v>
      </c>
      <c r="J316" s="3">
        <v>4</v>
      </c>
      <c r="K316" s="6">
        <v>103008</v>
      </c>
      <c r="L316" s="6">
        <f t="shared" si="12"/>
        <v>72105.599999999991</v>
      </c>
      <c r="M316" s="6">
        <v>30902.400000000009</v>
      </c>
      <c r="N316" s="5" t="str">
        <f t="shared" si="13"/>
        <v>May</v>
      </c>
      <c r="O316" s="5" t="str">
        <f t="shared" si="14"/>
        <v xml:space="preserve"> 2023</v>
      </c>
    </row>
    <row r="317" spans="1:15" x14ac:dyDescent="0.35">
      <c r="A317" t="s">
        <v>637</v>
      </c>
      <c r="B317" s="5" t="s">
        <v>638</v>
      </c>
      <c r="C317" s="4" t="s">
        <v>13</v>
      </c>
      <c r="D317" s="4" t="s">
        <v>162</v>
      </c>
      <c r="E317" s="4" t="s">
        <v>163</v>
      </c>
      <c r="F317" s="4" t="s">
        <v>67</v>
      </c>
      <c r="G317" s="4" t="s">
        <v>134</v>
      </c>
      <c r="H317" s="4" t="s">
        <v>18</v>
      </c>
      <c r="I317" s="4" t="s">
        <v>47</v>
      </c>
      <c r="J317" s="3">
        <v>3</v>
      </c>
      <c r="K317" s="6">
        <v>129570</v>
      </c>
      <c r="L317" s="6">
        <f t="shared" si="12"/>
        <v>90699</v>
      </c>
      <c r="M317" s="6">
        <v>38871</v>
      </c>
      <c r="N317" s="5" t="str">
        <f t="shared" si="13"/>
        <v>Dec</v>
      </c>
      <c r="O317" s="5" t="str">
        <f t="shared" si="14"/>
        <v xml:space="preserve"> 2023</v>
      </c>
    </row>
    <row r="318" spans="1:15" x14ac:dyDescent="0.35">
      <c r="A318" t="s">
        <v>639</v>
      </c>
      <c r="B318" s="5" t="s">
        <v>232</v>
      </c>
      <c r="C318" s="4" t="s">
        <v>31</v>
      </c>
      <c r="D318" s="4" t="s">
        <v>50</v>
      </c>
      <c r="E318" s="4" t="s">
        <v>51</v>
      </c>
      <c r="F318" s="4" t="s">
        <v>37</v>
      </c>
      <c r="G318" s="4" t="s">
        <v>38</v>
      </c>
      <c r="H318" s="4" t="s">
        <v>27</v>
      </c>
      <c r="I318" s="4" t="s">
        <v>19</v>
      </c>
      <c r="J318" s="3">
        <v>9</v>
      </c>
      <c r="K318" s="6">
        <v>408528</v>
      </c>
      <c r="L318" s="6">
        <f t="shared" si="12"/>
        <v>285969.59999999998</v>
      </c>
      <c r="M318" s="6">
        <v>122558.40000000002</v>
      </c>
      <c r="N318" s="5" t="str">
        <f t="shared" si="13"/>
        <v>May</v>
      </c>
      <c r="O318" s="5" t="str">
        <f t="shared" si="14"/>
        <v xml:space="preserve"> 2024</v>
      </c>
    </row>
    <row r="319" spans="1:15" x14ac:dyDescent="0.35">
      <c r="A319" t="s">
        <v>640</v>
      </c>
      <c r="B319" s="5" t="s">
        <v>641</v>
      </c>
      <c r="C319" s="4" t="s">
        <v>22</v>
      </c>
      <c r="D319" s="4" t="s">
        <v>90</v>
      </c>
      <c r="E319" s="4" t="s">
        <v>110</v>
      </c>
      <c r="F319" s="4" t="s">
        <v>25</v>
      </c>
      <c r="G319" s="4" t="s">
        <v>26</v>
      </c>
      <c r="H319" s="4" t="s">
        <v>72</v>
      </c>
      <c r="I319" s="4" t="s">
        <v>60</v>
      </c>
      <c r="J319" s="3">
        <v>9</v>
      </c>
      <c r="K319" s="6">
        <v>142866</v>
      </c>
      <c r="L319" s="6">
        <f t="shared" si="12"/>
        <v>100006.2</v>
      </c>
      <c r="M319" s="6">
        <v>42859.8</v>
      </c>
      <c r="N319" s="5" t="str">
        <f t="shared" si="13"/>
        <v>May</v>
      </c>
      <c r="O319" s="5" t="str">
        <f t="shared" si="14"/>
        <v xml:space="preserve"> 2024</v>
      </c>
    </row>
    <row r="320" spans="1:15" x14ac:dyDescent="0.35">
      <c r="A320" t="s">
        <v>642</v>
      </c>
      <c r="B320" s="5" t="s">
        <v>643</v>
      </c>
      <c r="C320" s="4" t="s">
        <v>55</v>
      </c>
      <c r="D320" s="4" t="s">
        <v>63</v>
      </c>
      <c r="E320" s="4" t="s">
        <v>64</v>
      </c>
      <c r="F320" s="4" t="s">
        <v>37</v>
      </c>
      <c r="G320" s="4" t="s">
        <v>38</v>
      </c>
      <c r="H320" s="4" t="s">
        <v>27</v>
      </c>
      <c r="I320" s="4" t="s">
        <v>39</v>
      </c>
      <c r="J320" s="3">
        <v>1</v>
      </c>
      <c r="K320" s="6">
        <v>804</v>
      </c>
      <c r="L320" s="6">
        <f t="shared" si="12"/>
        <v>562.79999999999995</v>
      </c>
      <c r="M320" s="6">
        <v>241.20000000000005</v>
      </c>
      <c r="N320" s="5" t="str">
        <f t="shared" si="13"/>
        <v>Dec</v>
      </c>
      <c r="O320" s="5" t="str">
        <f t="shared" si="14"/>
        <v xml:space="preserve"> 2023</v>
      </c>
    </row>
    <row r="321" spans="1:15" x14ac:dyDescent="0.35">
      <c r="A321" t="s">
        <v>644</v>
      </c>
      <c r="B321" s="5" t="s">
        <v>645</v>
      </c>
      <c r="C321" s="4" t="s">
        <v>13</v>
      </c>
      <c r="D321" s="4" t="s">
        <v>14</v>
      </c>
      <c r="E321" s="4" t="s">
        <v>15</v>
      </c>
      <c r="F321" s="4" t="s">
        <v>37</v>
      </c>
      <c r="G321" s="4" t="s">
        <v>186</v>
      </c>
      <c r="H321" s="4" t="s">
        <v>18</v>
      </c>
      <c r="I321" s="4" t="s">
        <v>39</v>
      </c>
      <c r="J321" s="3">
        <v>10</v>
      </c>
      <c r="K321" s="6">
        <v>416560</v>
      </c>
      <c r="L321" s="6">
        <f t="shared" si="12"/>
        <v>291592</v>
      </c>
      <c r="M321" s="6">
        <v>124968</v>
      </c>
      <c r="N321" s="5" t="str">
        <f t="shared" si="13"/>
        <v>Aug</v>
      </c>
      <c r="O321" s="5" t="str">
        <f t="shared" si="14"/>
        <v xml:space="preserve"> 2023</v>
      </c>
    </row>
    <row r="322" spans="1:15" x14ac:dyDescent="0.35">
      <c r="A322" t="s">
        <v>646</v>
      </c>
      <c r="B322" s="5" t="s">
        <v>386</v>
      </c>
      <c r="C322" s="4" t="s">
        <v>31</v>
      </c>
      <c r="D322" s="4" t="s">
        <v>32</v>
      </c>
      <c r="E322" s="4" t="s">
        <v>33</v>
      </c>
      <c r="F322" s="4" t="s">
        <v>25</v>
      </c>
      <c r="G322" s="4" t="s">
        <v>26</v>
      </c>
      <c r="H322" s="4" t="s">
        <v>72</v>
      </c>
      <c r="I322" s="4" t="s">
        <v>47</v>
      </c>
      <c r="J322" s="3">
        <v>1</v>
      </c>
      <c r="K322" s="6">
        <v>32031</v>
      </c>
      <c r="L322" s="6">
        <f t="shared" ref="L322:L385" si="15">K322*0.7</f>
        <v>22421.699999999997</v>
      </c>
      <c r="M322" s="6">
        <v>9609.3000000000029</v>
      </c>
      <c r="N322" s="5" t="str">
        <f t="shared" ref="N322:N385" si="16">TEXT(B322,"mmm")</f>
        <v>Feb</v>
      </c>
      <c r="O322" s="5" t="str">
        <f t="shared" ref="O322:O385" si="17">TEXT(B322," yyyy")</f>
        <v xml:space="preserve"> 2024</v>
      </c>
    </row>
    <row r="323" spans="1:15" x14ac:dyDescent="0.35">
      <c r="A323" t="s">
        <v>647</v>
      </c>
      <c r="B323" s="5" t="s">
        <v>648</v>
      </c>
      <c r="C323" s="4" t="s">
        <v>22</v>
      </c>
      <c r="D323" s="4" t="s">
        <v>90</v>
      </c>
      <c r="E323" s="4" t="s">
        <v>110</v>
      </c>
      <c r="F323" s="4" t="s">
        <v>25</v>
      </c>
      <c r="G323" s="4" t="s">
        <v>77</v>
      </c>
      <c r="H323" s="4" t="s">
        <v>72</v>
      </c>
      <c r="I323" s="4" t="s">
        <v>39</v>
      </c>
      <c r="J323" s="3">
        <v>2</v>
      </c>
      <c r="K323" s="6">
        <v>97922</v>
      </c>
      <c r="L323" s="6">
        <f t="shared" si="15"/>
        <v>68545.399999999994</v>
      </c>
      <c r="M323" s="6">
        <v>29376.600000000006</v>
      </c>
      <c r="N323" s="5" t="str">
        <f t="shared" si="16"/>
        <v>Oct</v>
      </c>
      <c r="O323" s="5" t="str">
        <f t="shared" si="17"/>
        <v xml:space="preserve"> 2023</v>
      </c>
    </row>
    <row r="324" spans="1:15" x14ac:dyDescent="0.35">
      <c r="A324" t="s">
        <v>649</v>
      </c>
      <c r="B324" s="5" t="s">
        <v>650</v>
      </c>
      <c r="C324" s="4" t="s">
        <v>31</v>
      </c>
      <c r="D324" s="4" t="s">
        <v>50</v>
      </c>
      <c r="E324" s="4" t="s">
        <v>51</v>
      </c>
      <c r="F324" s="4" t="s">
        <v>37</v>
      </c>
      <c r="G324" s="4" t="s">
        <v>38</v>
      </c>
      <c r="H324" s="4" t="s">
        <v>18</v>
      </c>
      <c r="I324" s="4" t="s">
        <v>28</v>
      </c>
      <c r="J324" s="3">
        <v>4</v>
      </c>
      <c r="K324" s="6">
        <v>109088</v>
      </c>
      <c r="L324" s="6">
        <f t="shared" si="15"/>
        <v>76361.599999999991</v>
      </c>
      <c r="M324" s="6">
        <v>32726.400000000009</v>
      </c>
      <c r="N324" s="5" t="str">
        <f t="shared" si="16"/>
        <v>Jan</v>
      </c>
      <c r="O324" s="5" t="str">
        <f t="shared" si="17"/>
        <v xml:space="preserve"> 2023</v>
      </c>
    </row>
    <row r="325" spans="1:15" x14ac:dyDescent="0.35">
      <c r="A325" t="s">
        <v>651</v>
      </c>
      <c r="B325" s="5" t="s">
        <v>652</v>
      </c>
      <c r="C325" s="4" t="s">
        <v>31</v>
      </c>
      <c r="D325" s="4" t="s">
        <v>32</v>
      </c>
      <c r="E325" s="4" t="s">
        <v>33</v>
      </c>
      <c r="F325" s="4" t="s">
        <v>16</v>
      </c>
      <c r="G325" s="4" t="s">
        <v>42</v>
      </c>
      <c r="H325" s="4" t="s">
        <v>27</v>
      </c>
      <c r="I325" s="4" t="s">
        <v>28</v>
      </c>
      <c r="J325" s="3">
        <v>5</v>
      </c>
      <c r="K325" s="6">
        <v>44690</v>
      </c>
      <c r="L325" s="6">
        <f t="shared" si="15"/>
        <v>31282.999999999996</v>
      </c>
      <c r="M325" s="6">
        <v>13407.000000000004</v>
      </c>
      <c r="N325" s="5" t="str">
        <f t="shared" si="16"/>
        <v>May</v>
      </c>
      <c r="O325" s="5" t="str">
        <f t="shared" si="17"/>
        <v xml:space="preserve"> 2023</v>
      </c>
    </row>
    <row r="326" spans="1:15" x14ac:dyDescent="0.35">
      <c r="A326" t="s">
        <v>653</v>
      </c>
      <c r="B326" s="5" t="s">
        <v>654</v>
      </c>
      <c r="C326" s="4" t="s">
        <v>22</v>
      </c>
      <c r="D326" s="4" t="s">
        <v>23</v>
      </c>
      <c r="E326" s="4" t="s">
        <v>24</v>
      </c>
      <c r="F326" s="4" t="s">
        <v>67</v>
      </c>
      <c r="G326" s="4" t="s">
        <v>68</v>
      </c>
      <c r="H326" s="4" t="s">
        <v>27</v>
      </c>
      <c r="I326" s="4" t="s">
        <v>47</v>
      </c>
      <c r="J326" s="3">
        <v>5</v>
      </c>
      <c r="K326" s="6">
        <v>75725</v>
      </c>
      <c r="L326" s="6">
        <f t="shared" si="15"/>
        <v>53007.5</v>
      </c>
      <c r="M326" s="6">
        <v>22717.5</v>
      </c>
      <c r="N326" s="5" t="str">
        <f t="shared" si="16"/>
        <v>Sep</v>
      </c>
      <c r="O326" s="5" t="str">
        <f t="shared" si="17"/>
        <v xml:space="preserve"> 2024</v>
      </c>
    </row>
    <row r="327" spans="1:15" x14ac:dyDescent="0.35">
      <c r="A327" t="s">
        <v>655</v>
      </c>
      <c r="B327" s="5" t="s">
        <v>656</v>
      </c>
      <c r="C327" s="4" t="s">
        <v>55</v>
      </c>
      <c r="D327" s="4" t="s">
        <v>82</v>
      </c>
      <c r="E327" s="4" t="s">
        <v>83</v>
      </c>
      <c r="F327" s="4" t="s">
        <v>67</v>
      </c>
      <c r="G327" s="4" t="s">
        <v>68</v>
      </c>
      <c r="H327" s="4" t="s">
        <v>18</v>
      </c>
      <c r="I327" s="4" t="s">
        <v>39</v>
      </c>
      <c r="J327" s="3">
        <v>3</v>
      </c>
      <c r="K327" s="6">
        <v>6291</v>
      </c>
      <c r="L327" s="6">
        <f t="shared" si="15"/>
        <v>4403.7</v>
      </c>
      <c r="M327" s="6">
        <v>1887.3000000000002</v>
      </c>
      <c r="N327" s="5" t="str">
        <f t="shared" si="16"/>
        <v>Sep</v>
      </c>
      <c r="O327" s="5" t="str">
        <f t="shared" si="17"/>
        <v xml:space="preserve"> 2024</v>
      </c>
    </row>
    <row r="328" spans="1:15" x14ac:dyDescent="0.35">
      <c r="A328" t="s">
        <v>657</v>
      </c>
      <c r="B328" s="5" t="s">
        <v>658</v>
      </c>
      <c r="C328" s="4" t="s">
        <v>13</v>
      </c>
      <c r="D328" s="4" t="s">
        <v>14</v>
      </c>
      <c r="E328" s="4" t="s">
        <v>15</v>
      </c>
      <c r="F328" s="4" t="s">
        <v>16</v>
      </c>
      <c r="G328" s="4" t="s">
        <v>122</v>
      </c>
      <c r="H328" s="4" t="s">
        <v>27</v>
      </c>
      <c r="I328" s="4" t="s">
        <v>39</v>
      </c>
      <c r="J328" s="3">
        <v>7</v>
      </c>
      <c r="K328" s="6">
        <v>328041</v>
      </c>
      <c r="L328" s="6">
        <f t="shared" si="15"/>
        <v>229628.69999999998</v>
      </c>
      <c r="M328" s="6">
        <v>98412.300000000017</v>
      </c>
      <c r="N328" s="5" t="str">
        <f t="shared" si="16"/>
        <v>Jan</v>
      </c>
      <c r="O328" s="5" t="str">
        <f t="shared" si="17"/>
        <v xml:space="preserve"> 2023</v>
      </c>
    </row>
    <row r="329" spans="1:15" x14ac:dyDescent="0.35">
      <c r="A329" t="s">
        <v>659</v>
      </c>
      <c r="B329" s="5" t="s">
        <v>660</v>
      </c>
      <c r="C329" s="4" t="s">
        <v>13</v>
      </c>
      <c r="D329" s="4" t="s">
        <v>162</v>
      </c>
      <c r="E329" s="4" t="s">
        <v>163</v>
      </c>
      <c r="F329" s="4" t="s">
        <v>37</v>
      </c>
      <c r="G329" s="4" t="s">
        <v>183</v>
      </c>
      <c r="H329" s="4" t="s">
        <v>72</v>
      </c>
      <c r="I329" s="4" t="s">
        <v>28</v>
      </c>
      <c r="J329" s="3">
        <v>5</v>
      </c>
      <c r="K329" s="6">
        <v>247970</v>
      </c>
      <c r="L329" s="6">
        <f t="shared" si="15"/>
        <v>173579</v>
      </c>
      <c r="M329" s="6">
        <v>74391</v>
      </c>
      <c r="N329" s="5" t="str">
        <f t="shared" si="16"/>
        <v>Aug</v>
      </c>
      <c r="O329" s="5" t="str">
        <f t="shared" si="17"/>
        <v xml:space="preserve"> 2024</v>
      </c>
    </row>
    <row r="330" spans="1:15" x14ac:dyDescent="0.35">
      <c r="A330" t="s">
        <v>661</v>
      </c>
      <c r="B330" s="5" t="s">
        <v>662</v>
      </c>
      <c r="C330" s="4" t="s">
        <v>31</v>
      </c>
      <c r="D330" s="4" t="s">
        <v>45</v>
      </c>
      <c r="E330" s="4" t="s">
        <v>46</v>
      </c>
      <c r="F330" s="4" t="s">
        <v>37</v>
      </c>
      <c r="G330" s="4" t="s">
        <v>38</v>
      </c>
      <c r="H330" s="4" t="s">
        <v>72</v>
      </c>
      <c r="I330" s="4" t="s">
        <v>47</v>
      </c>
      <c r="J330" s="3">
        <v>7</v>
      </c>
      <c r="K330" s="6">
        <v>25858</v>
      </c>
      <c r="L330" s="6">
        <f t="shared" si="15"/>
        <v>18100.599999999999</v>
      </c>
      <c r="M330" s="6">
        <v>7757.4000000000015</v>
      </c>
      <c r="N330" s="5" t="str">
        <f t="shared" si="16"/>
        <v>Sep</v>
      </c>
      <c r="O330" s="5" t="str">
        <f t="shared" si="17"/>
        <v xml:space="preserve"> 2024</v>
      </c>
    </row>
    <row r="331" spans="1:15" x14ac:dyDescent="0.35">
      <c r="A331" t="s">
        <v>663</v>
      </c>
      <c r="B331" s="5" t="s">
        <v>664</v>
      </c>
      <c r="C331" s="4" t="s">
        <v>22</v>
      </c>
      <c r="D331" s="4" t="s">
        <v>90</v>
      </c>
      <c r="E331" s="4" t="s">
        <v>110</v>
      </c>
      <c r="F331" s="4" t="s">
        <v>67</v>
      </c>
      <c r="G331" s="4" t="s">
        <v>113</v>
      </c>
      <c r="H331" s="4" t="s">
        <v>72</v>
      </c>
      <c r="I331" s="4" t="s">
        <v>47</v>
      </c>
      <c r="J331" s="3">
        <v>2</v>
      </c>
      <c r="K331" s="6">
        <v>38890</v>
      </c>
      <c r="L331" s="6">
        <f t="shared" si="15"/>
        <v>27223</v>
      </c>
      <c r="M331" s="6">
        <v>11667</v>
      </c>
      <c r="N331" s="5" t="str">
        <f t="shared" si="16"/>
        <v>Jan</v>
      </c>
      <c r="O331" s="5" t="str">
        <f t="shared" si="17"/>
        <v xml:space="preserve"> 2024</v>
      </c>
    </row>
    <row r="332" spans="1:15" x14ac:dyDescent="0.35">
      <c r="A332" t="s">
        <v>665</v>
      </c>
      <c r="B332" s="5" t="s">
        <v>215</v>
      </c>
      <c r="C332" s="4" t="s">
        <v>55</v>
      </c>
      <c r="D332" s="4" t="s">
        <v>63</v>
      </c>
      <c r="E332" s="4" t="s">
        <v>64</v>
      </c>
      <c r="F332" s="4" t="s">
        <v>25</v>
      </c>
      <c r="G332" s="4" t="s">
        <v>77</v>
      </c>
      <c r="H332" s="4" t="s">
        <v>72</v>
      </c>
      <c r="I332" s="4" t="s">
        <v>60</v>
      </c>
      <c r="J332" s="3">
        <v>10</v>
      </c>
      <c r="K332" s="6">
        <v>215260</v>
      </c>
      <c r="L332" s="6">
        <f t="shared" si="15"/>
        <v>150682</v>
      </c>
      <c r="M332" s="6">
        <v>64578</v>
      </c>
      <c r="N332" s="5" t="str">
        <f t="shared" si="16"/>
        <v>Jun</v>
      </c>
      <c r="O332" s="5" t="str">
        <f t="shared" si="17"/>
        <v xml:space="preserve"> 2024</v>
      </c>
    </row>
    <row r="333" spans="1:15" x14ac:dyDescent="0.35">
      <c r="A333" t="s">
        <v>666</v>
      </c>
      <c r="B333" s="5" t="s">
        <v>667</v>
      </c>
      <c r="C333" s="4" t="s">
        <v>55</v>
      </c>
      <c r="D333" s="4" t="s">
        <v>63</v>
      </c>
      <c r="E333" s="4" t="s">
        <v>64</v>
      </c>
      <c r="F333" s="4" t="s">
        <v>37</v>
      </c>
      <c r="G333" s="4" t="s">
        <v>38</v>
      </c>
      <c r="H333" s="4" t="s">
        <v>18</v>
      </c>
      <c r="I333" s="4" t="s">
        <v>39</v>
      </c>
      <c r="J333" s="3">
        <v>4</v>
      </c>
      <c r="K333" s="6">
        <v>94756</v>
      </c>
      <c r="L333" s="6">
        <f t="shared" si="15"/>
        <v>66329.2</v>
      </c>
      <c r="M333" s="6">
        <v>28426.800000000003</v>
      </c>
      <c r="N333" s="5" t="str">
        <f t="shared" si="16"/>
        <v>Apr</v>
      </c>
      <c r="O333" s="5" t="str">
        <f t="shared" si="17"/>
        <v xml:space="preserve"> 2023</v>
      </c>
    </row>
    <row r="334" spans="1:15" x14ac:dyDescent="0.35">
      <c r="A334" t="s">
        <v>668</v>
      </c>
      <c r="B334" s="5" t="s">
        <v>169</v>
      </c>
      <c r="C334" s="4" t="s">
        <v>55</v>
      </c>
      <c r="D334" s="4" t="s">
        <v>98</v>
      </c>
      <c r="E334" s="4" t="s">
        <v>99</v>
      </c>
      <c r="F334" s="4" t="s">
        <v>67</v>
      </c>
      <c r="G334" s="4" t="s">
        <v>113</v>
      </c>
      <c r="H334" s="4" t="s">
        <v>72</v>
      </c>
      <c r="I334" s="4" t="s">
        <v>19</v>
      </c>
      <c r="J334" s="3">
        <v>4</v>
      </c>
      <c r="K334" s="6">
        <v>45152</v>
      </c>
      <c r="L334" s="6">
        <f t="shared" si="15"/>
        <v>31606.399999999998</v>
      </c>
      <c r="M334" s="6">
        <v>13545.600000000002</v>
      </c>
      <c r="N334" s="5" t="str">
        <f t="shared" si="16"/>
        <v>Jul</v>
      </c>
      <c r="O334" s="5" t="str">
        <f t="shared" si="17"/>
        <v xml:space="preserve"> 2024</v>
      </c>
    </row>
    <row r="335" spans="1:15" x14ac:dyDescent="0.35">
      <c r="A335" t="s">
        <v>669</v>
      </c>
      <c r="B335" s="5" t="s">
        <v>131</v>
      </c>
      <c r="C335" s="4" t="s">
        <v>55</v>
      </c>
      <c r="D335" s="4" t="s">
        <v>56</v>
      </c>
      <c r="E335" s="4" t="s">
        <v>57</v>
      </c>
      <c r="F335" s="4" t="s">
        <v>16</v>
      </c>
      <c r="G335" s="4" t="s">
        <v>42</v>
      </c>
      <c r="H335" s="4" t="s">
        <v>72</v>
      </c>
      <c r="I335" s="4" t="s">
        <v>39</v>
      </c>
      <c r="J335" s="3">
        <v>7</v>
      </c>
      <c r="K335" s="6">
        <v>10024</v>
      </c>
      <c r="L335" s="6">
        <f t="shared" si="15"/>
        <v>7016.7999999999993</v>
      </c>
      <c r="M335" s="6">
        <v>3007.2000000000007</v>
      </c>
      <c r="N335" s="5" t="str">
        <f t="shared" si="16"/>
        <v>Feb</v>
      </c>
      <c r="O335" s="5" t="str">
        <f t="shared" si="17"/>
        <v xml:space="preserve"> 2023</v>
      </c>
    </row>
    <row r="336" spans="1:15" x14ac:dyDescent="0.35">
      <c r="A336" t="s">
        <v>670</v>
      </c>
      <c r="B336" s="5" t="s">
        <v>546</v>
      </c>
      <c r="C336" s="4" t="s">
        <v>22</v>
      </c>
      <c r="D336" s="4" t="s">
        <v>23</v>
      </c>
      <c r="E336" s="4" t="s">
        <v>24</v>
      </c>
      <c r="F336" s="4" t="s">
        <v>37</v>
      </c>
      <c r="G336" s="4" t="s">
        <v>183</v>
      </c>
      <c r="H336" s="4" t="s">
        <v>27</v>
      </c>
      <c r="I336" s="4" t="s">
        <v>28</v>
      </c>
      <c r="J336" s="3">
        <v>5</v>
      </c>
      <c r="K336" s="6">
        <v>161640</v>
      </c>
      <c r="L336" s="6">
        <f t="shared" si="15"/>
        <v>113148</v>
      </c>
      <c r="M336" s="6">
        <v>48492</v>
      </c>
      <c r="N336" s="5" t="str">
        <f t="shared" si="16"/>
        <v>Feb</v>
      </c>
      <c r="O336" s="5" t="str">
        <f t="shared" si="17"/>
        <v xml:space="preserve"> 2023</v>
      </c>
    </row>
    <row r="337" spans="1:15" x14ac:dyDescent="0.35">
      <c r="A337" t="s">
        <v>671</v>
      </c>
      <c r="B337" s="5" t="s">
        <v>169</v>
      </c>
      <c r="C337" s="4" t="s">
        <v>13</v>
      </c>
      <c r="D337" s="4" t="s">
        <v>14</v>
      </c>
      <c r="E337" s="4" t="s">
        <v>15</v>
      </c>
      <c r="F337" s="4" t="s">
        <v>37</v>
      </c>
      <c r="G337" s="4" t="s">
        <v>148</v>
      </c>
      <c r="H337" s="4" t="s">
        <v>18</v>
      </c>
      <c r="I337" s="4" t="s">
        <v>28</v>
      </c>
      <c r="J337" s="3">
        <v>6</v>
      </c>
      <c r="K337" s="6">
        <v>167724</v>
      </c>
      <c r="L337" s="6">
        <f t="shared" si="15"/>
        <v>117406.79999999999</v>
      </c>
      <c r="M337" s="6">
        <v>50317.200000000012</v>
      </c>
      <c r="N337" s="5" t="str">
        <f t="shared" si="16"/>
        <v>Jul</v>
      </c>
      <c r="O337" s="5" t="str">
        <f t="shared" si="17"/>
        <v xml:space="preserve"> 2024</v>
      </c>
    </row>
    <row r="338" spans="1:15" x14ac:dyDescent="0.35">
      <c r="A338" t="s">
        <v>672</v>
      </c>
      <c r="B338" s="5" t="s">
        <v>673</v>
      </c>
      <c r="C338" s="4" t="s">
        <v>22</v>
      </c>
      <c r="D338" s="4" t="s">
        <v>23</v>
      </c>
      <c r="E338" s="4" t="s">
        <v>24</v>
      </c>
      <c r="F338" s="4" t="s">
        <v>37</v>
      </c>
      <c r="G338" s="4" t="s">
        <v>148</v>
      </c>
      <c r="H338" s="4" t="s">
        <v>18</v>
      </c>
      <c r="I338" s="4" t="s">
        <v>60</v>
      </c>
      <c r="J338" s="3">
        <v>8</v>
      </c>
      <c r="K338" s="6">
        <v>384624</v>
      </c>
      <c r="L338" s="6">
        <f t="shared" si="15"/>
        <v>269236.8</v>
      </c>
      <c r="M338" s="6">
        <v>115387.20000000001</v>
      </c>
      <c r="N338" s="5" t="str">
        <f t="shared" si="16"/>
        <v>May</v>
      </c>
      <c r="O338" s="5" t="str">
        <f t="shared" si="17"/>
        <v xml:space="preserve"> 2023</v>
      </c>
    </row>
    <row r="339" spans="1:15" x14ac:dyDescent="0.35">
      <c r="A339" t="s">
        <v>674</v>
      </c>
      <c r="B339" s="5" t="s">
        <v>675</v>
      </c>
      <c r="C339" s="4" t="s">
        <v>22</v>
      </c>
      <c r="D339" s="4" t="s">
        <v>23</v>
      </c>
      <c r="E339" s="4" t="s">
        <v>24</v>
      </c>
      <c r="F339" s="4" t="s">
        <v>67</v>
      </c>
      <c r="G339" s="4" t="s">
        <v>180</v>
      </c>
      <c r="H339" s="4" t="s">
        <v>18</v>
      </c>
      <c r="I339" s="4" t="s">
        <v>19</v>
      </c>
      <c r="J339" s="3">
        <v>4</v>
      </c>
      <c r="K339" s="6">
        <v>129556</v>
      </c>
      <c r="L339" s="6">
        <f t="shared" si="15"/>
        <v>90689.2</v>
      </c>
      <c r="M339" s="6">
        <v>38866.800000000003</v>
      </c>
      <c r="N339" s="5" t="str">
        <f t="shared" si="16"/>
        <v>Aug</v>
      </c>
      <c r="O339" s="5" t="str">
        <f t="shared" si="17"/>
        <v xml:space="preserve"> 2023</v>
      </c>
    </row>
    <row r="340" spans="1:15" x14ac:dyDescent="0.35">
      <c r="A340" t="s">
        <v>676</v>
      </c>
      <c r="B340" s="5" t="s">
        <v>475</v>
      </c>
      <c r="C340" s="4" t="s">
        <v>13</v>
      </c>
      <c r="D340" s="4" t="s">
        <v>14</v>
      </c>
      <c r="E340" s="4" t="s">
        <v>15</v>
      </c>
      <c r="F340" s="4" t="s">
        <v>67</v>
      </c>
      <c r="G340" s="4" t="s">
        <v>134</v>
      </c>
      <c r="H340" s="4" t="s">
        <v>27</v>
      </c>
      <c r="I340" s="4" t="s">
        <v>39</v>
      </c>
      <c r="J340" s="3">
        <v>5</v>
      </c>
      <c r="K340" s="6">
        <v>43985</v>
      </c>
      <c r="L340" s="6">
        <f t="shared" si="15"/>
        <v>30789.499999999996</v>
      </c>
      <c r="M340" s="6">
        <v>13195.500000000004</v>
      </c>
      <c r="N340" s="5" t="str">
        <f t="shared" si="16"/>
        <v>Jun</v>
      </c>
      <c r="O340" s="5" t="str">
        <f t="shared" si="17"/>
        <v xml:space="preserve"> 2023</v>
      </c>
    </row>
    <row r="341" spans="1:15" x14ac:dyDescent="0.35">
      <c r="A341" t="s">
        <v>677</v>
      </c>
      <c r="B341" s="5" t="s">
        <v>678</v>
      </c>
      <c r="C341" s="4" t="s">
        <v>55</v>
      </c>
      <c r="D341" s="4" t="s">
        <v>63</v>
      </c>
      <c r="E341" s="4" t="s">
        <v>64</v>
      </c>
      <c r="F341" s="4" t="s">
        <v>25</v>
      </c>
      <c r="G341" s="4" t="s">
        <v>71</v>
      </c>
      <c r="H341" s="4" t="s">
        <v>72</v>
      </c>
      <c r="I341" s="4" t="s">
        <v>19</v>
      </c>
      <c r="J341" s="3">
        <v>7</v>
      </c>
      <c r="K341" s="6">
        <v>96271</v>
      </c>
      <c r="L341" s="6">
        <f t="shared" si="15"/>
        <v>67389.7</v>
      </c>
      <c r="M341" s="6">
        <v>28881.300000000003</v>
      </c>
      <c r="N341" s="5" t="str">
        <f t="shared" si="16"/>
        <v>Oct</v>
      </c>
      <c r="O341" s="5" t="str">
        <f t="shared" si="17"/>
        <v xml:space="preserve"> 2023</v>
      </c>
    </row>
    <row r="342" spans="1:15" x14ac:dyDescent="0.35">
      <c r="A342" t="s">
        <v>679</v>
      </c>
      <c r="B342" s="5" t="s">
        <v>680</v>
      </c>
      <c r="C342" s="4" t="s">
        <v>22</v>
      </c>
      <c r="D342" s="4" t="s">
        <v>90</v>
      </c>
      <c r="E342" s="4" t="s">
        <v>91</v>
      </c>
      <c r="F342" s="4" t="s">
        <v>25</v>
      </c>
      <c r="G342" s="4" t="s">
        <v>52</v>
      </c>
      <c r="H342" s="4" t="s">
        <v>18</v>
      </c>
      <c r="I342" s="4" t="s">
        <v>39</v>
      </c>
      <c r="J342" s="3">
        <v>6</v>
      </c>
      <c r="K342" s="6">
        <v>181920</v>
      </c>
      <c r="L342" s="6">
        <f t="shared" si="15"/>
        <v>127343.99999999999</v>
      </c>
      <c r="M342" s="6">
        <v>54576.000000000015</v>
      </c>
      <c r="N342" s="5" t="str">
        <f t="shared" si="16"/>
        <v>Mar</v>
      </c>
      <c r="O342" s="5" t="str">
        <f t="shared" si="17"/>
        <v xml:space="preserve"> 2024</v>
      </c>
    </row>
    <row r="343" spans="1:15" x14ac:dyDescent="0.35">
      <c r="A343" t="s">
        <v>681</v>
      </c>
      <c r="B343" s="5" t="s">
        <v>682</v>
      </c>
      <c r="C343" s="4" t="s">
        <v>13</v>
      </c>
      <c r="D343" s="4" t="s">
        <v>14</v>
      </c>
      <c r="E343" s="4" t="s">
        <v>15</v>
      </c>
      <c r="F343" s="4" t="s">
        <v>67</v>
      </c>
      <c r="G343" s="4" t="s">
        <v>68</v>
      </c>
      <c r="H343" s="4" t="s">
        <v>18</v>
      </c>
      <c r="I343" s="4" t="s">
        <v>60</v>
      </c>
      <c r="J343" s="3">
        <v>8</v>
      </c>
      <c r="K343" s="6">
        <v>393112</v>
      </c>
      <c r="L343" s="6">
        <f t="shared" si="15"/>
        <v>275178.39999999997</v>
      </c>
      <c r="M343" s="6">
        <v>117933.60000000003</v>
      </c>
      <c r="N343" s="5" t="str">
        <f t="shared" si="16"/>
        <v>Jan</v>
      </c>
      <c r="O343" s="5" t="str">
        <f t="shared" si="17"/>
        <v xml:space="preserve"> 2024</v>
      </c>
    </row>
    <row r="344" spans="1:15" x14ac:dyDescent="0.35">
      <c r="A344" t="s">
        <v>683</v>
      </c>
      <c r="B344" s="5" t="s">
        <v>684</v>
      </c>
      <c r="C344" s="4" t="s">
        <v>13</v>
      </c>
      <c r="D344" s="4" t="s">
        <v>162</v>
      </c>
      <c r="E344" s="4" t="s">
        <v>163</v>
      </c>
      <c r="F344" s="4" t="s">
        <v>37</v>
      </c>
      <c r="G344" s="4" t="s">
        <v>183</v>
      </c>
      <c r="H344" s="4" t="s">
        <v>72</v>
      </c>
      <c r="I344" s="4" t="s">
        <v>39</v>
      </c>
      <c r="J344" s="3">
        <v>10</v>
      </c>
      <c r="K344" s="6">
        <v>371070</v>
      </c>
      <c r="L344" s="6">
        <f t="shared" si="15"/>
        <v>259748.99999999997</v>
      </c>
      <c r="M344" s="6">
        <v>111321.00000000003</v>
      </c>
      <c r="N344" s="5" t="str">
        <f t="shared" si="16"/>
        <v>Aug</v>
      </c>
      <c r="O344" s="5" t="str">
        <f t="shared" si="17"/>
        <v xml:space="preserve"> 2024</v>
      </c>
    </row>
    <row r="345" spans="1:15" x14ac:dyDescent="0.35">
      <c r="A345" t="s">
        <v>685</v>
      </c>
      <c r="B345" s="5" t="s">
        <v>686</v>
      </c>
      <c r="C345" s="4" t="s">
        <v>13</v>
      </c>
      <c r="D345" s="4" t="s">
        <v>162</v>
      </c>
      <c r="E345" s="4" t="s">
        <v>163</v>
      </c>
      <c r="F345" s="4" t="s">
        <v>37</v>
      </c>
      <c r="G345" s="4" t="s">
        <v>148</v>
      </c>
      <c r="H345" s="4" t="s">
        <v>18</v>
      </c>
      <c r="I345" s="4" t="s">
        <v>28</v>
      </c>
      <c r="J345" s="3">
        <v>2</v>
      </c>
      <c r="K345" s="6">
        <v>34088</v>
      </c>
      <c r="L345" s="6">
        <f t="shared" si="15"/>
        <v>23861.599999999999</v>
      </c>
      <c r="M345" s="6">
        <v>10226.400000000001</v>
      </c>
      <c r="N345" s="5" t="str">
        <f t="shared" si="16"/>
        <v>Apr</v>
      </c>
      <c r="O345" s="5" t="str">
        <f t="shared" si="17"/>
        <v xml:space="preserve"> 2024</v>
      </c>
    </row>
    <row r="346" spans="1:15" x14ac:dyDescent="0.35">
      <c r="A346" t="s">
        <v>687</v>
      </c>
      <c r="B346" s="5" t="s">
        <v>688</v>
      </c>
      <c r="C346" s="4" t="s">
        <v>31</v>
      </c>
      <c r="D346" s="4" t="s">
        <v>50</v>
      </c>
      <c r="E346" s="4" t="s">
        <v>51</v>
      </c>
      <c r="F346" s="4" t="s">
        <v>25</v>
      </c>
      <c r="G346" s="4" t="s">
        <v>71</v>
      </c>
      <c r="H346" s="4" t="s">
        <v>72</v>
      </c>
      <c r="I346" s="4" t="s">
        <v>28</v>
      </c>
      <c r="J346" s="3">
        <v>8</v>
      </c>
      <c r="K346" s="6">
        <v>382800</v>
      </c>
      <c r="L346" s="6">
        <f t="shared" si="15"/>
        <v>267960</v>
      </c>
      <c r="M346" s="6">
        <v>114840</v>
      </c>
      <c r="N346" s="5" t="str">
        <f t="shared" si="16"/>
        <v>Oct</v>
      </c>
      <c r="O346" s="5" t="str">
        <f t="shared" si="17"/>
        <v xml:space="preserve"> 2024</v>
      </c>
    </row>
    <row r="347" spans="1:15" x14ac:dyDescent="0.35">
      <c r="A347" t="s">
        <v>689</v>
      </c>
      <c r="B347" s="5" t="s">
        <v>398</v>
      </c>
      <c r="C347" s="4" t="s">
        <v>31</v>
      </c>
      <c r="D347" s="4" t="s">
        <v>104</v>
      </c>
      <c r="E347" s="4" t="s">
        <v>105</v>
      </c>
      <c r="F347" s="4" t="s">
        <v>67</v>
      </c>
      <c r="G347" s="4" t="s">
        <v>68</v>
      </c>
      <c r="H347" s="4" t="s">
        <v>18</v>
      </c>
      <c r="I347" s="4" t="s">
        <v>28</v>
      </c>
      <c r="J347" s="3">
        <v>6</v>
      </c>
      <c r="K347" s="6">
        <v>3678</v>
      </c>
      <c r="L347" s="6">
        <f t="shared" si="15"/>
        <v>2574.6</v>
      </c>
      <c r="M347" s="6">
        <v>1103.4000000000001</v>
      </c>
      <c r="N347" s="5" t="str">
        <f t="shared" si="16"/>
        <v>Aug</v>
      </c>
      <c r="O347" s="5" t="str">
        <f t="shared" si="17"/>
        <v xml:space="preserve"> 2024</v>
      </c>
    </row>
    <row r="348" spans="1:15" x14ac:dyDescent="0.35">
      <c r="A348" t="s">
        <v>690</v>
      </c>
      <c r="B348" s="5" t="s">
        <v>675</v>
      </c>
      <c r="C348" s="4" t="s">
        <v>31</v>
      </c>
      <c r="D348" s="4" t="s">
        <v>32</v>
      </c>
      <c r="E348" s="4" t="s">
        <v>33</v>
      </c>
      <c r="F348" s="4" t="s">
        <v>37</v>
      </c>
      <c r="G348" s="4" t="s">
        <v>148</v>
      </c>
      <c r="H348" s="4" t="s">
        <v>18</v>
      </c>
      <c r="I348" s="4" t="s">
        <v>39</v>
      </c>
      <c r="J348" s="3">
        <v>2</v>
      </c>
      <c r="K348" s="6">
        <v>47378</v>
      </c>
      <c r="L348" s="6">
        <f t="shared" si="15"/>
        <v>33164.6</v>
      </c>
      <c r="M348" s="6">
        <v>14213.400000000001</v>
      </c>
      <c r="N348" s="5" t="str">
        <f t="shared" si="16"/>
        <v>Aug</v>
      </c>
      <c r="O348" s="5" t="str">
        <f t="shared" si="17"/>
        <v xml:space="preserve"> 2023</v>
      </c>
    </row>
    <row r="349" spans="1:15" x14ac:dyDescent="0.35">
      <c r="A349" t="s">
        <v>691</v>
      </c>
      <c r="B349" s="5" t="s">
        <v>692</v>
      </c>
      <c r="C349" s="4" t="s">
        <v>13</v>
      </c>
      <c r="D349" s="4" t="s">
        <v>118</v>
      </c>
      <c r="E349" s="4" t="s">
        <v>119</v>
      </c>
      <c r="F349" s="4" t="s">
        <v>37</v>
      </c>
      <c r="G349" s="4" t="s">
        <v>38</v>
      </c>
      <c r="H349" s="4" t="s">
        <v>18</v>
      </c>
      <c r="I349" s="4" t="s">
        <v>28</v>
      </c>
      <c r="J349" s="3">
        <v>2</v>
      </c>
      <c r="K349" s="6">
        <v>24792</v>
      </c>
      <c r="L349" s="6">
        <f t="shared" si="15"/>
        <v>17354.399999999998</v>
      </c>
      <c r="M349" s="6">
        <v>7437.6000000000022</v>
      </c>
      <c r="N349" s="5" t="str">
        <f t="shared" si="16"/>
        <v>Mar</v>
      </c>
      <c r="O349" s="5" t="str">
        <f t="shared" si="17"/>
        <v xml:space="preserve"> 2024</v>
      </c>
    </row>
    <row r="350" spans="1:15" x14ac:dyDescent="0.35">
      <c r="A350" t="s">
        <v>693</v>
      </c>
      <c r="B350" s="5" t="s">
        <v>694</v>
      </c>
      <c r="C350" s="4" t="s">
        <v>55</v>
      </c>
      <c r="D350" s="4" t="s">
        <v>98</v>
      </c>
      <c r="E350" s="4" t="s">
        <v>99</v>
      </c>
      <c r="F350" s="4" t="s">
        <v>25</v>
      </c>
      <c r="G350" s="4" t="s">
        <v>77</v>
      </c>
      <c r="H350" s="4" t="s">
        <v>72</v>
      </c>
      <c r="I350" s="4" t="s">
        <v>39</v>
      </c>
      <c r="J350" s="3">
        <v>1</v>
      </c>
      <c r="K350" s="6">
        <v>6742</v>
      </c>
      <c r="L350" s="6">
        <f t="shared" si="15"/>
        <v>4719.3999999999996</v>
      </c>
      <c r="M350" s="6">
        <v>2022.6000000000004</v>
      </c>
      <c r="N350" s="5" t="str">
        <f t="shared" si="16"/>
        <v>Jun</v>
      </c>
      <c r="O350" s="5" t="str">
        <f t="shared" si="17"/>
        <v xml:space="preserve"> 2024</v>
      </c>
    </row>
    <row r="351" spans="1:15" x14ac:dyDescent="0.35">
      <c r="A351" t="s">
        <v>695</v>
      </c>
      <c r="B351" s="5" t="s">
        <v>574</v>
      </c>
      <c r="C351" s="4" t="s">
        <v>13</v>
      </c>
      <c r="D351" s="4" t="s">
        <v>162</v>
      </c>
      <c r="E351" s="4" t="s">
        <v>163</v>
      </c>
      <c r="F351" s="4" t="s">
        <v>25</v>
      </c>
      <c r="G351" s="4" t="s">
        <v>77</v>
      </c>
      <c r="H351" s="4" t="s">
        <v>27</v>
      </c>
      <c r="I351" s="4" t="s">
        <v>28</v>
      </c>
      <c r="J351" s="3">
        <v>3</v>
      </c>
      <c r="K351" s="6">
        <v>57351</v>
      </c>
      <c r="L351" s="6">
        <f t="shared" si="15"/>
        <v>40145.699999999997</v>
      </c>
      <c r="M351" s="6">
        <v>17205.300000000003</v>
      </c>
      <c r="N351" s="5" t="str">
        <f t="shared" si="16"/>
        <v>Jan</v>
      </c>
      <c r="O351" s="5" t="str">
        <f t="shared" si="17"/>
        <v xml:space="preserve"> 2023</v>
      </c>
    </row>
    <row r="352" spans="1:15" x14ac:dyDescent="0.35">
      <c r="A352" t="s">
        <v>696</v>
      </c>
      <c r="B352" s="5" t="s">
        <v>697</v>
      </c>
      <c r="C352" s="4" t="s">
        <v>55</v>
      </c>
      <c r="D352" s="4" t="s">
        <v>82</v>
      </c>
      <c r="E352" s="4" t="s">
        <v>83</v>
      </c>
      <c r="F352" s="4" t="s">
        <v>25</v>
      </c>
      <c r="G352" s="4" t="s">
        <v>71</v>
      </c>
      <c r="H352" s="4" t="s">
        <v>18</v>
      </c>
      <c r="I352" s="4" t="s">
        <v>19</v>
      </c>
      <c r="J352" s="3">
        <v>9</v>
      </c>
      <c r="K352" s="6">
        <v>85869</v>
      </c>
      <c r="L352" s="6">
        <f t="shared" si="15"/>
        <v>60108.299999999996</v>
      </c>
      <c r="M352" s="6">
        <v>25760.700000000004</v>
      </c>
      <c r="N352" s="5" t="str">
        <f t="shared" si="16"/>
        <v>Jun</v>
      </c>
      <c r="O352" s="5" t="str">
        <f t="shared" si="17"/>
        <v xml:space="preserve"> 2023</v>
      </c>
    </row>
    <row r="353" spans="1:15" x14ac:dyDescent="0.35">
      <c r="A353" t="s">
        <v>698</v>
      </c>
      <c r="B353" s="5" t="s">
        <v>699</v>
      </c>
      <c r="C353" s="4" t="s">
        <v>22</v>
      </c>
      <c r="D353" s="4" t="s">
        <v>86</v>
      </c>
      <c r="E353" s="4" t="s">
        <v>87</v>
      </c>
      <c r="F353" s="4" t="s">
        <v>37</v>
      </c>
      <c r="G353" s="4" t="s">
        <v>148</v>
      </c>
      <c r="H353" s="4" t="s">
        <v>27</v>
      </c>
      <c r="I353" s="4" t="s">
        <v>28</v>
      </c>
      <c r="J353" s="3">
        <v>4</v>
      </c>
      <c r="K353" s="6">
        <v>46344</v>
      </c>
      <c r="L353" s="6">
        <f t="shared" si="15"/>
        <v>32440.799999999999</v>
      </c>
      <c r="M353" s="6">
        <v>13903.2</v>
      </c>
      <c r="N353" s="5" t="str">
        <f t="shared" si="16"/>
        <v>Mar</v>
      </c>
      <c r="O353" s="5" t="str">
        <f t="shared" si="17"/>
        <v xml:space="preserve"> 2024</v>
      </c>
    </row>
    <row r="354" spans="1:15" x14ac:dyDescent="0.35">
      <c r="A354" t="s">
        <v>700</v>
      </c>
      <c r="B354" s="5" t="s">
        <v>701</v>
      </c>
      <c r="C354" s="4" t="s">
        <v>13</v>
      </c>
      <c r="D354" s="4" t="s">
        <v>14</v>
      </c>
      <c r="E354" s="4" t="s">
        <v>15</v>
      </c>
      <c r="F354" s="4" t="s">
        <v>37</v>
      </c>
      <c r="G354" s="4" t="s">
        <v>183</v>
      </c>
      <c r="H354" s="4" t="s">
        <v>72</v>
      </c>
      <c r="I354" s="4" t="s">
        <v>19</v>
      </c>
      <c r="J354" s="3">
        <v>3</v>
      </c>
      <c r="K354" s="6">
        <v>37308</v>
      </c>
      <c r="L354" s="6">
        <f t="shared" si="15"/>
        <v>26115.599999999999</v>
      </c>
      <c r="M354" s="6">
        <v>11192.400000000001</v>
      </c>
      <c r="N354" s="5" t="str">
        <f t="shared" si="16"/>
        <v>May</v>
      </c>
      <c r="O354" s="5" t="str">
        <f t="shared" si="17"/>
        <v xml:space="preserve"> 2023</v>
      </c>
    </row>
    <row r="355" spans="1:15" x14ac:dyDescent="0.35">
      <c r="A355" t="s">
        <v>702</v>
      </c>
      <c r="B355" s="5" t="s">
        <v>215</v>
      </c>
      <c r="C355" s="4" t="s">
        <v>31</v>
      </c>
      <c r="D355" s="4" t="s">
        <v>50</v>
      </c>
      <c r="E355" s="4" t="s">
        <v>51</v>
      </c>
      <c r="F355" s="4" t="s">
        <v>67</v>
      </c>
      <c r="G355" s="4" t="s">
        <v>134</v>
      </c>
      <c r="H355" s="4" t="s">
        <v>27</v>
      </c>
      <c r="I355" s="4" t="s">
        <v>60</v>
      </c>
      <c r="J355" s="3">
        <v>9</v>
      </c>
      <c r="K355" s="6">
        <v>211311</v>
      </c>
      <c r="L355" s="6">
        <f t="shared" si="15"/>
        <v>147917.69999999998</v>
      </c>
      <c r="M355" s="6">
        <v>63393.300000000017</v>
      </c>
      <c r="N355" s="5" t="str">
        <f t="shared" si="16"/>
        <v>Jun</v>
      </c>
      <c r="O355" s="5" t="str">
        <f t="shared" si="17"/>
        <v xml:space="preserve"> 2024</v>
      </c>
    </row>
    <row r="356" spans="1:15" x14ac:dyDescent="0.35">
      <c r="A356" t="s">
        <v>703</v>
      </c>
      <c r="B356" s="5" t="s">
        <v>704</v>
      </c>
      <c r="C356" s="4" t="s">
        <v>13</v>
      </c>
      <c r="D356" s="4" t="s">
        <v>125</v>
      </c>
      <c r="E356" s="4" t="s">
        <v>126</v>
      </c>
      <c r="F356" s="4" t="s">
        <v>25</v>
      </c>
      <c r="G356" s="4" t="s">
        <v>71</v>
      </c>
      <c r="H356" s="4" t="s">
        <v>72</v>
      </c>
      <c r="I356" s="4" t="s">
        <v>28</v>
      </c>
      <c r="J356" s="3">
        <v>3</v>
      </c>
      <c r="K356" s="6">
        <v>39648</v>
      </c>
      <c r="L356" s="6">
        <f t="shared" si="15"/>
        <v>27753.599999999999</v>
      </c>
      <c r="M356" s="6">
        <v>11894.400000000001</v>
      </c>
      <c r="N356" s="5" t="str">
        <f t="shared" si="16"/>
        <v>Dec</v>
      </c>
      <c r="O356" s="5" t="str">
        <f t="shared" si="17"/>
        <v xml:space="preserve"> 2024</v>
      </c>
    </row>
    <row r="357" spans="1:15" x14ac:dyDescent="0.35">
      <c r="A357" t="s">
        <v>705</v>
      </c>
      <c r="B357" s="5" t="s">
        <v>471</v>
      </c>
      <c r="C357" s="4" t="s">
        <v>13</v>
      </c>
      <c r="D357" s="4" t="s">
        <v>14</v>
      </c>
      <c r="E357" s="4" t="s">
        <v>15</v>
      </c>
      <c r="F357" s="4" t="s">
        <v>67</v>
      </c>
      <c r="G357" s="4" t="s">
        <v>113</v>
      </c>
      <c r="H357" s="4" t="s">
        <v>27</v>
      </c>
      <c r="I357" s="4" t="s">
        <v>39</v>
      </c>
      <c r="J357" s="3">
        <v>2</v>
      </c>
      <c r="K357" s="6">
        <v>53702</v>
      </c>
      <c r="L357" s="6">
        <f t="shared" si="15"/>
        <v>37591.399999999994</v>
      </c>
      <c r="M357" s="6">
        <v>16110.600000000006</v>
      </c>
      <c r="N357" s="5" t="str">
        <f t="shared" si="16"/>
        <v>Oct</v>
      </c>
      <c r="O357" s="5" t="str">
        <f t="shared" si="17"/>
        <v xml:space="preserve"> 2023</v>
      </c>
    </row>
    <row r="358" spans="1:15" x14ac:dyDescent="0.35">
      <c r="A358" t="s">
        <v>706</v>
      </c>
      <c r="B358" s="5" t="s">
        <v>707</v>
      </c>
      <c r="C358" s="4" t="s">
        <v>13</v>
      </c>
      <c r="D358" s="4" t="s">
        <v>162</v>
      </c>
      <c r="E358" s="4" t="s">
        <v>163</v>
      </c>
      <c r="F358" s="4" t="s">
        <v>25</v>
      </c>
      <c r="G358" s="4" t="s">
        <v>71</v>
      </c>
      <c r="H358" s="4" t="s">
        <v>27</v>
      </c>
      <c r="I358" s="4" t="s">
        <v>60</v>
      </c>
      <c r="J358" s="3">
        <v>8</v>
      </c>
      <c r="K358" s="6">
        <v>396312</v>
      </c>
      <c r="L358" s="6">
        <f t="shared" si="15"/>
        <v>277418.39999999997</v>
      </c>
      <c r="M358" s="6">
        <v>118893.60000000003</v>
      </c>
      <c r="N358" s="5" t="str">
        <f t="shared" si="16"/>
        <v>Aug</v>
      </c>
      <c r="O358" s="5" t="str">
        <f t="shared" si="17"/>
        <v xml:space="preserve"> 2023</v>
      </c>
    </row>
    <row r="359" spans="1:15" x14ac:dyDescent="0.35">
      <c r="A359" t="s">
        <v>708</v>
      </c>
      <c r="B359" s="5" t="s">
        <v>709</v>
      </c>
      <c r="C359" s="4" t="s">
        <v>13</v>
      </c>
      <c r="D359" s="4" t="s">
        <v>162</v>
      </c>
      <c r="E359" s="4" t="s">
        <v>163</v>
      </c>
      <c r="F359" s="4" t="s">
        <v>37</v>
      </c>
      <c r="G359" s="4" t="s">
        <v>183</v>
      </c>
      <c r="H359" s="4" t="s">
        <v>72</v>
      </c>
      <c r="I359" s="4" t="s">
        <v>39</v>
      </c>
      <c r="J359" s="3">
        <v>9</v>
      </c>
      <c r="K359" s="6">
        <v>273258</v>
      </c>
      <c r="L359" s="6">
        <f t="shared" si="15"/>
        <v>191280.59999999998</v>
      </c>
      <c r="M359" s="6">
        <v>81977.400000000023</v>
      </c>
      <c r="N359" s="5" t="str">
        <f t="shared" si="16"/>
        <v>Jun</v>
      </c>
      <c r="O359" s="5" t="str">
        <f t="shared" si="17"/>
        <v xml:space="preserve"> 2024</v>
      </c>
    </row>
    <row r="360" spans="1:15" x14ac:dyDescent="0.35">
      <c r="A360" t="s">
        <v>710</v>
      </c>
      <c r="B360" s="5" t="s">
        <v>711</v>
      </c>
      <c r="C360" s="4" t="s">
        <v>31</v>
      </c>
      <c r="D360" s="4" t="s">
        <v>45</v>
      </c>
      <c r="E360" s="4" t="s">
        <v>46</v>
      </c>
      <c r="F360" s="4" t="s">
        <v>67</v>
      </c>
      <c r="G360" s="4" t="s">
        <v>68</v>
      </c>
      <c r="H360" s="4" t="s">
        <v>72</v>
      </c>
      <c r="I360" s="4" t="s">
        <v>47</v>
      </c>
      <c r="J360" s="3">
        <v>9</v>
      </c>
      <c r="K360" s="6">
        <v>79956</v>
      </c>
      <c r="L360" s="6">
        <f t="shared" si="15"/>
        <v>55969.2</v>
      </c>
      <c r="M360" s="6">
        <v>23986.800000000003</v>
      </c>
      <c r="N360" s="5" t="str">
        <f t="shared" si="16"/>
        <v>Nov</v>
      </c>
      <c r="O360" s="5" t="str">
        <f t="shared" si="17"/>
        <v xml:space="preserve"> 2024</v>
      </c>
    </row>
    <row r="361" spans="1:15" x14ac:dyDescent="0.35">
      <c r="A361" t="s">
        <v>712</v>
      </c>
      <c r="B361" s="5" t="s">
        <v>542</v>
      </c>
      <c r="C361" s="4" t="s">
        <v>13</v>
      </c>
      <c r="D361" s="4" t="s">
        <v>14</v>
      </c>
      <c r="E361" s="4" t="s">
        <v>15</v>
      </c>
      <c r="F361" s="4" t="s">
        <v>16</v>
      </c>
      <c r="G361" s="4" t="s">
        <v>17</v>
      </c>
      <c r="H361" s="4" t="s">
        <v>18</v>
      </c>
      <c r="I361" s="4" t="s">
        <v>47</v>
      </c>
      <c r="J361" s="3">
        <v>10</v>
      </c>
      <c r="K361" s="6">
        <v>248700</v>
      </c>
      <c r="L361" s="6">
        <f t="shared" si="15"/>
        <v>174090</v>
      </c>
      <c r="M361" s="6">
        <v>74610</v>
      </c>
      <c r="N361" s="5" t="str">
        <f t="shared" si="16"/>
        <v>Mar</v>
      </c>
      <c r="O361" s="5" t="str">
        <f t="shared" si="17"/>
        <v xml:space="preserve"> 2024</v>
      </c>
    </row>
    <row r="362" spans="1:15" x14ac:dyDescent="0.35">
      <c r="A362" t="s">
        <v>713</v>
      </c>
      <c r="B362" s="5" t="s">
        <v>660</v>
      </c>
      <c r="C362" s="4" t="s">
        <v>22</v>
      </c>
      <c r="D362" s="4" t="s">
        <v>90</v>
      </c>
      <c r="E362" s="4" t="s">
        <v>110</v>
      </c>
      <c r="F362" s="4" t="s">
        <v>67</v>
      </c>
      <c r="G362" s="4" t="s">
        <v>134</v>
      </c>
      <c r="H362" s="4" t="s">
        <v>27</v>
      </c>
      <c r="I362" s="4" t="s">
        <v>28</v>
      </c>
      <c r="J362" s="3">
        <v>3</v>
      </c>
      <c r="K362" s="6">
        <v>34461</v>
      </c>
      <c r="L362" s="6">
        <f t="shared" si="15"/>
        <v>24122.699999999997</v>
      </c>
      <c r="M362" s="6">
        <v>10338.300000000003</v>
      </c>
      <c r="N362" s="5" t="str">
        <f t="shared" si="16"/>
        <v>Aug</v>
      </c>
      <c r="O362" s="5" t="str">
        <f t="shared" si="17"/>
        <v xml:space="preserve"> 2024</v>
      </c>
    </row>
    <row r="363" spans="1:15" x14ac:dyDescent="0.35">
      <c r="A363" t="s">
        <v>714</v>
      </c>
      <c r="B363" s="5" t="s">
        <v>715</v>
      </c>
      <c r="C363" s="4" t="s">
        <v>31</v>
      </c>
      <c r="D363" s="4" t="s">
        <v>45</v>
      </c>
      <c r="E363" s="4" t="s">
        <v>46</v>
      </c>
      <c r="F363" s="4" t="s">
        <v>37</v>
      </c>
      <c r="G363" s="4" t="s">
        <v>186</v>
      </c>
      <c r="H363" s="4" t="s">
        <v>18</v>
      </c>
      <c r="I363" s="4" t="s">
        <v>60</v>
      </c>
      <c r="J363" s="3">
        <v>6</v>
      </c>
      <c r="K363" s="6">
        <v>204966</v>
      </c>
      <c r="L363" s="6">
        <f t="shared" si="15"/>
        <v>143476.19999999998</v>
      </c>
      <c r="M363" s="6">
        <v>61489.800000000017</v>
      </c>
      <c r="N363" s="5" t="str">
        <f t="shared" si="16"/>
        <v>Jul</v>
      </c>
      <c r="O363" s="5" t="str">
        <f t="shared" si="17"/>
        <v xml:space="preserve"> 2024</v>
      </c>
    </row>
    <row r="364" spans="1:15" x14ac:dyDescent="0.35">
      <c r="A364" t="s">
        <v>716</v>
      </c>
      <c r="B364" s="5" t="s">
        <v>717</v>
      </c>
      <c r="C364" s="4" t="s">
        <v>55</v>
      </c>
      <c r="D364" s="4" t="s">
        <v>63</v>
      </c>
      <c r="E364" s="4" t="s">
        <v>64</v>
      </c>
      <c r="F364" s="4" t="s">
        <v>25</v>
      </c>
      <c r="G364" s="4" t="s">
        <v>77</v>
      </c>
      <c r="H364" s="4" t="s">
        <v>72</v>
      </c>
      <c r="I364" s="4" t="s">
        <v>19</v>
      </c>
      <c r="J364" s="3">
        <v>10</v>
      </c>
      <c r="K364" s="6">
        <v>299740</v>
      </c>
      <c r="L364" s="6">
        <f t="shared" si="15"/>
        <v>209818</v>
      </c>
      <c r="M364" s="6">
        <v>89922</v>
      </c>
      <c r="N364" s="5" t="str">
        <f t="shared" si="16"/>
        <v>Apr</v>
      </c>
      <c r="O364" s="5" t="str">
        <f t="shared" si="17"/>
        <v xml:space="preserve"> 2024</v>
      </c>
    </row>
    <row r="365" spans="1:15" x14ac:dyDescent="0.35">
      <c r="A365" t="s">
        <v>718</v>
      </c>
      <c r="B365" s="5" t="s">
        <v>719</v>
      </c>
      <c r="C365" s="4" t="s">
        <v>55</v>
      </c>
      <c r="D365" s="4" t="s">
        <v>63</v>
      </c>
      <c r="E365" s="4" t="s">
        <v>64</v>
      </c>
      <c r="F365" s="4" t="s">
        <v>37</v>
      </c>
      <c r="G365" s="4" t="s">
        <v>183</v>
      </c>
      <c r="H365" s="4" t="s">
        <v>18</v>
      </c>
      <c r="I365" s="4" t="s">
        <v>47</v>
      </c>
      <c r="J365" s="3">
        <v>2</v>
      </c>
      <c r="K365" s="6">
        <v>79714</v>
      </c>
      <c r="L365" s="6">
        <f t="shared" si="15"/>
        <v>55799.799999999996</v>
      </c>
      <c r="M365" s="6">
        <v>23914.200000000004</v>
      </c>
      <c r="N365" s="5" t="str">
        <f t="shared" si="16"/>
        <v>Jun</v>
      </c>
      <c r="O365" s="5" t="str">
        <f t="shared" si="17"/>
        <v xml:space="preserve"> 2024</v>
      </c>
    </row>
    <row r="366" spans="1:15" x14ac:dyDescent="0.35">
      <c r="A366" t="s">
        <v>720</v>
      </c>
      <c r="B366" s="5" t="s">
        <v>721</v>
      </c>
      <c r="C366" s="4" t="s">
        <v>31</v>
      </c>
      <c r="D366" s="4" t="s">
        <v>32</v>
      </c>
      <c r="E366" s="4" t="s">
        <v>33</v>
      </c>
      <c r="F366" s="4" t="s">
        <v>37</v>
      </c>
      <c r="G366" s="4" t="s">
        <v>148</v>
      </c>
      <c r="H366" s="4" t="s">
        <v>72</v>
      </c>
      <c r="I366" s="4" t="s">
        <v>19</v>
      </c>
      <c r="J366" s="3">
        <v>9</v>
      </c>
      <c r="K366" s="6">
        <v>86292</v>
      </c>
      <c r="L366" s="6">
        <f t="shared" si="15"/>
        <v>60404.399999999994</v>
      </c>
      <c r="M366" s="6">
        <v>25887.600000000006</v>
      </c>
      <c r="N366" s="5" t="str">
        <f t="shared" si="16"/>
        <v>May</v>
      </c>
      <c r="O366" s="5" t="str">
        <f t="shared" si="17"/>
        <v xml:space="preserve"> 2023</v>
      </c>
    </row>
    <row r="367" spans="1:15" x14ac:dyDescent="0.35">
      <c r="A367" t="s">
        <v>722</v>
      </c>
      <c r="B367" s="5" t="s">
        <v>723</v>
      </c>
      <c r="C367" s="4" t="s">
        <v>22</v>
      </c>
      <c r="D367" s="4" t="s">
        <v>23</v>
      </c>
      <c r="E367" s="4" t="s">
        <v>24</v>
      </c>
      <c r="F367" s="4" t="s">
        <v>25</v>
      </c>
      <c r="G367" s="4" t="s">
        <v>26</v>
      </c>
      <c r="H367" s="4" t="s">
        <v>18</v>
      </c>
      <c r="I367" s="4" t="s">
        <v>39</v>
      </c>
      <c r="J367" s="3">
        <v>7</v>
      </c>
      <c r="K367" s="6">
        <v>161525</v>
      </c>
      <c r="L367" s="6">
        <f t="shared" si="15"/>
        <v>113067.5</v>
      </c>
      <c r="M367" s="6">
        <v>48457.5</v>
      </c>
      <c r="N367" s="5" t="str">
        <f t="shared" si="16"/>
        <v>Jul</v>
      </c>
      <c r="O367" s="5" t="str">
        <f t="shared" si="17"/>
        <v xml:space="preserve"> 2023</v>
      </c>
    </row>
    <row r="368" spans="1:15" x14ac:dyDescent="0.35">
      <c r="A368" t="s">
        <v>724</v>
      </c>
      <c r="B368" s="5" t="s">
        <v>725</v>
      </c>
      <c r="C368" s="4" t="s">
        <v>31</v>
      </c>
      <c r="D368" s="4" t="s">
        <v>104</v>
      </c>
      <c r="E368" s="4" t="s">
        <v>105</v>
      </c>
      <c r="F368" s="4" t="s">
        <v>67</v>
      </c>
      <c r="G368" s="4" t="s">
        <v>134</v>
      </c>
      <c r="H368" s="4" t="s">
        <v>72</v>
      </c>
      <c r="I368" s="4" t="s">
        <v>28</v>
      </c>
      <c r="J368" s="3">
        <v>9</v>
      </c>
      <c r="K368" s="6">
        <v>438021</v>
      </c>
      <c r="L368" s="6">
        <f t="shared" si="15"/>
        <v>306614.69999999995</v>
      </c>
      <c r="M368" s="6">
        <v>131406.30000000005</v>
      </c>
      <c r="N368" s="5" t="str">
        <f t="shared" si="16"/>
        <v>Sep</v>
      </c>
      <c r="O368" s="5" t="str">
        <f t="shared" si="17"/>
        <v xml:space="preserve"> 2023</v>
      </c>
    </row>
    <row r="369" spans="1:15" x14ac:dyDescent="0.35">
      <c r="A369" t="s">
        <v>726</v>
      </c>
      <c r="B369" s="5" t="s">
        <v>727</v>
      </c>
      <c r="C369" s="4" t="s">
        <v>55</v>
      </c>
      <c r="D369" s="4" t="s">
        <v>56</v>
      </c>
      <c r="E369" s="4" t="s">
        <v>57</v>
      </c>
      <c r="F369" s="4" t="s">
        <v>25</v>
      </c>
      <c r="G369" s="4" t="s">
        <v>71</v>
      </c>
      <c r="H369" s="4" t="s">
        <v>27</v>
      </c>
      <c r="I369" s="4" t="s">
        <v>19</v>
      </c>
      <c r="J369" s="3">
        <v>1</v>
      </c>
      <c r="K369" s="6">
        <v>31828</v>
      </c>
      <c r="L369" s="6">
        <f t="shared" si="15"/>
        <v>22279.599999999999</v>
      </c>
      <c r="M369" s="6">
        <v>9548.4000000000015</v>
      </c>
      <c r="N369" s="5" t="str">
        <f t="shared" si="16"/>
        <v>Apr</v>
      </c>
      <c r="O369" s="5" t="str">
        <f t="shared" si="17"/>
        <v xml:space="preserve"> 2023</v>
      </c>
    </row>
    <row r="370" spans="1:15" x14ac:dyDescent="0.35">
      <c r="A370" t="s">
        <v>728</v>
      </c>
      <c r="B370" s="5" t="s">
        <v>729</v>
      </c>
      <c r="C370" s="4" t="s">
        <v>55</v>
      </c>
      <c r="D370" s="4" t="s">
        <v>63</v>
      </c>
      <c r="E370" s="4" t="s">
        <v>64</v>
      </c>
      <c r="F370" s="4" t="s">
        <v>25</v>
      </c>
      <c r="G370" s="4" t="s">
        <v>52</v>
      </c>
      <c r="H370" s="4" t="s">
        <v>18</v>
      </c>
      <c r="I370" s="4" t="s">
        <v>19</v>
      </c>
      <c r="J370" s="3">
        <v>2</v>
      </c>
      <c r="K370" s="6">
        <v>85822</v>
      </c>
      <c r="L370" s="6">
        <f t="shared" si="15"/>
        <v>60075.399999999994</v>
      </c>
      <c r="M370" s="6">
        <v>25746.600000000006</v>
      </c>
      <c r="N370" s="5" t="str">
        <f t="shared" si="16"/>
        <v>Feb</v>
      </c>
      <c r="O370" s="5" t="str">
        <f t="shared" si="17"/>
        <v xml:space="preserve"> 2024</v>
      </c>
    </row>
    <row r="371" spans="1:15" x14ac:dyDescent="0.35">
      <c r="A371" t="s">
        <v>730</v>
      </c>
      <c r="B371" s="5" t="s">
        <v>731</v>
      </c>
      <c r="C371" s="4" t="s">
        <v>22</v>
      </c>
      <c r="D371" s="4" t="s">
        <v>90</v>
      </c>
      <c r="E371" s="4" t="s">
        <v>110</v>
      </c>
      <c r="F371" s="4" t="s">
        <v>25</v>
      </c>
      <c r="G371" s="4" t="s">
        <v>52</v>
      </c>
      <c r="H371" s="4" t="s">
        <v>72</v>
      </c>
      <c r="I371" s="4" t="s">
        <v>39</v>
      </c>
      <c r="J371" s="3">
        <v>2</v>
      </c>
      <c r="K371" s="6">
        <v>83616</v>
      </c>
      <c r="L371" s="6">
        <f t="shared" si="15"/>
        <v>58531.199999999997</v>
      </c>
      <c r="M371" s="6">
        <v>25084.800000000003</v>
      </c>
      <c r="N371" s="5" t="str">
        <f t="shared" si="16"/>
        <v>Jun</v>
      </c>
      <c r="O371" s="5" t="str">
        <f t="shared" si="17"/>
        <v xml:space="preserve"> 2024</v>
      </c>
    </row>
    <row r="372" spans="1:15" x14ac:dyDescent="0.35">
      <c r="A372" t="s">
        <v>732</v>
      </c>
      <c r="B372" s="5" t="s">
        <v>405</v>
      </c>
      <c r="C372" s="4" t="s">
        <v>31</v>
      </c>
      <c r="D372" s="4" t="s">
        <v>45</v>
      </c>
      <c r="E372" s="4" t="s">
        <v>46</v>
      </c>
      <c r="F372" s="4" t="s">
        <v>67</v>
      </c>
      <c r="G372" s="4" t="s">
        <v>134</v>
      </c>
      <c r="H372" s="4" t="s">
        <v>18</v>
      </c>
      <c r="I372" s="4" t="s">
        <v>60</v>
      </c>
      <c r="J372" s="3">
        <v>5</v>
      </c>
      <c r="K372" s="6">
        <v>188910</v>
      </c>
      <c r="L372" s="6">
        <f t="shared" si="15"/>
        <v>132237</v>
      </c>
      <c r="M372" s="6">
        <v>56673</v>
      </c>
      <c r="N372" s="5" t="str">
        <f t="shared" si="16"/>
        <v>Jan</v>
      </c>
      <c r="O372" s="5" t="str">
        <f t="shared" si="17"/>
        <v xml:space="preserve"> 2024</v>
      </c>
    </row>
    <row r="373" spans="1:15" x14ac:dyDescent="0.35">
      <c r="A373" t="s">
        <v>733</v>
      </c>
      <c r="B373" s="5" t="s">
        <v>734</v>
      </c>
      <c r="C373" s="4" t="s">
        <v>13</v>
      </c>
      <c r="D373" s="4" t="s">
        <v>14</v>
      </c>
      <c r="E373" s="4" t="s">
        <v>15</v>
      </c>
      <c r="F373" s="4" t="s">
        <v>67</v>
      </c>
      <c r="G373" s="4" t="s">
        <v>113</v>
      </c>
      <c r="H373" s="4" t="s">
        <v>72</v>
      </c>
      <c r="I373" s="4" t="s">
        <v>47</v>
      </c>
      <c r="J373" s="3">
        <v>9</v>
      </c>
      <c r="K373" s="6">
        <v>368145</v>
      </c>
      <c r="L373" s="6">
        <f t="shared" si="15"/>
        <v>257701.49999999997</v>
      </c>
      <c r="M373" s="6">
        <v>110443.50000000003</v>
      </c>
      <c r="N373" s="5" t="str">
        <f t="shared" si="16"/>
        <v>Jun</v>
      </c>
      <c r="O373" s="5" t="str">
        <f t="shared" si="17"/>
        <v xml:space="preserve"> 2023</v>
      </c>
    </row>
    <row r="374" spans="1:15" x14ac:dyDescent="0.35">
      <c r="A374" t="s">
        <v>735</v>
      </c>
      <c r="B374" s="5" t="s">
        <v>109</v>
      </c>
      <c r="C374" s="4" t="s">
        <v>22</v>
      </c>
      <c r="D374" s="4" t="s">
        <v>23</v>
      </c>
      <c r="E374" s="4" t="s">
        <v>24</v>
      </c>
      <c r="F374" s="4" t="s">
        <v>16</v>
      </c>
      <c r="G374" s="4" t="s">
        <v>17</v>
      </c>
      <c r="H374" s="4" t="s">
        <v>72</v>
      </c>
      <c r="I374" s="4" t="s">
        <v>39</v>
      </c>
      <c r="J374" s="3">
        <v>8</v>
      </c>
      <c r="K374" s="6">
        <v>279472</v>
      </c>
      <c r="L374" s="6">
        <f t="shared" si="15"/>
        <v>195630.4</v>
      </c>
      <c r="M374" s="6">
        <v>83841.600000000006</v>
      </c>
      <c r="N374" s="5" t="str">
        <f t="shared" si="16"/>
        <v>Jul</v>
      </c>
      <c r="O374" s="5" t="str">
        <f t="shared" si="17"/>
        <v xml:space="preserve"> 2024</v>
      </c>
    </row>
    <row r="375" spans="1:15" x14ac:dyDescent="0.35">
      <c r="A375" t="s">
        <v>736</v>
      </c>
      <c r="B375" s="5" t="s">
        <v>398</v>
      </c>
      <c r="C375" s="4" t="s">
        <v>55</v>
      </c>
      <c r="D375" s="4" t="s">
        <v>63</v>
      </c>
      <c r="E375" s="4" t="s">
        <v>64</v>
      </c>
      <c r="F375" s="4" t="s">
        <v>16</v>
      </c>
      <c r="G375" s="4" t="s">
        <v>122</v>
      </c>
      <c r="H375" s="4" t="s">
        <v>72</v>
      </c>
      <c r="I375" s="4" t="s">
        <v>28</v>
      </c>
      <c r="J375" s="3">
        <v>2</v>
      </c>
      <c r="K375" s="6">
        <v>27166</v>
      </c>
      <c r="L375" s="6">
        <f t="shared" si="15"/>
        <v>19016.199999999997</v>
      </c>
      <c r="M375" s="6">
        <v>8149.8000000000029</v>
      </c>
      <c r="N375" s="5" t="str">
        <f t="shared" si="16"/>
        <v>Aug</v>
      </c>
      <c r="O375" s="5" t="str">
        <f t="shared" si="17"/>
        <v xml:space="preserve"> 2024</v>
      </c>
    </row>
    <row r="376" spans="1:15" x14ac:dyDescent="0.35">
      <c r="A376" t="s">
        <v>737</v>
      </c>
      <c r="B376" s="5" t="s">
        <v>124</v>
      </c>
      <c r="C376" s="4" t="s">
        <v>55</v>
      </c>
      <c r="D376" s="4" t="s">
        <v>82</v>
      </c>
      <c r="E376" s="4" t="s">
        <v>83</v>
      </c>
      <c r="F376" s="4" t="s">
        <v>16</v>
      </c>
      <c r="G376" s="4" t="s">
        <v>42</v>
      </c>
      <c r="H376" s="4" t="s">
        <v>27</v>
      </c>
      <c r="I376" s="4" t="s">
        <v>39</v>
      </c>
      <c r="J376" s="3">
        <v>8</v>
      </c>
      <c r="K376" s="6">
        <v>258032</v>
      </c>
      <c r="L376" s="6">
        <f t="shared" si="15"/>
        <v>180622.4</v>
      </c>
      <c r="M376" s="6">
        <v>77409.600000000006</v>
      </c>
      <c r="N376" s="5" t="str">
        <f t="shared" si="16"/>
        <v>Nov</v>
      </c>
      <c r="O376" s="5" t="str">
        <f t="shared" si="17"/>
        <v xml:space="preserve"> 2024</v>
      </c>
    </row>
    <row r="377" spans="1:15" x14ac:dyDescent="0.35">
      <c r="A377" t="s">
        <v>738</v>
      </c>
      <c r="B377" s="5" t="s">
        <v>739</v>
      </c>
      <c r="C377" s="4" t="s">
        <v>55</v>
      </c>
      <c r="D377" s="4" t="s">
        <v>56</v>
      </c>
      <c r="E377" s="4" t="s">
        <v>57</v>
      </c>
      <c r="F377" s="4" t="s">
        <v>16</v>
      </c>
      <c r="G377" s="4" t="s">
        <v>17</v>
      </c>
      <c r="H377" s="4" t="s">
        <v>27</v>
      </c>
      <c r="I377" s="4" t="s">
        <v>28</v>
      </c>
      <c r="J377" s="3">
        <v>3</v>
      </c>
      <c r="K377" s="6">
        <v>89436</v>
      </c>
      <c r="L377" s="6">
        <f t="shared" si="15"/>
        <v>62605.2</v>
      </c>
      <c r="M377" s="6">
        <v>26830.800000000003</v>
      </c>
      <c r="N377" s="5" t="str">
        <f t="shared" si="16"/>
        <v>Oct</v>
      </c>
      <c r="O377" s="5" t="str">
        <f t="shared" si="17"/>
        <v xml:space="preserve"> 2023</v>
      </c>
    </row>
    <row r="378" spans="1:15" x14ac:dyDescent="0.35">
      <c r="A378" t="s">
        <v>740</v>
      </c>
      <c r="B378" s="5" t="s">
        <v>741</v>
      </c>
      <c r="C378" s="4" t="s">
        <v>31</v>
      </c>
      <c r="D378" s="4" t="s">
        <v>104</v>
      </c>
      <c r="E378" s="4" t="s">
        <v>105</v>
      </c>
      <c r="F378" s="4" t="s">
        <v>25</v>
      </c>
      <c r="G378" s="4" t="s">
        <v>26</v>
      </c>
      <c r="H378" s="4" t="s">
        <v>27</v>
      </c>
      <c r="I378" s="4" t="s">
        <v>60</v>
      </c>
      <c r="J378" s="3">
        <v>6</v>
      </c>
      <c r="K378" s="6">
        <v>264120</v>
      </c>
      <c r="L378" s="6">
        <f t="shared" si="15"/>
        <v>184884</v>
      </c>
      <c r="M378" s="6">
        <v>79236</v>
      </c>
      <c r="N378" s="5" t="str">
        <f t="shared" si="16"/>
        <v>Jan</v>
      </c>
      <c r="O378" s="5" t="str">
        <f t="shared" si="17"/>
        <v xml:space="preserve"> 2024</v>
      </c>
    </row>
    <row r="379" spans="1:15" x14ac:dyDescent="0.35">
      <c r="A379" t="s">
        <v>742</v>
      </c>
      <c r="B379" s="5" t="s">
        <v>719</v>
      </c>
      <c r="C379" s="4" t="s">
        <v>31</v>
      </c>
      <c r="D379" s="4" t="s">
        <v>32</v>
      </c>
      <c r="E379" s="4" t="s">
        <v>33</v>
      </c>
      <c r="F379" s="4" t="s">
        <v>25</v>
      </c>
      <c r="G379" s="4" t="s">
        <v>26</v>
      </c>
      <c r="H379" s="4" t="s">
        <v>18</v>
      </c>
      <c r="I379" s="4" t="s">
        <v>19</v>
      </c>
      <c r="J379" s="3">
        <v>2</v>
      </c>
      <c r="K379" s="6">
        <v>54872</v>
      </c>
      <c r="L379" s="6">
        <f t="shared" si="15"/>
        <v>38410.399999999994</v>
      </c>
      <c r="M379" s="6">
        <v>16461.600000000006</v>
      </c>
      <c r="N379" s="5" t="str">
        <f t="shared" si="16"/>
        <v>Jun</v>
      </c>
      <c r="O379" s="5" t="str">
        <f t="shared" si="17"/>
        <v xml:space="preserve"> 2024</v>
      </c>
    </row>
    <row r="380" spans="1:15" x14ac:dyDescent="0.35">
      <c r="A380" t="s">
        <v>743</v>
      </c>
      <c r="B380" s="5" t="s">
        <v>744</v>
      </c>
      <c r="C380" s="4" t="s">
        <v>31</v>
      </c>
      <c r="D380" s="4" t="s">
        <v>50</v>
      </c>
      <c r="E380" s="4" t="s">
        <v>51</v>
      </c>
      <c r="F380" s="4" t="s">
        <v>37</v>
      </c>
      <c r="G380" s="4" t="s">
        <v>38</v>
      </c>
      <c r="H380" s="4" t="s">
        <v>18</v>
      </c>
      <c r="I380" s="4" t="s">
        <v>39</v>
      </c>
      <c r="J380" s="3">
        <v>2</v>
      </c>
      <c r="K380" s="6">
        <v>24874</v>
      </c>
      <c r="L380" s="6">
        <f t="shared" si="15"/>
        <v>17411.8</v>
      </c>
      <c r="M380" s="6">
        <v>7462.2000000000007</v>
      </c>
      <c r="N380" s="5" t="str">
        <f t="shared" si="16"/>
        <v>Jun</v>
      </c>
      <c r="O380" s="5" t="str">
        <f t="shared" si="17"/>
        <v xml:space="preserve"> 2023</v>
      </c>
    </row>
    <row r="381" spans="1:15" x14ac:dyDescent="0.35">
      <c r="A381" t="s">
        <v>745</v>
      </c>
      <c r="B381" s="5" t="s">
        <v>746</v>
      </c>
      <c r="C381" s="4" t="s">
        <v>31</v>
      </c>
      <c r="D381" s="4" t="s">
        <v>104</v>
      </c>
      <c r="E381" s="4" t="s">
        <v>105</v>
      </c>
      <c r="F381" s="4" t="s">
        <v>67</v>
      </c>
      <c r="G381" s="4" t="s">
        <v>68</v>
      </c>
      <c r="H381" s="4" t="s">
        <v>72</v>
      </c>
      <c r="I381" s="4" t="s">
        <v>28</v>
      </c>
      <c r="J381" s="3">
        <v>5</v>
      </c>
      <c r="K381" s="6">
        <v>23050</v>
      </c>
      <c r="L381" s="6">
        <f t="shared" si="15"/>
        <v>16134.999999999998</v>
      </c>
      <c r="M381" s="6">
        <v>6915.0000000000018</v>
      </c>
      <c r="N381" s="5" t="str">
        <f t="shared" si="16"/>
        <v>May</v>
      </c>
      <c r="O381" s="5" t="str">
        <f t="shared" si="17"/>
        <v xml:space="preserve"> 2024</v>
      </c>
    </row>
    <row r="382" spans="1:15" x14ac:dyDescent="0.35">
      <c r="A382" t="s">
        <v>747</v>
      </c>
      <c r="B382" s="5" t="s">
        <v>748</v>
      </c>
      <c r="C382" s="4" t="s">
        <v>13</v>
      </c>
      <c r="D382" s="4" t="s">
        <v>125</v>
      </c>
      <c r="E382" s="4" t="s">
        <v>126</v>
      </c>
      <c r="F382" s="4" t="s">
        <v>37</v>
      </c>
      <c r="G382" s="4" t="s">
        <v>148</v>
      </c>
      <c r="H382" s="4" t="s">
        <v>27</v>
      </c>
      <c r="I382" s="4" t="s">
        <v>28</v>
      </c>
      <c r="J382" s="3">
        <v>2</v>
      </c>
      <c r="K382" s="6">
        <v>14312</v>
      </c>
      <c r="L382" s="6">
        <f t="shared" si="15"/>
        <v>10018.4</v>
      </c>
      <c r="M382" s="6">
        <v>4293.6000000000004</v>
      </c>
      <c r="N382" s="5" t="str">
        <f t="shared" si="16"/>
        <v>Jun</v>
      </c>
      <c r="O382" s="5" t="str">
        <f t="shared" si="17"/>
        <v xml:space="preserve"> 2023</v>
      </c>
    </row>
    <row r="383" spans="1:15" x14ac:dyDescent="0.35">
      <c r="A383" t="s">
        <v>749</v>
      </c>
      <c r="B383" s="5" t="s">
        <v>750</v>
      </c>
      <c r="C383" s="4" t="s">
        <v>13</v>
      </c>
      <c r="D383" s="4" t="s">
        <v>14</v>
      </c>
      <c r="E383" s="4" t="s">
        <v>15</v>
      </c>
      <c r="F383" s="4" t="s">
        <v>25</v>
      </c>
      <c r="G383" s="4" t="s">
        <v>26</v>
      </c>
      <c r="H383" s="4" t="s">
        <v>27</v>
      </c>
      <c r="I383" s="4" t="s">
        <v>19</v>
      </c>
      <c r="J383" s="3">
        <v>2</v>
      </c>
      <c r="K383" s="6">
        <v>90730</v>
      </c>
      <c r="L383" s="6">
        <f t="shared" si="15"/>
        <v>63510.999999999993</v>
      </c>
      <c r="M383" s="6">
        <v>27219.000000000007</v>
      </c>
      <c r="N383" s="5" t="str">
        <f t="shared" si="16"/>
        <v>Nov</v>
      </c>
      <c r="O383" s="5" t="str">
        <f t="shared" si="17"/>
        <v xml:space="preserve"> 2023</v>
      </c>
    </row>
    <row r="384" spans="1:15" x14ac:dyDescent="0.35">
      <c r="A384" t="s">
        <v>751</v>
      </c>
      <c r="B384" s="5" t="s">
        <v>752</v>
      </c>
      <c r="C384" s="4" t="s">
        <v>22</v>
      </c>
      <c r="D384" s="4" t="s">
        <v>90</v>
      </c>
      <c r="E384" s="4" t="s">
        <v>110</v>
      </c>
      <c r="F384" s="4" t="s">
        <v>16</v>
      </c>
      <c r="G384" s="4" t="s">
        <v>17</v>
      </c>
      <c r="H384" s="4" t="s">
        <v>18</v>
      </c>
      <c r="I384" s="4" t="s">
        <v>47</v>
      </c>
      <c r="J384" s="3">
        <v>5</v>
      </c>
      <c r="K384" s="6">
        <v>121825</v>
      </c>
      <c r="L384" s="6">
        <f t="shared" si="15"/>
        <v>85277.5</v>
      </c>
      <c r="M384" s="6">
        <v>36547.5</v>
      </c>
      <c r="N384" s="5" t="str">
        <f t="shared" si="16"/>
        <v>Jan</v>
      </c>
      <c r="O384" s="5" t="str">
        <f t="shared" si="17"/>
        <v xml:space="preserve"> 2023</v>
      </c>
    </row>
    <row r="385" spans="1:15" x14ac:dyDescent="0.35">
      <c r="A385" t="s">
        <v>753</v>
      </c>
      <c r="B385" s="5" t="s">
        <v>754</v>
      </c>
      <c r="C385" s="4" t="s">
        <v>55</v>
      </c>
      <c r="D385" s="4" t="s">
        <v>56</v>
      </c>
      <c r="E385" s="4" t="s">
        <v>57</v>
      </c>
      <c r="F385" s="4" t="s">
        <v>37</v>
      </c>
      <c r="G385" s="4" t="s">
        <v>148</v>
      </c>
      <c r="H385" s="4" t="s">
        <v>27</v>
      </c>
      <c r="I385" s="4" t="s">
        <v>60</v>
      </c>
      <c r="J385" s="3">
        <v>9</v>
      </c>
      <c r="K385" s="6">
        <v>234441</v>
      </c>
      <c r="L385" s="6">
        <f t="shared" si="15"/>
        <v>164108.69999999998</v>
      </c>
      <c r="M385" s="6">
        <v>70332.300000000017</v>
      </c>
      <c r="N385" s="5" t="str">
        <f t="shared" si="16"/>
        <v>Jan</v>
      </c>
      <c r="O385" s="5" t="str">
        <f t="shared" si="17"/>
        <v xml:space="preserve"> 2023</v>
      </c>
    </row>
    <row r="386" spans="1:15" x14ac:dyDescent="0.35">
      <c r="A386" t="s">
        <v>755</v>
      </c>
      <c r="B386" s="5" t="s">
        <v>756</v>
      </c>
      <c r="C386" s="4" t="s">
        <v>22</v>
      </c>
      <c r="D386" s="4" t="s">
        <v>86</v>
      </c>
      <c r="E386" s="4" t="s">
        <v>87</v>
      </c>
      <c r="F386" s="4" t="s">
        <v>16</v>
      </c>
      <c r="G386" s="4" t="s">
        <v>122</v>
      </c>
      <c r="H386" s="4" t="s">
        <v>27</v>
      </c>
      <c r="I386" s="4" t="s">
        <v>60</v>
      </c>
      <c r="J386" s="3">
        <v>6</v>
      </c>
      <c r="K386" s="6">
        <v>86406</v>
      </c>
      <c r="L386" s="6">
        <f t="shared" ref="L386:L449" si="18">K386*0.7</f>
        <v>60484.2</v>
      </c>
      <c r="M386" s="6">
        <v>25921.800000000003</v>
      </c>
      <c r="N386" s="5" t="str">
        <f t="shared" ref="N386:N449" si="19">TEXT(B386,"mmm")</f>
        <v>May</v>
      </c>
      <c r="O386" s="5" t="str">
        <f t="shared" ref="O386:O449" si="20">TEXT(B386," yyyy")</f>
        <v xml:space="preserve"> 2024</v>
      </c>
    </row>
    <row r="387" spans="1:15" x14ac:dyDescent="0.35">
      <c r="A387" t="s">
        <v>757</v>
      </c>
      <c r="B387" s="5" t="s">
        <v>758</v>
      </c>
      <c r="C387" s="4" t="s">
        <v>55</v>
      </c>
      <c r="D387" s="4" t="s">
        <v>98</v>
      </c>
      <c r="E387" s="4" t="s">
        <v>99</v>
      </c>
      <c r="F387" s="4" t="s">
        <v>67</v>
      </c>
      <c r="G387" s="4" t="s">
        <v>113</v>
      </c>
      <c r="H387" s="4" t="s">
        <v>27</v>
      </c>
      <c r="I387" s="4" t="s">
        <v>19</v>
      </c>
      <c r="J387" s="3">
        <v>6</v>
      </c>
      <c r="K387" s="6">
        <v>283950</v>
      </c>
      <c r="L387" s="6">
        <f t="shared" si="18"/>
        <v>198765</v>
      </c>
      <c r="M387" s="6">
        <v>85185</v>
      </c>
      <c r="N387" s="5" t="str">
        <f t="shared" si="19"/>
        <v>Jul</v>
      </c>
      <c r="O387" s="5" t="str">
        <f t="shared" si="20"/>
        <v xml:space="preserve"> 2023</v>
      </c>
    </row>
    <row r="388" spans="1:15" x14ac:dyDescent="0.35">
      <c r="A388" t="s">
        <v>759</v>
      </c>
      <c r="B388" s="5" t="s">
        <v>760</v>
      </c>
      <c r="C388" s="4" t="s">
        <v>55</v>
      </c>
      <c r="D388" s="4" t="s">
        <v>98</v>
      </c>
      <c r="E388" s="4" t="s">
        <v>99</v>
      </c>
      <c r="F388" s="4" t="s">
        <v>16</v>
      </c>
      <c r="G388" s="4" t="s">
        <v>34</v>
      </c>
      <c r="H388" s="4" t="s">
        <v>27</v>
      </c>
      <c r="I388" s="4" t="s">
        <v>39</v>
      </c>
      <c r="J388" s="3">
        <v>8</v>
      </c>
      <c r="K388" s="6">
        <v>352736</v>
      </c>
      <c r="L388" s="6">
        <f t="shared" si="18"/>
        <v>246915.19999999998</v>
      </c>
      <c r="M388" s="6">
        <v>105820.80000000002</v>
      </c>
      <c r="N388" s="5" t="str">
        <f t="shared" si="19"/>
        <v>May</v>
      </c>
      <c r="O388" s="5" t="str">
        <f t="shared" si="20"/>
        <v xml:space="preserve"> 2023</v>
      </c>
    </row>
    <row r="389" spans="1:15" x14ac:dyDescent="0.35">
      <c r="A389" t="s">
        <v>761</v>
      </c>
      <c r="B389" s="5" t="s">
        <v>762</v>
      </c>
      <c r="C389" s="4" t="s">
        <v>31</v>
      </c>
      <c r="D389" s="4" t="s">
        <v>104</v>
      </c>
      <c r="E389" s="4" t="s">
        <v>105</v>
      </c>
      <c r="F389" s="4" t="s">
        <v>67</v>
      </c>
      <c r="G389" s="4" t="s">
        <v>180</v>
      </c>
      <c r="H389" s="4" t="s">
        <v>18</v>
      </c>
      <c r="I389" s="4" t="s">
        <v>60</v>
      </c>
      <c r="J389" s="3">
        <v>5</v>
      </c>
      <c r="K389" s="6">
        <v>4540</v>
      </c>
      <c r="L389" s="6">
        <f t="shared" si="18"/>
        <v>3178</v>
      </c>
      <c r="M389" s="6">
        <v>1362</v>
      </c>
      <c r="N389" s="5" t="str">
        <f t="shared" si="19"/>
        <v>Nov</v>
      </c>
      <c r="O389" s="5" t="str">
        <f t="shared" si="20"/>
        <v xml:space="preserve"> 2023</v>
      </c>
    </row>
    <row r="390" spans="1:15" x14ac:dyDescent="0.35">
      <c r="A390" t="s">
        <v>763</v>
      </c>
      <c r="B390" s="5" t="s">
        <v>764</v>
      </c>
      <c r="C390" s="4" t="s">
        <v>22</v>
      </c>
      <c r="D390" s="4" t="s">
        <v>86</v>
      </c>
      <c r="E390" s="4" t="s">
        <v>87</v>
      </c>
      <c r="F390" s="4" t="s">
        <v>37</v>
      </c>
      <c r="G390" s="4" t="s">
        <v>186</v>
      </c>
      <c r="H390" s="4" t="s">
        <v>72</v>
      </c>
      <c r="I390" s="4" t="s">
        <v>39</v>
      </c>
      <c r="J390" s="3">
        <v>4</v>
      </c>
      <c r="K390" s="6">
        <v>16956</v>
      </c>
      <c r="L390" s="6">
        <f t="shared" si="18"/>
        <v>11869.199999999999</v>
      </c>
      <c r="M390" s="6">
        <v>5086.8000000000011</v>
      </c>
      <c r="N390" s="5" t="str">
        <f t="shared" si="19"/>
        <v>Jul</v>
      </c>
      <c r="O390" s="5" t="str">
        <f t="shared" si="20"/>
        <v xml:space="preserve"> 2024</v>
      </c>
    </row>
    <row r="391" spans="1:15" x14ac:dyDescent="0.35">
      <c r="A391" t="s">
        <v>765</v>
      </c>
      <c r="B391" s="5" t="s">
        <v>766</v>
      </c>
      <c r="C391" s="4" t="s">
        <v>31</v>
      </c>
      <c r="D391" s="4" t="s">
        <v>50</v>
      </c>
      <c r="E391" s="4" t="s">
        <v>51</v>
      </c>
      <c r="F391" s="4" t="s">
        <v>67</v>
      </c>
      <c r="G391" s="4" t="s">
        <v>134</v>
      </c>
      <c r="H391" s="4" t="s">
        <v>18</v>
      </c>
      <c r="I391" s="4" t="s">
        <v>19</v>
      </c>
      <c r="J391" s="3">
        <v>4</v>
      </c>
      <c r="K391" s="6">
        <v>104460</v>
      </c>
      <c r="L391" s="6">
        <f t="shared" si="18"/>
        <v>73122</v>
      </c>
      <c r="M391" s="6">
        <v>31338</v>
      </c>
      <c r="N391" s="5" t="str">
        <f t="shared" si="19"/>
        <v>Nov</v>
      </c>
      <c r="O391" s="5" t="str">
        <f t="shared" si="20"/>
        <v xml:space="preserve"> 2023</v>
      </c>
    </row>
    <row r="392" spans="1:15" x14ac:dyDescent="0.35">
      <c r="A392" t="s">
        <v>767</v>
      </c>
      <c r="B392" s="5" t="s">
        <v>238</v>
      </c>
      <c r="C392" s="4" t="s">
        <v>22</v>
      </c>
      <c r="D392" s="4" t="s">
        <v>90</v>
      </c>
      <c r="E392" s="4" t="s">
        <v>91</v>
      </c>
      <c r="F392" s="4" t="s">
        <v>16</v>
      </c>
      <c r="G392" s="4" t="s">
        <v>122</v>
      </c>
      <c r="H392" s="4" t="s">
        <v>18</v>
      </c>
      <c r="I392" s="4" t="s">
        <v>19</v>
      </c>
      <c r="J392" s="3">
        <v>5</v>
      </c>
      <c r="K392" s="6">
        <v>79065</v>
      </c>
      <c r="L392" s="6">
        <f t="shared" si="18"/>
        <v>55345.5</v>
      </c>
      <c r="M392" s="6">
        <v>23719.5</v>
      </c>
      <c r="N392" s="5" t="str">
        <f t="shared" si="19"/>
        <v>Sep</v>
      </c>
      <c r="O392" s="5" t="str">
        <f t="shared" si="20"/>
        <v xml:space="preserve"> 2023</v>
      </c>
    </row>
    <row r="393" spans="1:15" x14ac:dyDescent="0.35">
      <c r="A393" t="s">
        <v>768</v>
      </c>
      <c r="B393" s="5" t="s">
        <v>255</v>
      </c>
      <c r="C393" s="4" t="s">
        <v>22</v>
      </c>
      <c r="D393" s="4" t="s">
        <v>23</v>
      </c>
      <c r="E393" s="4" t="s">
        <v>24</v>
      </c>
      <c r="F393" s="4" t="s">
        <v>25</v>
      </c>
      <c r="G393" s="4" t="s">
        <v>77</v>
      </c>
      <c r="H393" s="4" t="s">
        <v>72</v>
      </c>
      <c r="I393" s="4" t="s">
        <v>60</v>
      </c>
      <c r="J393" s="3">
        <v>8</v>
      </c>
      <c r="K393" s="6">
        <v>119480</v>
      </c>
      <c r="L393" s="6">
        <f t="shared" si="18"/>
        <v>83636</v>
      </c>
      <c r="M393" s="6">
        <v>35844</v>
      </c>
      <c r="N393" s="5" t="str">
        <f t="shared" si="19"/>
        <v>Nov</v>
      </c>
      <c r="O393" s="5" t="str">
        <f t="shared" si="20"/>
        <v xml:space="preserve"> 2023</v>
      </c>
    </row>
    <row r="394" spans="1:15" x14ac:dyDescent="0.35">
      <c r="A394" t="s">
        <v>769</v>
      </c>
      <c r="B394" s="5" t="s">
        <v>489</v>
      </c>
      <c r="C394" s="4" t="s">
        <v>22</v>
      </c>
      <c r="D394" s="4" t="s">
        <v>23</v>
      </c>
      <c r="E394" s="4" t="s">
        <v>24</v>
      </c>
      <c r="F394" s="4" t="s">
        <v>67</v>
      </c>
      <c r="G394" s="4" t="s">
        <v>134</v>
      </c>
      <c r="H394" s="4" t="s">
        <v>18</v>
      </c>
      <c r="I394" s="4" t="s">
        <v>39</v>
      </c>
      <c r="J394" s="3">
        <v>8</v>
      </c>
      <c r="K394" s="6">
        <v>206952</v>
      </c>
      <c r="L394" s="6">
        <f t="shared" si="18"/>
        <v>144866.4</v>
      </c>
      <c r="M394" s="6">
        <v>62085.600000000006</v>
      </c>
      <c r="N394" s="5" t="str">
        <f t="shared" si="19"/>
        <v>Feb</v>
      </c>
      <c r="O394" s="5" t="str">
        <f t="shared" si="20"/>
        <v xml:space="preserve"> 2024</v>
      </c>
    </row>
    <row r="395" spans="1:15" x14ac:dyDescent="0.35">
      <c r="A395" t="s">
        <v>770</v>
      </c>
      <c r="B395" s="5" t="s">
        <v>616</v>
      </c>
      <c r="C395" s="4" t="s">
        <v>22</v>
      </c>
      <c r="D395" s="4" t="s">
        <v>86</v>
      </c>
      <c r="E395" s="4" t="s">
        <v>87</v>
      </c>
      <c r="F395" s="4" t="s">
        <v>16</v>
      </c>
      <c r="G395" s="4" t="s">
        <v>34</v>
      </c>
      <c r="H395" s="4" t="s">
        <v>27</v>
      </c>
      <c r="I395" s="4" t="s">
        <v>28</v>
      </c>
      <c r="J395" s="3">
        <v>4</v>
      </c>
      <c r="K395" s="6">
        <v>79404</v>
      </c>
      <c r="L395" s="6">
        <f t="shared" si="18"/>
        <v>55582.799999999996</v>
      </c>
      <c r="M395" s="6">
        <v>23821.200000000004</v>
      </c>
      <c r="N395" s="5" t="str">
        <f t="shared" si="19"/>
        <v>Feb</v>
      </c>
      <c r="O395" s="5" t="str">
        <f t="shared" si="20"/>
        <v xml:space="preserve"> 2023</v>
      </c>
    </row>
    <row r="396" spans="1:15" x14ac:dyDescent="0.35">
      <c r="A396" t="s">
        <v>771</v>
      </c>
      <c r="B396" s="5" t="s">
        <v>370</v>
      </c>
      <c r="C396" s="4" t="s">
        <v>13</v>
      </c>
      <c r="D396" s="4" t="s">
        <v>125</v>
      </c>
      <c r="E396" s="4" t="s">
        <v>126</v>
      </c>
      <c r="F396" s="4" t="s">
        <v>37</v>
      </c>
      <c r="G396" s="4" t="s">
        <v>38</v>
      </c>
      <c r="H396" s="4" t="s">
        <v>18</v>
      </c>
      <c r="I396" s="4" t="s">
        <v>47</v>
      </c>
      <c r="J396" s="3">
        <v>10</v>
      </c>
      <c r="K396" s="6">
        <v>326530</v>
      </c>
      <c r="L396" s="6">
        <f t="shared" si="18"/>
        <v>228571</v>
      </c>
      <c r="M396" s="6">
        <v>97959</v>
      </c>
      <c r="N396" s="5" t="str">
        <f t="shared" si="19"/>
        <v>Sep</v>
      </c>
      <c r="O396" s="5" t="str">
        <f t="shared" si="20"/>
        <v xml:space="preserve"> 2024</v>
      </c>
    </row>
    <row r="397" spans="1:15" x14ac:dyDescent="0.35">
      <c r="A397" t="s">
        <v>772</v>
      </c>
      <c r="B397" s="5" t="s">
        <v>773</v>
      </c>
      <c r="C397" s="4" t="s">
        <v>22</v>
      </c>
      <c r="D397" s="4" t="s">
        <v>86</v>
      </c>
      <c r="E397" s="4" t="s">
        <v>87</v>
      </c>
      <c r="F397" s="4" t="s">
        <v>25</v>
      </c>
      <c r="G397" s="4" t="s">
        <v>71</v>
      </c>
      <c r="H397" s="4" t="s">
        <v>18</v>
      </c>
      <c r="I397" s="4" t="s">
        <v>39</v>
      </c>
      <c r="J397" s="3">
        <v>8</v>
      </c>
      <c r="K397" s="6">
        <v>278200</v>
      </c>
      <c r="L397" s="6">
        <f t="shared" si="18"/>
        <v>194740</v>
      </c>
      <c r="M397" s="6">
        <v>83460</v>
      </c>
      <c r="N397" s="5" t="str">
        <f t="shared" si="19"/>
        <v>Dec</v>
      </c>
      <c r="O397" s="5" t="str">
        <f t="shared" si="20"/>
        <v xml:space="preserve"> 2023</v>
      </c>
    </row>
    <row r="398" spans="1:15" x14ac:dyDescent="0.35">
      <c r="A398" t="s">
        <v>774</v>
      </c>
      <c r="B398" s="5" t="s">
        <v>775</v>
      </c>
      <c r="C398" s="4" t="s">
        <v>22</v>
      </c>
      <c r="D398" s="4" t="s">
        <v>90</v>
      </c>
      <c r="E398" s="4" t="s">
        <v>91</v>
      </c>
      <c r="F398" s="4" t="s">
        <v>37</v>
      </c>
      <c r="G398" s="4" t="s">
        <v>186</v>
      </c>
      <c r="H398" s="4" t="s">
        <v>27</v>
      </c>
      <c r="I398" s="4" t="s">
        <v>19</v>
      </c>
      <c r="J398" s="3">
        <v>6</v>
      </c>
      <c r="K398" s="6">
        <v>213618</v>
      </c>
      <c r="L398" s="6">
        <f t="shared" si="18"/>
        <v>149532.59999999998</v>
      </c>
      <c r="M398" s="6">
        <v>64085.400000000023</v>
      </c>
      <c r="N398" s="5" t="str">
        <f t="shared" si="19"/>
        <v>Aug</v>
      </c>
      <c r="O398" s="5" t="str">
        <f t="shared" si="20"/>
        <v xml:space="preserve"> 2023</v>
      </c>
    </row>
    <row r="399" spans="1:15" x14ac:dyDescent="0.35">
      <c r="A399" t="s">
        <v>776</v>
      </c>
      <c r="B399" s="5" t="s">
        <v>777</v>
      </c>
      <c r="C399" s="4" t="s">
        <v>13</v>
      </c>
      <c r="D399" s="4" t="s">
        <v>125</v>
      </c>
      <c r="E399" s="4" t="s">
        <v>126</v>
      </c>
      <c r="F399" s="4" t="s">
        <v>37</v>
      </c>
      <c r="G399" s="4" t="s">
        <v>148</v>
      </c>
      <c r="H399" s="4" t="s">
        <v>18</v>
      </c>
      <c r="I399" s="4" t="s">
        <v>28</v>
      </c>
      <c r="J399" s="3">
        <v>9</v>
      </c>
      <c r="K399" s="6">
        <v>224208</v>
      </c>
      <c r="L399" s="6">
        <f t="shared" si="18"/>
        <v>156945.59999999998</v>
      </c>
      <c r="M399" s="6">
        <v>67262.400000000023</v>
      </c>
      <c r="N399" s="5" t="str">
        <f t="shared" si="19"/>
        <v>Jan</v>
      </c>
      <c r="O399" s="5" t="str">
        <f t="shared" si="20"/>
        <v xml:space="preserve"> 2023</v>
      </c>
    </row>
    <row r="400" spans="1:15" x14ac:dyDescent="0.35">
      <c r="A400" t="s">
        <v>778</v>
      </c>
      <c r="B400" s="5" t="s">
        <v>779</v>
      </c>
      <c r="C400" s="4" t="s">
        <v>22</v>
      </c>
      <c r="D400" s="4" t="s">
        <v>90</v>
      </c>
      <c r="E400" s="4" t="s">
        <v>91</v>
      </c>
      <c r="F400" s="4" t="s">
        <v>25</v>
      </c>
      <c r="G400" s="4" t="s">
        <v>71</v>
      </c>
      <c r="H400" s="4" t="s">
        <v>18</v>
      </c>
      <c r="I400" s="4" t="s">
        <v>47</v>
      </c>
      <c r="J400" s="3">
        <v>7</v>
      </c>
      <c r="K400" s="6">
        <v>185115</v>
      </c>
      <c r="L400" s="6">
        <f t="shared" si="18"/>
        <v>129580.49999999999</v>
      </c>
      <c r="M400" s="6">
        <v>55534.500000000015</v>
      </c>
      <c r="N400" s="5" t="str">
        <f t="shared" si="19"/>
        <v>Aug</v>
      </c>
      <c r="O400" s="5" t="str">
        <f t="shared" si="20"/>
        <v xml:space="preserve"> 2023</v>
      </c>
    </row>
    <row r="401" spans="1:15" x14ac:dyDescent="0.35">
      <c r="A401" t="s">
        <v>780</v>
      </c>
      <c r="B401" s="5" t="s">
        <v>781</v>
      </c>
      <c r="C401" s="4" t="s">
        <v>22</v>
      </c>
      <c r="D401" s="4" t="s">
        <v>23</v>
      </c>
      <c r="E401" s="4" t="s">
        <v>24</v>
      </c>
      <c r="F401" s="4" t="s">
        <v>25</v>
      </c>
      <c r="G401" s="4" t="s">
        <v>71</v>
      </c>
      <c r="H401" s="4" t="s">
        <v>27</v>
      </c>
      <c r="I401" s="4" t="s">
        <v>28</v>
      </c>
      <c r="J401" s="3">
        <v>7</v>
      </c>
      <c r="K401" s="6">
        <v>158179</v>
      </c>
      <c r="L401" s="6">
        <f t="shared" si="18"/>
        <v>110725.29999999999</v>
      </c>
      <c r="M401" s="6">
        <v>47453.700000000012</v>
      </c>
      <c r="N401" s="5" t="str">
        <f t="shared" si="19"/>
        <v>Nov</v>
      </c>
      <c r="O401" s="5" t="str">
        <f t="shared" si="20"/>
        <v xml:space="preserve"> 2024</v>
      </c>
    </row>
    <row r="402" spans="1:15" x14ac:dyDescent="0.35">
      <c r="A402" t="s">
        <v>782</v>
      </c>
      <c r="B402" s="5" t="s">
        <v>783</v>
      </c>
      <c r="C402" s="4" t="s">
        <v>22</v>
      </c>
      <c r="D402" s="4" t="s">
        <v>86</v>
      </c>
      <c r="E402" s="4" t="s">
        <v>87</v>
      </c>
      <c r="F402" s="4" t="s">
        <v>67</v>
      </c>
      <c r="G402" s="4" t="s">
        <v>113</v>
      </c>
      <c r="H402" s="4" t="s">
        <v>72</v>
      </c>
      <c r="I402" s="4" t="s">
        <v>19</v>
      </c>
      <c r="J402" s="3">
        <v>6</v>
      </c>
      <c r="K402" s="6">
        <v>160224</v>
      </c>
      <c r="L402" s="6">
        <f t="shared" si="18"/>
        <v>112156.79999999999</v>
      </c>
      <c r="M402" s="6">
        <v>48067.200000000012</v>
      </c>
      <c r="N402" s="5" t="str">
        <f t="shared" si="19"/>
        <v>Dec</v>
      </c>
      <c r="O402" s="5" t="str">
        <f t="shared" si="20"/>
        <v xml:space="preserve"> 2023</v>
      </c>
    </row>
    <row r="403" spans="1:15" x14ac:dyDescent="0.35">
      <c r="A403" t="s">
        <v>784</v>
      </c>
      <c r="B403" s="5" t="s">
        <v>785</v>
      </c>
      <c r="C403" s="4" t="s">
        <v>13</v>
      </c>
      <c r="D403" s="4" t="s">
        <v>125</v>
      </c>
      <c r="E403" s="4" t="s">
        <v>126</v>
      </c>
      <c r="F403" s="4" t="s">
        <v>37</v>
      </c>
      <c r="G403" s="4" t="s">
        <v>186</v>
      </c>
      <c r="H403" s="4" t="s">
        <v>18</v>
      </c>
      <c r="I403" s="4" t="s">
        <v>60</v>
      </c>
      <c r="J403" s="3">
        <v>6</v>
      </c>
      <c r="K403" s="6">
        <v>230568</v>
      </c>
      <c r="L403" s="6">
        <f t="shared" si="18"/>
        <v>161397.59999999998</v>
      </c>
      <c r="M403" s="6">
        <v>69170.400000000023</v>
      </c>
      <c r="N403" s="5" t="str">
        <f t="shared" si="19"/>
        <v>Jan</v>
      </c>
      <c r="O403" s="5" t="str">
        <f t="shared" si="20"/>
        <v xml:space="preserve"> 2023</v>
      </c>
    </row>
    <row r="404" spans="1:15" x14ac:dyDescent="0.35">
      <c r="A404" t="s">
        <v>786</v>
      </c>
      <c r="B404" s="5" t="s">
        <v>779</v>
      </c>
      <c r="C404" s="4" t="s">
        <v>55</v>
      </c>
      <c r="D404" s="4" t="s">
        <v>63</v>
      </c>
      <c r="E404" s="4" t="s">
        <v>64</v>
      </c>
      <c r="F404" s="4" t="s">
        <v>16</v>
      </c>
      <c r="G404" s="4" t="s">
        <v>17</v>
      </c>
      <c r="H404" s="4" t="s">
        <v>72</v>
      </c>
      <c r="I404" s="4" t="s">
        <v>60</v>
      </c>
      <c r="J404" s="3">
        <v>1</v>
      </c>
      <c r="K404" s="6">
        <v>7524</v>
      </c>
      <c r="L404" s="6">
        <f t="shared" si="18"/>
        <v>5266.7999999999993</v>
      </c>
      <c r="M404" s="6">
        <v>2257.2000000000007</v>
      </c>
      <c r="N404" s="5" t="str">
        <f t="shared" si="19"/>
        <v>Aug</v>
      </c>
      <c r="O404" s="5" t="str">
        <f t="shared" si="20"/>
        <v xml:space="preserve"> 2023</v>
      </c>
    </row>
    <row r="405" spans="1:15" x14ac:dyDescent="0.35">
      <c r="A405" t="s">
        <v>787</v>
      </c>
      <c r="B405" s="5" t="s">
        <v>788</v>
      </c>
      <c r="C405" s="4" t="s">
        <v>13</v>
      </c>
      <c r="D405" s="4" t="s">
        <v>14</v>
      </c>
      <c r="E405" s="4" t="s">
        <v>15</v>
      </c>
      <c r="F405" s="4" t="s">
        <v>37</v>
      </c>
      <c r="G405" s="4" t="s">
        <v>183</v>
      </c>
      <c r="H405" s="4" t="s">
        <v>72</v>
      </c>
      <c r="I405" s="4" t="s">
        <v>28</v>
      </c>
      <c r="J405" s="3">
        <v>3</v>
      </c>
      <c r="K405" s="6">
        <v>54501</v>
      </c>
      <c r="L405" s="6">
        <f t="shared" si="18"/>
        <v>38150.699999999997</v>
      </c>
      <c r="M405" s="6">
        <v>16350.300000000003</v>
      </c>
      <c r="N405" s="5" t="str">
        <f t="shared" si="19"/>
        <v>Sep</v>
      </c>
      <c r="O405" s="5" t="str">
        <f t="shared" si="20"/>
        <v xml:space="preserve"> 2024</v>
      </c>
    </row>
    <row r="406" spans="1:15" x14ac:dyDescent="0.35">
      <c r="A406" t="s">
        <v>789</v>
      </c>
      <c r="B406" s="5" t="s">
        <v>790</v>
      </c>
      <c r="C406" s="4" t="s">
        <v>13</v>
      </c>
      <c r="D406" s="4" t="s">
        <v>125</v>
      </c>
      <c r="E406" s="4" t="s">
        <v>126</v>
      </c>
      <c r="F406" s="4" t="s">
        <v>16</v>
      </c>
      <c r="G406" s="4" t="s">
        <v>42</v>
      </c>
      <c r="H406" s="4" t="s">
        <v>27</v>
      </c>
      <c r="I406" s="4" t="s">
        <v>47</v>
      </c>
      <c r="J406" s="3">
        <v>8</v>
      </c>
      <c r="K406" s="6">
        <v>77856</v>
      </c>
      <c r="L406" s="6">
        <f t="shared" si="18"/>
        <v>54499.199999999997</v>
      </c>
      <c r="M406" s="6">
        <v>23356.800000000003</v>
      </c>
      <c r="N406" s="5" t="str">
        <f t="shared" si="19"/>
        <v>Jun</v>
      </c>
      <c r="O406" s="5" t="str">
        <f t="shared" si="20"/>
        <v xml:space="preserve"> 2024</v>
      </c>
    </row>
    <row r="407" spans="1:15" x14ac:dyDescent="0.35">
      <c r="A407" t="s">
        <v>791</v>
      </c>
      <c r="B407" s="5" t="s">
        <v>600</v>
      </c>
      <c r="C407" s="4" t="s">
        <v>31</v>
      </c>
      <c r="D407" s="4" t="s">
        <v>104</v>
      </c>
      <c r="E407" s="4" t="s">
        <v>105</v>
      </c>
      <c r="F407" s="4" t="s">
        <v>37</v>
      </c>
      <c r="G407" s="4" t="s">
        <v>38</v>
      </c>
      <c r="H407" s="4" t="s">
        <v>27</v>
      </c>
      <c r="I407" s="4" t="s">
        <v>60</v>
      </c>
      <c r="J407" s="3">
        <v>3</v>
      </c>
      <c r="K407" s="6">
        <v>136800</v>
      </c>
      <c r="L407" s="6">
        <f t="shared" si="18"/>
        <v>95760</v>
      </c>
      <c r="M407" s="6">
        <v>41040</v>
      </c>
      <c r="N407" s="5" t="str">
        <f t="shared" si="19"/>
        <v>Nov</v>
      </c>
      <c r="O407" s="5" t="str">
        <f t="shared" si="20"/>
        <v xml:space="preserve"> 2023</v>
      </c>
    </row>
    <row r="408" spans="1:15" x14ac:dyDescent="0.35">
      <c r="A408" t="s">
        <v>792</v>
      </c>
      <c r="B408" s="5" t="s">
        <v>793</v>
      </c>
      <c r="C408" s="4" t="s">
        <v>22</v>
      </c>
      <c r="D408" s="4" t="s">
        <v>90</v>
      </c>
      <c r="E408" s="4" t="s">
        <v>110</v>
      </c>
      <c r="F408" s="4" t="s">
        <v>25</v>
      </c>
      <c r="G408" s="4" t="s">
        <v>77</v>
      </c>
      <c r="H408" s="4" t="s">
        <v>72</v>
      </c>
      <c r="I408" s="4" t="s">
        <v>28</v>
      </c>
      <c r="J408" s="3">
        <v>9</v>
      </c>
      <c r="K408" s="6">
        <v>364590</v>
      </c>
      <c r="L408" s="6">
        <f t="shared" si="18"/>
        <v>255212.99999999997</v>
      </c>
      <c r="M408" s="6">
        <v>109377.00000000003</v>
      </c>
      <c r="N408" s="5" t="str">
        <f t="shared" si="19"/>
        <v>May</v>
      </c>
      <c r="O408" s="5" t="str">
        <f t="shared" si="20"/>
        <v xml:space="preserve"> 2023</v>
      </c>
    </row>
    <row r="409" spans="1:15" x14ac:dyDescent="0.35">
      <c r="A409" t="s">
        <v>794</v>
      </c>
      <c r="B409" s="5" t="s">
        <v>795</v>
      </c>
      <c r="C409" s="4" t="s">
        <v>31</v>
      </c>
      <c r="D409" s="4" t="s">
        <v>32</v>
      </c>
      <c r="E409" s="4" t="s">
        <v>33</v>
      </c>
      <c r="F409" s="4" t="s">
        <v>37</v>
      </c>
      <c r="G409" s="4" t="s">
        <v>38</v>
      </c>
      <c r="H409" s="4" t="s">
        <v>72</v>
      </c>
      <c r="I409" s="4" t="s">
        <v>39</v>
      </c>
      <c r="J409" s="3">
        <v>5</v>
      </c>
      <c r="K409" s="6">
        <v>139265</v>
      </c>
      <c r="L409" s="6">
        <f t="shared" si="18"/>
        <v>97485.5</v>
      </c>
      <c r="M409" s="6">
        <v>41779.5</v>
      </c>
      <c r="N409" s="5" t="str">
        <f t="shared" si="19"/>
        <v>Mar</v>
      </c>
      <c r="O409" s="5" t="str">
        <f t="shared" si="20"/>
        <v xml:space="preserve"> 2024</v>
      </c>
    </row>
    <row r="410" spans="1:15" x14ac:dyDescent="0.35">
      <c r="A410" t="s">
        <v>796</v>
      </c>
      <c r="B410" s="5" t="s">
        <v>489</v>
      </c>
      <c r="C410" s="4" t="s">
        <v>31</v>
      </c>
      <c r="D410" s="4" t="s">
        <v>104</v>
      </c>
      <c r="E410" s="4" t="s">
        <v>105</v>
      </c>
      <c r="F410" s="4" t="s">
        <v>16</v>
      </c>
      <c r="G410" s="4" t="s">
        <v>122</v>
      </c>
      <c r="H410" s="4" t="s">
        <v>18</v>
      </c>
      <c r="I410" s="4" t="s">
        <v>60</v>
      </c>
      <c r="J410" s="3">
        <v>9</v>
      </c>
      <c r="K410" s="6">
        <v>420705</v>
      </c>
      <c r="L410" s="6">
        <f t="shared" si="18"/>
        <v>294493.5</v>
      </c>
      <c r="M410" s="6">
        <v>126211.5</v>
      </c>
      <c r="N410" s="5" t="str">
        <f t="shared" si="19"/>
        <v>Feb</v>
      </c>
      <c r="O410" s="5" t="str">
        <f t="shared" si="20"/>
        <v xml:space="preserve"> 2024</v>
      </c>
    </row>
    <row r="411" spans="1:15" x14ac:dyDescent="0.35">
      <c r="A411" t="s">
        <v>797</v>
      </c>
      <c r="B411" s="5" t="s">
        <v>798</v>
      </c>
      <c r="C411" s="4" t="s">
        <v>22</v>
      </c>
      <c r="D411" s="4" t="s">
        <v>90</v>
      </c>
      <c r="E411" s="4" t="s">
        <v>91</v>
      </c>
      <c r="F411" s="4" t="s">
        <v>25</v>
      </c>
      <c r="G411" s="4" t="s">
        <v>77</v>
      </c>
      <c r="H411" s="4" t="s">
        <v>27</v>
      </c>
      <c r="I411" s="4" t="s">
        <v>39</v>
      </c>
      <c r="J411" s="3">
        <v>4</v>
      </c>
      <c r="K411" s="6">
        <v>94284</v>
      </c>
      <c r="L411" s="6">
        <f t="shared" si="18"/>
        <v>65998.8</v>
      </c>
      <c r="M411" s="6">
        <v>28285.199999999997</v>
      </c>
      <c r="N411" s="5" t="str">
        <f t="shared" si="19"/>
        <v>Jul</v>
      </c>
      <c r="O411" s="5" t="str">
        <f t="shared" si="20"/>
        <v xml:space="preserve"> 2024</v>
      </c>
    </row>
    <row r="412" spans="1:15" x14ac:dyDescent="0.35">
      <c r="A412" t="s">
        <v>799</v>
      </c>
      <c r="B412" s="5" t="s">
        <v>800</v>
      </c>
      <c r="C412" s="4" t="s">
        <v>31</v>
      </c>
      <c r="D412" s="4" t="s">
        <v>104</v>
      </c>
      <c r="E412" s="4" t="s">
        <v>105</v>
      </c>
      <c r="F412" s="4" t="s">
        <v>25</v>
      </c>
      <c r="G412" s="4" t="s">
        <v>71</v>
      </c>
      <c r="H412" s="4" t="s">
        <v>18</v>
      </c>
      <c r="I412" s="4" t="s">
        <v>28</v>
      </c>
      <c r="J412" s="3">
        <v>6</v>
      </c>
      <c r="K412" s="6">
        <v>241524</v>
      </c>
      <c r="L412" s="6">
        <f t="shared" si="18"/>
        <v>169066.8</v>
      </c>
      <c r="M412" s="6">
        <v>72457.200000000012</v>
      </c>
      <c r="N412" s="5" t="str">
        <f t="shared" si="19"/>
        <v>Dec</v>
      </c>
      <c r="O412" s="5" t="str">
        <f t="shared" si="20"/>
        <v xml:space="preserve"> 2023</v>
      </c>
    </row>
    <row r="413" spans="1:15" x14ac:dyDescent="0.35">
      <c r="A413" t="s">
        <v>801</v>
      </c>
      <c r="B413" s="5" t="s">
        <v>802</v>
      </c>
      <c r="C413" s="4" t="s">
        <v>55</v>
      </c>
      <c r="D413" s="4" t="s">
        <v>82</v>
      </c>
      <c r="E413" s="4" t="s">
        <v>83</v>
      </c>
      <c r="F413" s="4" t="s">
        <v>16</v>
      </c>
      <c r="G413" s="4" t="s">
        <v>34</v>
      </c>
      <c r="H413" s="4" t="s">
        <v>72</v>
      </c>
      <c r="I413" s="4" t="s">
        <v>19</v>
      </c>
      <c r="J413" s="3">
        <v>7</v>
      </c>
      <c r="K413" s="6">
        <v>267246</v>
      </c>
      <c r="L413" s="6">
        <f t="shared" si="18"/>
        <v>187072.19999999998</v>
      </c>
      <c r="M413" s="6">
        <v>80173.800000000017</v>
      </c>
      <c r="N413" s="5" t="str">
        <f t="shared" si="19"/>
        <v>Oct</v>
      </c>
      <c r="O413" s="5" t="str">
        <f t="shared" si="20"/>
        <v xml:space="preserve"> 2024</v>
      </c>
    </row>
    <row r="414" spans="1:15" x14ac:dyDescent="0.35">
      <c r="A414" t="s">
        <v>803</v>
      </c>
      <c r="B414" s="5" t="s">
        <v>804</v>
      </c>
      <c r="C414" s="4" t="s">
        <v>55</v>
      </c>
      <c r="D414" s="4" t="s">
        <v>63</v>
      </c>
      <c r="E414" s="4" t="s">
        <v>64</v>
      </c>
      <c r="F414" s="4" t="s">
        <v>37</v>
      </c>
      <c r="G414" s="4" t="s">
        <v>38</v>
      </c>
      <c r="H414" s="4" t="s">
        <v>72</v>
      </c>
      <c r="I414" s="4" t="s">
        <v>60</v>
      </c>
      <c r="J414" s="3">
        <v>4</v>
      </c>
      <c r="K414" s="6">
        <v>167160</v>
      </c>
      <c r="L414" s="6">
        <f t="shared" si="18"/>
        <v>117011.99999999999</v>
      </c>
      <c r="M414" s="6">
        <v>50148.000000000015</v>
      </c>
      <c r="N414" s="5" t="str">
        <f t="shared" si="19"/>
        <v>Dec</v>
      </c>
      <c r="O414" s="5" t="str">
        <f t="shared" si="20"/>
        <v xml:space="preserve"> 2023</v>
      </c>
    </row>
    <row r="415" spans="1:15" x14ac:dyDescent="0.35">
      <c r="A415" t="s">
        <v>805</v>
      </c>
      <c r="B415" s="5" t="s">
        <v>806</v>
      </c>
      <c r="C415" s="4" t="s">
        <v>22</v>
      </c>
      <c r="D415" s="4" t="s">
        <v>90</v>
      </c>
      <c r="E415" s="4" t="s">
        <v>110</v>
      </c>
      <c r="F415" s="4" t="s">
        <v>37</v>
      </c>
      <c r="G415" s="4" t="s">
        <v>148</v>
      </c>
      <c r="H415" s="4" t="s">
        <v>18</v>
      </c>
      <c r="I415" s="4" t="s">
        <v>60</v>
      </c>
      <c r="J415" s="3">
        <v>6</v>
      </c>
      <c r="K415" s="6">
        <v>201168</v>
      </c>
      <c r="L415" s="6">
        <f t="shared" si="18"/>
        <v>140817.59999999998</v>
      </c>
      <c r="M415" s="6">
        <v>60350.400000000023</v>
      </c>
      <c r="N415" s="5" t="str">
        <f t="shared" si="19"/>
        <v>Aug</v>
      </c>
      <c r="O415" s="5" t="str">
        <f t="shared" si="20"/>
        <v xml:space="preserve"> 2023</v>
      </c>
    </row>
    <row r="416" spans="1:15" x14ac:dyDescent="0.35">
      <c r="A416" t="s">
        <v>807</v>
      </c>
      <c r="B416" s="5" t="s">
        <v>808</v>
      </c>
      <c r="C416" s="4" t="s">
        <v>22</v>
      </c>
      <c r="D416" s="4" t="s">
        <v>86</v>
      </c>
      <c r="E416" s="4" t="s">
        <v>87</v>
      </c>
      <c r="F416" s="4" t="s">
        <v>67</v>
      </c>
      <c r="G416" s="4" t="s">
        <v>180</v>
      </c>
      <c r="H416" s="4" t="s">
        <v>72</v>
      </c>
      <c r="I416" s="4" t="s">
        <v>39</v>
      </c>
      <c r="J416" s="3">
        <v>7</v>
      </c>
      <c r="K416" s="6">
        <v>253484</v>
      </c>
      <c r="L416" s="6">
        <f t="shared" si="18"/>
        <v>177438.8</v>
      </c>
      <c r="M416" s="6">
        <v>76045.200000000012</v>
      </c>
      <c r="N416" s="5" t="str">
        <f t="shared" si="19"/>
        <v>Mar</v>
      </c>
      <c r="O416" s="5" t="str">
        <f t="shared" si="20"/>
        <v xml:space="preserve"> 2024</v>
      </c>
    </row>
    <row r="417" spans="1:15" x14ac:dyDescent="0.35">
      <c r="A417" t="s">
        <v>809</v>
      </c>
      <c r="B417" s="5" t="s">
        <v>529</v>
      </c>
      <c r="C417" s="4" t="s">
        <v>22</v>
      </c>
      <c r="D417" s="4" t="s">
        <v>90</v>
      </c>
      <c r="E417" s="4" t="s">
        <v>110</v>
      </c>
      <c r="F417" s="4" t="s">
        <v>25</v>
      </c>
      <c r="G417" s="4" t="s">
        <v>26</v>
      </c>
      <c r="H417" s="4" t="s">
        <v>18</v>
      </c>
      <c r="I417" s="4" t="s">
        <v>28</v>
      </c>
      <c r="J417" s="3">
        <v>6</v>
      </c>
      <c r="K417" s="6">
        <v>4158</v>
      </c>
      <c r="L417" s="6">
        <f t="shared" si="18"/>
        <v>2910.6</v>
      </c>
      <c r="M417" s="6">
        <v>1247.4000000000001</v>
      </c>
      <c r="N417" s="5" t="str">
        <f t="shared" si="19"/>
        <v>Nov</v>
      </c>
      <c r="O417" s="5" t="str">
        <f t="shared" si="20"/>
        <v xml:space="preserve"> 2023</v>
      </c>
    </row>
    <row r="418" spans="1:15" x14ac:dyDescent="0.35">
      <c r="A418" t="s">
        <v>810</v>
      </c>
      <c r="B418" s="5" t="s">
        <v>811</v>
      </c>
      <c r="C418" s="4" t="s">
        <v>31</v>
      </c>
      <c r="D418" s="4" t="s">
        <v>104</v>
      </c>
      <c r="E418" s="4" t="s">
        <v>105</v>
      </c>
      <c r="F418" s="4" t="s">
        <v>67</v>
      </c>
      <c r="G418" s="4" t="s">
        <v>68</v>
      </c>
      <c r="H418" s="4" t="s">
        <v>18</v>
      </c>
      <c r="I418" s="4" t="s">
        <v>47</v>
      </c>
      <c r="J418" s="3">
        <v>8</v>
      </c>
      <c r="K418" s="6">
        <v>290416</v>
      </c>
      <c r="L418" s="6">
        <f t="shared" si="18"/>
        <v>203291.19999999998</v>
      </c>
      <c r="M418" s="6">
        <v>87124.800000000017</v>
      </c>
      <c r="N418" s="5" t="str">
        <f t="shared" si="19"/>
        <v>Jan</v>
      </c>
      <c r="O418" s="5" t="str">
        <f t="shared" si="20"/>
        <v xml:space="preserve"> 2024</v>
      </c>
    </row>
    <row r="419" spans="1:15" x14ac:dyDescent="0.35">
      <c r="A419" t="s">
        <v>812</v>
      </c>
      <c r="B419" s="5" t="s">
        <v>813</v>
      </c>
      <c r="C419" s="4" t="s">
        <v>55</v>
      </c>
      <c r="D419" s="4" t="s">
        <v>98</v>
      </c>
      <c r="E419" s="4" t="s">
        <v>99</v>
      </c>
      <c r="F419" s="4" t="s">
        <v>37</v>
      </c>
      <c r="G419" s="4" t="s">
        <v>38</v>
      </c>
      <c r="H419" s="4" t="s">
        <v>27</v>
      </c>
      <c r="I419" s="4" t="s">
        <v>47</v>
      </c>
      <c r="J419" s="3">
        <v>7</v>
      </c>
      <c r="K419" s="6">
        <v>233205</v>
      </c>
      <c r="L419" s="6">
        <f t="shared" si="18"/>
        <v>163243.5</v>
      </c>
      <c r="M419" s="6">
        <v>69961.5</v>
      </c>
      <c r="N419" s="5" t="str">
        <f t="shared" si="19"/>
        <v>Feb</v>
      </c>
      <c r="O419" s="5" t="str">
        <f t="shared" si="20"/>
        <v xml:space="preserve"> 2024</v>
      </c>
    </row>
    <row r="420" spans="1:15" x14ac:dyDescent="0.35">
      <c r="A420" t="s">
        <v>814</v>
      </c>
      <c r="B420" s="5" t="s">
        <v>762</v>
      </c>
      <c r="C420" s="4" t="s">
        <v>13</v>
      </c>
      <c r="D420" s="4" t="s">
        <v>118</v>
      </c>
      <c r="E420" s="4" t="s">
        <v>119</v>
      </c>
      <c r="F420" s="4" t="s">
        <v>67</v>
      </c>
      <c r="G420" s="4" t="s">
        <v>134</v>
      </c>
      <c r="H420" s="4" t="s">
        <v>72</v>
      </c>
      <c r="I420" s="4" t="s">
        <v>39</v>
      </c>
      <c r="J420" s="3">
        <v>6</v>
      </c>
      <c r="K420" s="6">
        <v>85788</v>
      </c>
      <c r="L420" s="6">
        <f t="shared" si="18"/>
        <v>60051.6</v>
      </c>
      <c r="M420" s="6">
        <v>25736.400000000001</v>
      </c>
      <c r="N420" s="5" t="str">
        <f t="shared" si="19"/>
        <v>Nov</v>
      </c>
      <c r="O420" s="5" t="str">
        <f t="shared" si="20"/>
        <v xml:space="preserve"> 2023</v>
      </c>
    </row>
    <row r="421" spans="1:15" x14ac:dyDescent="0.35">
      <c r="A421" t="s">
        <v>815</v>
      </c>
      <c r="B421" s="5" t="s">
        <v>816</v>
      </c>
      <c r="C421" s="4" t="s">
        <v>31</v>
      </c>
      <c r="D421" s="4" t="s">
        <v>104</v>
      </c>
      <c r="E421" s="4" t="s">
        <v>105</v>
      </c>
      <c r="F421" s="4" t="s">
        <v>67</v>
      </c>
      <c r="G421" s="4" t="s">
        <v>68</v>
      </c>
      <c r="H421" s="4" t="s">
        <v>18</v>
      </c>
      <c r="I421" s="4" t="s">
        <v>47</v>
      </c>
      <c r="J421" s="3">
        <v>5</v>
      </c>
      <c r="K421" s="6">
        <v>16030</v>
      </c>
      <c r="L421" s="6">
        <f t="shared" si="18"/>
        <v>11221</v>
      </c>
      <c r="M421" s="6">
        <v>4809</v>
      </c>
      <c r="N421" s="5" t="str">
        <f t="shared" si="19"/>
        <v>Jun</v>
      </c>
      <c r="O421" s="5" t="str">
        <f t="shared" si="20"/>
        <v xml:space="preserve"> 2023</v>
      </c>
    </row>
    <row r="422" spans="1:15" x14ac:dyDescent="0.35">
      <c r="A422" t="s">
        <v>817</v>
      </c>
      <c r="B422" s="5" t="s">
        <v>818</v>
      </c>
      <c r="C422" s="4" t="s">
        <v>31</v>
      </c>
      <c r="D422" s="4" t="s">
        <v>32</v>
      </c>
      <c r="E422" s="4" t="s">
        <v>33</v>
      </c>
      <c r="F422" s="4" t="s">
        <v>25</v>
      </c>
      <c r="G422" s="4" t="s">
        <v>71</v>
      </c>
      <c r="H422" s="4" t="s">
        <v>72</v>
      </c>
      <c r="I422" s="4" t="s">
        <v>60</v>
      </c>
      <c r="J422" s="3">
        <v>4</v>
      </c>
      <c r="K422" s="6">
        <v>23960</v>
      </c>
      <c r="L422" s="6">
        <f t="shared" si="18"/>
        <v>16772</v>
      </c>
      <c r="M422" s="6">
        <v>7188</v>
      </c>
      <c r="N422" s="5" t="str">
        <f t="shared" si="19"/>
        <v>Aug</v>
      </c>
      <c r="O422" s="5" t="str">
        <f t="shared" si="20"/>
        <v xml:space="preserve"> 2024</v>
      </c>
    </row>
    <row r="423" spans="1:15" x14ac:dyDescent="0.35">
      <c r="A423" t="s">
        <v>819</v>
      </c>
      <c r="B423" s="5" t="s">
        <v>318</v>
      </c>
      <c r="C423" s="4" t="s">
        <v>55</v>
      </c>
      <c r="D423" s="4" t="s">
        <v>56</v>
      </c>
      <c r="E423" s="4" t="s">
        <v>57</v>
      </c>
      <c r="F423" s="4" t="s">
        <v>37</v>
      </c>
      <c r="G423" s="4" t="s">
        <v>183</v>
      </c>
      <c r="H423" s="4" t="s">
        <v>27</v>
      </c>
      <c r="I423" s="4" t="s">
        <v>19</v>
      </c>
      <c r="J423" s="3">
        <v>7</v>
      </c>
      <c r="K423" s="6">
        <v>141911</v>
      </c>
      <c r="L423" s="6">
        <f t="shared" si="18"/>
        <v>99337.7</v>
      </c>
      <c r="M423" s="6">
        <v>42573.3</v>
      </c>
      <c r="N423" s="5" t="str">
        <f t="shared" si="19"/>
        <v>Jun</v>
      </c>
      <c r="O423" s="5" t="str">
        <f t="shared" si="20"/>
        <v xml:space="preserve"> 2024</v>
      </c>
    </row>
    <row r="424" spans="1:15" x14ac:dyDescent="0.35">
      <c r="A424" t="s">
        <v>820</v>
      </c>
      <c r="B424" s="5" t="s">
        <v>154</v>
      </c>
      <c r="C424" s="4" t="s">
        <v>55</v>
      </c>
      <c r="D424" s="4" t="s">
        <v>82</v>
      </c>
      <c r="E424" s="4" t="s">
        <v>83</v>
      </c>
      <c r="F424" s="4" t="s">
        <v>25</v>
      </c>
      <c r="G424" s="4" t="s">
        <v>71</v>
      </c>
      <c r="H424" s="4" t="s">
        <v>18</v>
      </c>
      <c r="I424" s="4" t="s">
        <v>28</v>
      </c>
      <c r="J424" s="3">
        <v>5</v>
      </c>
      <c r="K424" s="6">
        <v>214055</v>
      </c>
      <c r="L424" s="6">
        <f t="shared" si="18"/>
        <v>149838.5</v>
      </c>
      <c r="M424" s="6">
        <v>64216.5</v>
      </c>
      <c r="N424" s="5" t="str">
        <f t="shared" si="19"/>
        <v>Jul</v>
      </c>
      <c r="O424" s="5" t="str">
        <f t="shared" si="20"/>
        <v xml:space="preserve"> 2024</v>
      </c>
    </row>
    <row r="425" spans="1:15" x14ac:dyDescent="0.35">
      <c r="A425" t="s">
        <v>821</v>
      </c>
      <c r="B425" s="5" t="s">
        <v>822</v>
      </c>
      <c r="C425" s="4" t="s">
        <v>31</v>
      </c>
      <c r="D425" s="4" t="s">
        <v>32</v>
      </c>
      <c r="E425" s="4" t="s">
        <v>33</v>
      </c>
      <c r="F425" s="4" t="s">
        <v>37</v>
      </c>
      <c r="G425" s="4" t="s">
        <v>148</v>
      </c>
      <c r="H425" s="4" t="s">
        <v>18</v>
      </c>
      <c r="I425" s="4" t="s">
        <v>39</v>
      </c>
      <c r="J425" s="3">
        <v>4</v>
      </c>
      <c r="K425" s="6">
        <v>169236</v>
      </c>
      <c r="L425" s="6">
        <f t="shared" si="18"/>
        <v>118465.2</v>
      </c>
      <c r="M425" s="6">
        <v>50770.8</v>
      </c>
      <c r="N425" s="5" t="str">
        <f t="shared" si="19"/>
        <v>Nov</v>
      </c>
      <c r="O425" s="5" t="str">
        <f t="shared" si="20"/>
        <v xml:space="preserve"> 2024</v>
      </c>
    </row>
    <row r="426" spans="1:15" x14ac:dyDescent="0.35">
      <c r="A426" t="s">
        <v>823</v>
      </c>
      <c r="B426" s="5" t="s">
        <v>248</v>
      </c>
      <c r="C426" s="4" t="s">
        <v>55</v>
      </c>
      <c r="D426" s="4" t="s">
        <v>63</v>
      </c>
      <c r="E426" s="4" t="s">
        <v>64</v>
      </c>
      <c r="F426" s="4" t="s">
        <v>25</v>
      </c>
      <c r="G426" s="4" t="s">
        <v>71</v>
      </c>
      <c r="H426" s="4" t="s">
        <v>72</v>
      </c>
      <c r="I426" s="4" t="s">
        <v>28</v>
      </c>
      <c r="J426" s="3">
        <v>5</v>
      </c>
      <c r="K426" s="6">
        <v>182010</v>
      </c>
      <c r="L426" s="6">
        <f t="shared" si="18"/>
        <v>127406.99999999999</v>
      </c>
      <c r="M426" s="6">
        <v>54603.000000000015</v>
      </c>
      <c r="N426" s="5" t="str">
        <f t="shared" si="19"/>
        <v>Jun</v>
      </c>
      <c r="O426" s="5" t="str">
        <f t="shared" si="20"/>
        <v xml:space="preserve"> 2024</v>
      </c>
    </row>
    <row r="427" spans="1:15" x14ac:dyDescent="0.35">
      <c r="A427" t="s">
        <v>824</v>
      </c>
      <c r="B427" s="5" t="s">
        <v>692</v>
      </c>
      <c r="C427" s="4" t="s">
        <v>31</v>
      </c>
      <c r="D427" s="4" t="s">
        <v>32</v>
      </c>
      <c r="E427" s="4" t="s">
        <v>33</v>
      </c>
      <c r="F427" s="4" t="s">
        <v>16</v>
      </c>
      <c r="G427" s="4" t="s">
        <v>17</v>
      </c>
      <c r="H427" s="4" t="s">
        <v>18</v>
      </c>
      <c r="I427" s="4" t="s">
        <v>47</v>
      </c>
      <c r="J427" s="3">
        <v>10</v>
      </c>
      <c r="K427" s="6">
        <v>431220</v>
      </c>
      <c r="L427" s="6">
        <f t="shared" si="18"/>
        <v>301854</v>
      </c>
      <c r="M427" s="6">
        <v>129366</v>
      </c>
      <c r="N427" s="5" t="str">
        <f t="shared" si="19"/>
        <v>Mar</v>
      </c>
      <c r="O427" s="5" t="str">
        <f t="shared" si="20"/>
        <v xml:space="preserve"> 2024</v>
      </c>
    </row>
    <row r="428" spans="1:15" x14ac:dyDescent="0.35">
      <c r="A428" t="s">
        <v>825</v>
      </c>
      <c r="B428" s="5" t="s">
        <v>271</v>
      </c>
      <c r="C428" s="4" t="s">
        <v>55</v>
      </c>
      <c r="D428" s="4" t="s">
        <v>63</v>
      </c>
      <c r="E428" s="4" t="s">
        <v>64</v>
      </c>
      <c r="F428" s="4" t="s">
        <v>67</v>
      </c>
      <c r="G428" s="4" t="s">
        <v>68</v>
      </c>
      <c r="H428" s="4" t="s">
        <v>27</v>
      </c>
      <c r="I428" s="4" t="s">
        <v>19</v>
      </c>
      <c r="J428" s="3">
        <v>2</v>
      </c>
      <c r="K428" s="6">
        <v>15732</v>
      </c>
      <c r="L428" s="6">
        <f t="shared" si="18"/>
        <v>11012.4</v>
      </c>
      <c r="M428" s="6">
        <v>4719.6000000000004</v>
      </c>
      <c r="N428" s="5" t="str">
        <f t="shared" si="19"/>
        <v>Apr</v>
      </c>
      <c r="O428" s="5" t="str">
        <f t="shared" si="20"/>
        <v xml:space="preserve"> 2023</v>
      </c>
    </row>
    <row r="429" spans="1:15" x14ac:dyDescent="0.35">
      <c r="A429" t="s">
        <v>826</v>
      </c>
      <c r="B429" s="5" t="s">
        <v>827</v>
      </c>
      <c r="C429" s="4" t="s">
        <v>31</v>
      </c>
      <c r="D429" s="4" t="s">
        <v>104</v>
      </c>
      <c r="E429" s="4" t="s">
        <v>105</v>
      </c>
      <c r="F429" s="4" t="s">
        <v>16</v>
      </c>
      <c r="G429" s="4" t="s">
        <v>42</v>
      </c>
      <c r="H429" s="4" t="s">
        <v>18</v>
      </c>
      <c r="I429" s="4" t="s">
        <v>47</v>
      </c>
      <c r="J429" s="3">
        <v>7</v>
      </c>
      <c r="K429" s="6">
        <v>3927</v>
      </c>
      <c r="L429" s="6">
        <f t="shared" si="18"/>
        <v>2748.8999999999996</v>
      </c>
      <c r="M429" s="6">
        <v>1178.1000000000004</v>
      </c>
      <c r="N429" s="5" t="str">
        <f t="shared" si="19"/>
        <v>Feb</v>
      </c>
      <c r="O429" s="5" t="str">
        <f t="shared" si="20"/>
        <v xml:space="preserve"> 2024</v>
      </c>
    </row>
    <row r="430" spans="1:15" x14ac:dyDescent="0.35">
      <c r="A430" t="s">
        <v>828</v>
      </c>
      <c r="B430" s="5" t="s">
        <v>829</v>
      </c>
      <c r="C430" s="4" t="s">
        <v>55</v>
      </c>
      <c r="D430" s="4" t="s">
        <v>98</v>
      </c>
      <c r="E430" s="4" t="s">
        <v>99</v>
      </c>
      <c r="F430" s="4" t="s">
        <v>67</v>
      </c>
      <c r="G430" s="4" t="s">
        <v>68</v>
      </c>
      <c r="H430" s="4" t="s">
        <v>18</v>
      </c>
      <c r="I430" s="4" t="s">
        <v>28</v>
      </c>
      <c r="J430" s="3">
        <v>3</v>
      </c>
      <c r="K430" s="6">
        <v>42117</v>
      </c>
      <c r="L430" s="6">
        <f t="shared" si="18"/>
        <v>29481.899999999998</v>
      </c>
      <c r="M430" s="6">
        <v>12635.100000000002</v>
      </c>
      <c r="N430" s="5" t="str">
        <f t="shared" si="19"/>
        <v>Jan</v>
      </c>
      <c r="O430" s="5" t="str">
        <f t="shared" si="20"/>
        <v xml:space="preserve"> 2023</v>
      </c>
    </row>
    <row r="431" spans="1:15" x14ac:dyDescent="0.35">
      <c r="A431" t="s">
        <v>830</v>
      </c>
      <c r="B431" s="5" t="s">
        <v>634</v>
      </c>
      <c r="C431" s="4" t="s">
        <v>13</v>
      </c>
      <c r="D431" s="4" t="s">
        <v>125</v>
      </c>
      <c r="E431" s="4" t="s">
        <v>126</v>
      </c>
      <c r="F431" s="4" t="s">
        <v>67</v>
      </c>
      <c r="G431" s="4" t="s">
        <v>68</v>
      </c>
      <c r="H431" s="4" t="s">
        <v>18</v>
      </c>
      <c r="I431" s="4" t="s">
        <v>39</v>
      </c>
      <c r="J431" s="3">
        <v>5</v>
      </c>
      <c r="K431" s="6">
        <v>172870</v>
      </c>
      <c r="L431" s="6">
        <f t="shared" si="18"/>
        <v>121008.99999999999</v>
      </c>
      <c r="M431" s="6">
        <v>51861.000000000015</v>
      </c>
      <c r="N431" s="5" t="str">
        <f t="shared" si="19"/>
        <v>Feb</v>
      </c>
      <c r="O431" s="5" t="str">
        <f t="shared" si="20"/>
        <v xml:space="preserve"> 2024</v>
      </c>
    </row>
    <row r="432" spans="1:15" x14ac:dyDescent="0.35">
      <c r="A432" t="s">
        <v>831</v>
      </c>
      <c r="B432" s="5" t="s">
        <v>367</v>
      </c>
      <c r="C432" s="4" t="s">
        <v>55</v>
      </c>
      <c r="D432" s="4" t="s">
        <v>82</v>
      </c>
      <c r="E432" s="4" t="s">
        <v>83</v>
      </c>
      <c r="F432" s="4" t="s">
        <v>25</v>
      </c>
      <c r="G432" s="4" t="s">
        <v>26</v>
      </c>
      <c r="H432" s="4" t="s">
        <v>27</v>
      </c>
      <c r="I432" s="4" t="s">
        <v>39</v>
      </c>
      <c r="J432" s="3">
        <v>8</v>
      </c>
      <c r="K432" s="6">
        <v>241728</v>
      </c>
      <c r="L432" s="6">
        <f t="shared" si="18"/>
        <v>169209.59999999998</v>
      </c>
      <c r="M432" s="6">
        <v>72518.400000000023</v>
      </c>
      <c r="N432" s="5" t="str">
        <f t="shared" si="19"/>
        <v>Jun</v>
      </c>
      <c r="O432" s="5" t="str">
        <f t="shared" si="20"/>
        <v xml:space="preserve"> 2024</v>
      </c>
    </row>
    <row r="433" spans="1:15" x14ac:dyDescent="0.35">
      <c r="A433" t="s">
        <v>832</v>
      </c>
      <c r="B433" s="5" t="s">
        <v>645</v>
      </c>
      <c r="C433" s="4" t="s">
        <v>55</v>
      </c>
      <c r="D433" s="4" t="s">
        <v>56</v>
      </c>
      <c r="E433" s="4" t="s">
        <v>57</v>
      </c>
      <c r="F433" s="4" t="s">
        <v>67</v>
      </c>
      <c r="G433" s="4" t="s">
        <v>113</v>
      </c>
      <c r="H433" s="4" t="s">
        <v>27</v>
      </c>
      <c r="I433" s="4" t="s">
        <v>19</v>
      </c>
      <c r="J433" s="3">
        <v>4</v>
      </c>
      <c r="K433" s="6">
        <v>28636</v>
      </c>
      <c r="L433" s="6">
        <f t="shared" si="18"/>
        <v>20045.199999999997</v>
      </c>
      <c r="M433" s="6">
        <v>8590.8000000000029</v>
      </c>
      <c r="N433" s="5" t="str">
        <f t="shared" si="19"/>
        <v>Aug</v>
      </c>
      <c r="O433" s="5" t="str">
        <f t="shared" si="20"/>
        <v xml:space="preserve"> 2023</v>
      </c>
    </row>
    <row r="434" spans="1:15" x14ac:dyDescent="0.35">
      <c r="A434" t="s">
        <v>833</v>
      </c>
      <c r="B434" s="5" t="s">
        <v>834</v>
      </c>
      <c r="C434" s="4" t="s">
        <v>55</v>
      </c>
      <c r="D434" s="4" t="s">
        <v>82</v>
      </c>
      <c r="E434" s="4" t="s">
        <v>83</v>
      </c>
      <c r="F434" s="4" t="s">
        <v>67</v>
      </c>
      <c r="G434" s="4" t="s">
        <v>180</v>
      </c>
      <c r="H434" s="4" t="s">
        <v>72</v>
      </c>
      <c r="I434" s="4" t="s">
        <v>39</v>
      </c>
      <c r="J434" s="3">
        <v>2</v>
      </c>
      <c r="K434" s="6">
        <v>51748</v>
      </c>
      <c r="L434" s="6">
        <f t="shared" si="18"/>
        <v>36223.599999999999</v>
      </c>
      <c r="M434" s="6">
        <v>15524.400000000001</v>
      </c>
      <c r="N434" s="5" t="str">
        <f t="shared" si="19"/>
        <v>Jun</v>
      </c>
      <c r="O434" s="5" t="str">
        <f t="shared" si="20"/>
        <v xml:space="preserve"> 2023</v>
      </c>
    </row>
    <row r="435" spans="1:15" x14ac:dyDescent="0.35">
      <c r="A435" t="s">
        <v>835</v>
      </c>
      <c r="B435" s="5" t="s">
        <v>686</v>
      </c>
      <c r="C435" s="4" t="s">
        <v>22</v>
      </c>
      <c r="D435" s="4" t="s">
        <v>23</v>
      </c>
      <c r="E435" s="4" t="s">
        <v>24</v>
      </c>
      <c r="F435" s="4" t="s">
        <v>16</v>
      </c>
      <c r="G435" s="4" t="s">
        <v>17</v>
      </c>
      <c r="H435" s="4" t="s">
        <v>27</v>
      </c>
      <c r="I435" s="4" t="s">
        <v>47</v>
      </c>
      <c r="J435" s="3">
        <v>10</v>
      </c>
      <c r="K435" s="6">
        <v>390560</v>
      </c>
      <c r="L435" s="6">
        <f t="shared" si="18"/>
        <v>273392</v>
      </c>
      <c r="M435" s="6">
        <v>117168</v>
      </c>
      <c r="N435" s="5" t="str">
        <f t="shared" si="19"/>
        <v>Apr</v>
      </c>
      <c r="O435" s="5" t="str">
        <f t="shared" si="20"/>
        <v xml:space="preserve"> 2024</v>
      </c>
    </row>
    <row r="436" spans="1:15" x14ac:dyDescent="0.35">
      <c r="A436" t="s">
        <v>836</v>
      </c>
      <c r="B436" s="5" t="s">
        <v>837</v>
      </c>
      <c r="C436" s="4" t="s">
        <v>13</v>
      </c>
      <c r="D436" s="4" t="s">
        <v>162</v>
      </c>
      <c r="E436" s="4" t="s">
        <v>163</v>
      </c>
      <c r="F436" s="4" t="s">
        <v>16</v>
      </c>
      <c r="G436" s="4" t="s">
        <v>34</v>
      </c>
      <c r="H436" s="4" t="s">
        <v>18</v>
      </c>
      <c r="I436" s="4" t="s">
        <v>60</v>
      </c>
      <c r="J436" s="3">
        <v>3</v>
      </c>
      <c r="K436" s="6">
        <v>38094</v>
      </c>
      <c r="L436" s="6">
        <f t="shared" si="18"/>
        <v>26665.8</v>
      </c>
      <c r="M436" s="6">
        <v>11428.2</v>
      </c>
      <c r="N436" s="5" t="str">
        <f t="shared" si="19"/>
        <v>Oct</v>
      </c>
      <c r="O436" s="5" t="str">
        <f t="shared" si="20"/>
        <v xml:space="preserve"> 2023</v>
      </c>
    </row>
    <row r="437" spans="1:15" x14ac:dyDescent="0.35">
      <c r="A437" t="s">
        <v>838</v>
      </c>
      <c r="B437" s="5" t="s">
        <v>746</v>
      </c>
      <c r="C437" s="4" t="s">
        <v>55</v>
      </c>
      <c r="D437" s="4" t="s">
        <v>63</v>
      </c>
      <c r="E437" s="4" t="s">
        <v>64</v>
      </c>
      <c r="F437" s="4" t="s">
        <v>25</v>
      </c>
      <c r="G437" s="4" t="s">
        <v>26</v>
      </c>
      <c r="H437" s="4" t="s">
        <v>72</v>
      </c>
      <c r="I437" s="4" t="s">
        <v>47</v>
      </c>
      <c r="J437" s="3">
        <v>2</v>
      </c>
      <c r="K437" s="6">
        <v>44254</v>
      </c>
      <c r="L437" s="6">
        <f t="shared" si="18"/>
        <v>30977.8</v>
      </c>
      <c r="M437" s="6">
        <v>13276.2</v>
      </c>
      <c r="N437" s="5" t="str">
        <f t="shared" si="19"/>
        <v>May</v>
      </c>
      <c r="O437" s="5" t="str">
        <f t="shared" si="20"/>
        <v xml:space="preserve"> 2024</v>
      </c>
    </row>
    <row r="438" spans="1:15" x14ac:dyDescent="0.35">
      <c r="A438" t="s">
        <v>839</v>
      </c>
      <c r="B438" s="5" t="s">
        <v>840</v>
      </c>
      <c r="C438" s="4" t="s">
        <v>22</v>
      </c>
      <c r="D438" s="4" t="s">
        <v>23</v>
      </c>
      <c r="E438" s="4" t="s">
        <v>24</v>
      </c>
      <c r="F438" s="4" t="s">
        <v>16</v>
      </c>
      <c r="G438" s="4" t="s">
        <v>17</v>
      </c>
      <c r="H438" s="4" t="s">
        <v>18</v>
      </c>
      <c r="I438" s="4" t="s">
        <v>60</v>
      </c>
      <c r="J438" s="3">
        <v>5</v>
      </c>
      <c r="K438" s="6">
        <v>171225</v>
      </c>
      <c r="L438" s="6">
        <f t="shared" si="18"/>
        <v>119857.49999999999</v>
      </c>
      <c r="M438" s="6">
        <v>51367.500000000015</v>
      </c>
      <c r="N438" s="5" t="str">
        <f t="shared" si="19"/>
        <v>Jan</v>
      </c>
      <c r="O438" s="5" t="str">
        <f t="shared" si="20"/>
        <v xml:space="preserve"> 2024</v>
      </c>
    </row>
    <row r="439" spans="1:15" x14ac:dyDescent="0.35">
      <c r="A439" t="s">
        <v>841</v>
      </c>
      <c r="B439" s="5" t="s">
        <v>842</v>
      </c>
      <c r="C439" s="4" t="s">
        <v>22</v>
      </c>
      <c r="D439" s="4" t="s">
        <v>90</v>
      </c>
      <c r="E439" s="4" t="s">
        <v>91</v>
      </c>
      <c r="F439" s="4" t="s">
        <v>37</v>
      </c>
      <c r="G439" s="4" t="s">
        <v>148</v>
      </c>
      <c r="H439" s="4" t="s">
        <v>18</v>
      </c>
      <c r="I439" s="4" t="s">
        <v>19</v>
      </c>
      <c r="J439" s="3">
        <v>10</v>
      </c>
      <c r="K439" s="6">
        <v>369890</v>
      </c>
      <c r="L439" s="6">
        <f t="shared" si="18"/>
        <v>258922.99999999997</v>
      </c>
      <c r="M439" s="6">
        <v>110967.00000000003</v>
      </c>
      <c r="N439" s="5" t="str">
        <f t="shared" si="19"/>
        <v>Apr</v>
      </c>
      <c r="O439" s="5" t="str">
        <f t="shared" si="20"/>
        <v xml:space="preserve"> 2023</v>
      </c>
    </row>
    <row r="440" spans="1:15" x14ac:dyDescent="0.35">
      <c r="A440" t="s">
        <v>843</v>
      </c>
      <c r="B440" s="5" t="s">
        <v>844</v>
      </c>
      <c r="C440" s="4" t="s">
        <v>55</v>
      </c>
      <c r="D440" s="4" t="s">
        <v>98</v>
      </c>
      <c r="E440" s="4" t="s">
        <v>99</v>
      </c>
      <c r="F440" s="4" t="s">
        <v>37</v>
      </c>
      <c r="G440" s="4" t="s">
        <v>186</v>
      </c>
      <c r="H440" s="4" t="s">
        <v>27</v>
      </c>
      <c r="I440" s="4" t="s">
        <v>39</v>
      </c>
      <c r="J440" s="3">
        <v>8</v>
      </c>
      <c r="K440" s="6">
        <v>157936</v>
      </c>
      <c r="L440" s="6">
        <f t="shared" si="18"/>
        <v>110555.2</v>
      </c>
      <c r="M440" s="6">
        <v>47380.800000000003</v>
      </c>
      <c r="N440" s="5" t="str">
        <f t="shared" si="19"/>
        <v>Jul</v>
      </c>
      <c r="O440" s="5" t="str">
        <f t="shared" si="20"/>
        <v xml:space="preserve"> 2024</v>
      </c>
    </row>
    <row r="441" spans="1:15" x14ac:dyDescent="0.35">
      <c r="A441" t="s">
        <v>845</v>
      </c>
      <c r="B441" s="5" t="s">
        <v>846</v>
      </c>
      <c r="C441" s="4" t="s">
        <v>13</v>
      </c>
      <c r="D441" s="4" t="s">
        <v>162</v>
      </c>
      <c r="E441" s="4" t="s">
        <v>163</v>
      </c>
      <c r="F441" s="4" t="s">
        <v>16</v>
      </c>
      <c r="G441" s="4" t="s">
        <v>34</v>
      </c>
      <c r="H441" s="4" t="s">
        <v>27</v>
      </c>
      <c r="I441" s="4" t="s">
        <v>19</v>
      </c>
      <c r="J441" s="3">
        <v>5</v>
      </c>
      <c r="K441" s="6">
        <v>224175</v>
      </c>
      <c r="L441" s="6">
        <f t="shared" si="18"/>
        <v>156922.5</v>
      </c>
      <c r="M441" s="6">
        <v>67252.5</v>
      </c>
      <c r="N441" s="5" t="str">
        <f t="shared" si="19"/>
        <v>Oct</v>
      </c>
      <c r="O441" s="5" t="str">
        <f t="shared" si="20"/>
        <v xml:space="preserve"> 2024</v>
      </c>
    </row>
    <row r="442" spans="1:15" x14ac:dyDescent="0.35">
      <c r="A442" t="s">
        <v>847</v>
      </c>
      <c r="B442" s="5" t="s">
        <v>754</v>
      </c>
      <c r="C442" s="4" t="s">
        <v>13</v>
      </c>
      <c r="D442" s="4" t="s">
        <v>118</v>
      </c>
      <c r="E442" s="4" t="s">
        <v>119</v>
      </c>
      <c r="F442" s="4" t="s">
        <v>16</v>
      </c>
      <c r="G442" s="4" t="s">
        <v>122</v>
      </c>
      <c r="H442" s="4" t="s">
        <v>27</v>
      </c>
      <c r="I442" s="4" t="s">
        <v>47</v>
      </c>
      <c r="J442" s="3">
        <v>10</v>
      </c>
      <c r="K442" s="6">
        <v>445900</v>
      </c>
      <c r="L442" s="6">
        <f t="shared" si="18"/>
        <v>312130</v>
      </c>
      <c r="M442" s="6">
        <v>133770</v>
      </c>
      <c r="N442" s="5" t="str">
        <f t="shared" si="19"/>
        <v>Jan</v>
      </c>
      <c r="O442" s="5" t="str">
        <f t="shared" si="20"/>
        <v xml:space="preserve"> 2023</v>
      </c>
    </row>
    <row r="443" spans="1:15" x14ac:dyDescent="0.35">
      <c r="A443" t="s">
        <v>848</v>
      </c>
      <c r="B443" s="5" t="s">
        <v>849</v>
      </c>
      <c r="C443" s="4" t="s">
        <v>31</v>
      </c>
      <c r="D443" s="4" t="s">
        <v>45</v>
      </c>
      <c r="E443" s="4" t="s">
        <v>46</v>
      </c>
      <c r="F443" s="4" t="s">
        <v>16</v>
      </c>
      <c r="G443" s="4" t="s">
        <v>34</v>
      </c>
      <c r="H443" s="4" t="s">
        <v>27</v>
      </c>
      <c r="I443" s="4" t="s">
        <v>28</v>
      </c>
      <c r="J443" s="3">
        <v>1</v>
      </c>
      <c r="K443" s="6">
        <v>24009</v>
      </c>
      <c r="L443" s="6">
        <f t="shared" si="18"/>
        <v>16806.3</v>
      </c>
      <c r="M443" s="6">
        <v>7202.7000000000007</v>
      </c>
      <c r="N443" s="5" t="str">
        <f t="shared" si="19"/>
        <v>Apr</v>
      </c>
      <c r="O443" s="5" t="str">
        <f t="shared" si="20"/>
        <v xml:space="preserve"> 2024</v>
      </c>
    </row>
    <row r="444" spans="1:15" x14ac:dyDescent="0.35">
      <c r="A444" t="s">
        <v>850</v>
      </c>
      <c r="B444" s="5" t="s">
        <v>851</v>
      </c>
      <c r="C444" s="4" t="s">
        <v>13</v>
      </c>
      <c r="D444" s="4" t="s">
        <v>162</v>
      </c>
      <c r="E444" s="4" t="s">
        <v>163</v>
      </c>
      <c r="F444" s="4" t="s">
        <v>37</v>
      </c>
      <c r="G444" s="4" t="s">
        <v>38</v>
      </c>
      <c r="H444" s="4" t="s">
        <v>27</v>
      </c>
      <c r="I444" s="4" t="s">
        <v>39</v>
      </c>
      <c r="J444" s="3">
        <v>10</v>
      </c>
      <c r="K444" s="6">
        <v>484670</v>
      </c>
      <c r="L444" s="6">
        <f t="shared" si="18"/>
        <v>339269</v>
      </c>
      <c r="M444" s="6">
        <v>145401</v>
      </c>
      <c r="N444" s="5" t="str">
        <f t="shared" si="19"/>
        <v>Jun</v>
      </c>
      <c r="O444" s="5" t="str">
        <f t="shared" si="20"/>
        <v xml:space="preserve"> 2023</v>
      </c>
    </row>
    <row r="445" spans="1:15" x14ac:dyDescent="0.35">
      <c r="A445" t="s">
        <v>852</v>
      </c>
      <c r="B445" s="5" t="s">
        <v>853</v>
      </c>
      <c r="C445" s="4" t="s">
        <v>31</v>
      </c>
      <c r="D445" s="4" t="s">
        <v>104</v>
      </c>
      <c r="E445" s="4" t="s">
        <v>105</v>
      </c>
      <c r="F445" s="4" t="s">
        <v>67</v>
      </c>
      <c r="G445" s="4" t="s">
        <v>180</v>
      </c>
      <c r="H445" s="4" t="s">
        <v>27</v>
      </c>
      <c r="I445" s="4" t="s">
        <v>47</v>
      </c>
      <c r="J445" s="3">
        <v>2</v>
      </c>
      <c r="K445" s="6">
        <v>72008</v>
      </c>
      <c r="L445" s="6">
        <f t="shared" si="18"/>
        <v>50405.599999999999</v>
      </c>
      <c r="M445" s="6">
        <v>21602.400000000001</v>
      </c>
      <c r="N445" s="5" t="str">
        <f t="shared" si="19"/>
        <v>Feb</v>
      </c>
      <c r="O445" s="5" t="str">
        <f t="shared" si="20"/>
        <v xml:space="preserve"> 2024</v>
      </c>
    </row>
    <row r="446" spans="1:15" x14ac:dyDescent="0.35">
      <c r="A446" t="s">
        <v>854</v>
      </c>
      <c r="B446" s="5" t="s">
        <v>855</v>
      </c>
      <c r="C446" s="4" t="s">
        <v>22</v>
      </c>
      <c r="D446" s="4" t="s">
        <v>90</v>
      </c>
      <c r="E446" s="4" t="s">
        <v>91</v>
      </c>
      <c r="F446" s="4" t="s">
        <v>16</v>
      </c>
      <c r="G446" s="4" t="s">
        <v>34</v>
      </c>
      <c r="H446" s="4" t="s">
        <v>18</v>
      </c>
      <c r="I446" s="4" t="s">
        <v>60</v>
      </c>
      <c r="J446" s="3">
        <v>7</v>
      </c>
      <c r="K446" s="6">
        <v>336448</v>
      </c>
      <c r="L446" s="6">
        <f t="shared" si="18"/>
        <v>235513.59999999998</v>
      </c>
      <c r="M446" s="6">
        <v>100934.40000000002</v>
      </c>
      <c r="N446" s="5" t="str">
        <f t="shared" si="19"/>
        <v>Aug</v>
      </c>
      <c r="O446" s="5" t="str">
        <f t="shared" si="20"/>
        <v xml:space="preserve"> 2024</v>
      </c>
    </row>
    <row r="447" spans="1:15" x14ac:dyDescent="0.35">
      <c r="A447" t="s">
        <v>856</v>
      </c>
      <c r="B447" s="5" t="s">
        <v>725</v>
      </c>
      <c r="C447" s="4" t="s">
        <v>22</v>
      </c>
      <c r="D447" s="4" t="s">
        <v>86</v>
      </c>
      <c r="E447" s="4" t="s">
        <v>87</v>
      </c>
      <c r="F447" s="4" t="s">
        <v>25</v>
      </c>
      <c r="G447" s="4" t="s">
        <v>71</v>
      </c>
      <c r="H447" s="4" t="s">
        <v>27</v>
      </c>
      <c r="I447" s="4" t="s">
        <v>19</v>
      </c>
      <c r="J447" s="3">
        <v>1</v>
      </c>
      <c r="K447" s="6">
        <v>46083</v>
      </c>
      <c r="L447" s="6">
        <f t="shared" si="18"/>
        <v>32258.1</v>
      </c>
      <c r="M447" s="6">
        <v>13824.900000000001</v>
      </c>
      <c r="N447" s="5" t="str">
        <f t="shared" si="19"/>
        <v>Sep</v>
      </c>
      <c r="O447" s="5" t="str">
        <f t="shared" si="20"/>
        <v xml:space="preserve"> 2023</v>
      </c>
    </row>
    <row r="448" spans="1:15" x14ac:dyDescent="0.35">
      <c r="A448" t="s">
        <v>857</v>
      </c>
      <c r="B448" s="5" t="s">
        <v>858</v>
      </c>
      <c r="C448" s="4" t="s">
        <v>55</v>
      </c>
      <c r="D448" s="4" t="s">
        <v>63</v>
      </c>
      <c r="E448" s="4" t="s">
        <v>64</v>
      </c>
      <c r="F448" s="4" t="s">
        <v>37</v>
      </c>
      <c r="G448" s="4" t="s">
        <v>183</v>
      </c>
      <c r="H448" s="4" t="s">
        <v>18</v>
      </c>
      <c r="I448" s="4" t="s">
        <v>39</v>
      </c>
      <c r="J448" s="3">
        <v>10</v>
      </c>
      <c r="K448" s="6">
        <v>240150</v>
      </c>
      <c r="L448" s="6">
        <f t="shared" si="18"/>
        <v>168105</v>
      </c>
      <c r="M448" s="6">
        <v>72045</v>
      </c>
      <c r="N448" s="5" t="str">
        <f t="shared" si="19"/>
        <v>Jul</v>
      </c>
      <c r="O448" s="5" t="str">
        <f t="shared" si="20"/>
        <v xml:space="preserve"> 2023</v>
      </c>
    </row>
    <row r="449" spans="1:15" x14ac:dyDescent="0.35">
      <c r="A449" t="s">
        <v>859</v>
      </c>
      <c r="B449" s="5" t="s">
        <v>175</v>
      </c>
      <c r="C449" s="4" t="s">
        <v>22</v>
      </c>
      <c r="D449" s="4" t="s">
        <v>23</v>
      </c>
      <c r="E449" s="4" t="s">
        <v>24</v>
      </c>
      <c r="F449" s="4" t="s">
        <v>67</v>
      </c>
      <c r="G449" s="4" t="s">
        <v>68</v>
      </c>
      <c r="H449" s="4" t="s">
        <v>72</v>
      </c>
      <c r="I449" s="4" t="s">
        <v>39</v>
      </c>
      <c r="J449" s="3">
        <v>10</v>
      </c>
      <c r="K449" s="6">
        <v>53360</v>
      </c>
      <c r="L449" s="6">
        <f t="shared" si="18"/>
        <v>37352</v>
      </c>
      <c r="M449" s="6">
        <v>16008</v>
      </c>
      <c r="N449" s="5" t="str">
        <f t="shared" si="19"/>
        <v>Nov</v>
      </c>
      <c r="O449" s="5" t="str">
        <f t="shared" si="20"/>
        <v xml:space="preserve"> 2023</v>
      </c>
    </row>
    <row r="450" spans="1:15" x14ac:dyDescent="0.35">
      <c r="A450" t="s">
        <v>860</v>
      </c>
      <c r="B450" s="5" t="s">
        <v>861</v>
      </c>
      <c r="C450" s="4" t="s">
        <v>13</v>
      </c>
      <c r="D450" s="4" t="s">
        <v>14</v>
      </c>
      <c r="E450" s="4" t="s">
        <v>15</v>
      </c>
      <c r="F450" s="4" t="s">
        <v>67</v>
      </c>
      <c r="G450" s="4" t="s">
        <v>134</v>
      </c>
      <c r="H450" s="4" t="s">
        <v>18</v>
      </c>
      <c r="I450" s="4" t="s">
        <v>47</v>
      </c>
      <c r="J450" s="3">
        <v>4</v>
      </c>
      <c r="K450" s="6">
        <v>72696</v>
      </c>
      <c r="L450" s="6">
        <f t="shared" ref="L450:L513" si="21">K450*0.7</f>
        <v>50887.199999999997</v>
      </c>
      <c r="M450" s="6">
        <v>21808.800000000003</v>
      </c>
      <c r="N450" s="5" t="str">
        <f t="shared" ref="N450:N513" si="22">TEXT(B450,"mmm")</f>
        <v>Aug</v>
      </c>
      <c r="O450" s="5" t="str">
        <f t="shared" ref="O450:O513" si="23">TEXT(B450," yyyy")</f>
        <v xml:space="preserve"> 2023</v>
      </c>
    </row>
    <row r="451" spans="1:15" x14ac:dyDescent="0.35">
      <c r="A451" t="s">
        <v>862</v>
      </c>
      <c r="B451" s="5" t="s">
        <v>863</v>
      </c>
      <c r="C451" s="4" t="s">
        <v>31</v>
      </c>
      <c r="D451" s="4" t="s">
        <v>32</v>
      </c>
      <c r="E451" s="4" t="s">
        <v>33</v>
      </c>
      <c r="F451" s="4" t="s">
        <v>16</v>
      </c>
      <c r="G451" s="4" t="s">
        <v>34</v>
      </c>
      <c r="H451" s="4" t="s">
        <v>27</v>
      </c>
      <c r="I451" s="4" t="s">
        <v>39</v>
      </c>
      <c r="J451" s="3">
        <v>10</v>
      </c>
      <c r="K451" s="6">
        <v>223560</v>
      </c>
      <c r="L451" s="6">
        <f t="shared" si="21"/>
        <v>156492</v>
      </c>
      <c r="M451" s="6">
        <v>67068</v>
      </c>
      <c r="N451" s="5" t="str">
        <f t="shared" si="22"/>
        <v>Aug</v>
      </c>
      <c r="O451" s="5" t="str">
        <f t="shared" si="23"/>
        <v xml:space="preserve"> 2023</v>
      </c>
    </row>
    <row r="452" spans="1:15" x14ac:dyDescent="0.35">
      <c r="A452" t="s">
        <v>864</v>
      </c>
      <c r="B452" s="5" t="s">
        <v>865</v>
      </c>
      <c r="C452" s="4" t="s">
        <v>31</v>
      </c>
      <c r="D452" s="4" t="s">
        <v>32</v>
      </c>
      <c r="E452" s="4" t="s">
        <v>33</v>
      </c>
      <c r="F452" s="4" t="s">
        <v>25</v>
      </c>
      <c r="G452" s="4" t="s">
        <v>77</v>
      </c>
      <c r="H452" s="4" t="s">
        <v>18</v>
      </c>
      <c r="I452" s="4" t="s">
        <v>39</v>
      </c>
      <c r="J452" s="3">
        <v>8</v>
      </c>
      <c r="K452" s="6">
        <v>198344</v>
      </c>
      <c r="L452" s="6">
        <f t="shared" si="21"/>
        <v>138840.79999999999</v>
      </c>
      <c r="M452" s="6">
        <v>59503.200000000012</v>
      </c>
      <c r="N452" s="5" t="str">
        <f t="shared" si="22"/>
        <v>Sep</v>
      </c>
      <c r="O452" s="5" t="str">
        <f t="shared" si="23"/>
        <v xml:space="preserve"> 2023</v>
      </c>
    </row>
    <row r="453" spans="1:15" x14ac:dyDescent="0.35">
      <c r="A453" t="s">
        <v>866</v>
      </c>
      <c r="B453" s="5" t="s">
        <v>158</v>
      </c>
      <c r="C453" s="4" t="s">
        <v>31</v>
      </c>
      <c r="D453" s="4" t="s">
        <v>32</v>
      </c>
      <c r="E453" s="4" t="s">
        <v>33</v>
      </c>
      <c r="F453" s="4" t="s">
        <v>16</v>
      </c>
      <c r="G453" s="4" t="s">
        <v>122</v>
      </c>
      <c r="H453" s="4" t="s">
        <v>72</v>
      </c>
      <c r="I453" s="4" t="s">
        <v>28</v>
      </c>
      <c r="J453" s="3">
        <v>1</v>
      </c>
      <c r="K453" s="6">
        <v>26202</v>
      </c>
      <c r="L453" s="6">
        <f t="shared" si="21"/>
        <v>18341.399999999998</v>
      </c>
      <c r="M453" s="6">
        <v>7860.6000000000022</v>
      </c>
      <c r="N453" s="5" t="str">
        <f t="shared" si="22"/>
        <v>Mar</v>
      </c>
      <c r="O453" s="5" t="str">
        <f t="shared" si="23"/>
        <v xml:space="preserve"> 2023</v>
      </c>
    </row>
    <row r="454" spans="1:15" x14ac:dyDescent="0.35">
      <c r="A454" t="s">
        <v>867</v>
      </c>
      <c r="B454" s="5" t="s">
        <v>868</v>
      </c>
      <c r="C454" s="4" t="s">
        <v>31</v>
      </c>
      <c r="D454" s="4" t="s">
        <v>32</v>
      </c>
      <c r="E454" s="4" t="s">
        <v>33</v>
      </c>
      <c r="F454" s="4" t="s">
        <v>25</v>
      </c>
      <c r="G454" s="4" t="s">
        <v>71</v>
      </c>
      <c r="H454" s="4" t="s">
        <v>18</v>
      </c>
      <c r="I454" s="4" t="s">
        <v>60</v>
      </c>
      <c r="J454" s="3">
        <v>1</v>
      </c>
      <c r="K454" s="6">
        <v>40138</v>
      </c>
      <c r="L454" s="6">
        <f t="shared" si="21"/>
        <v>28096.6</v>
      </c>
      <c r="M454" s="6">
        <v>12041.400000000001</v>
      </c>
      <c r="N454" s="5" t="str">
        <f t="shared" si="22"/>
        <v>Apr</v>
      </c>
      <c r="O454" s="5" t="str">
        <f t="shared" si="23"/>
        <v xml:space="preserve"> 2024</v>
      </c>
    </row>
    <row r="455" spans="1:15" x14ac:dyDescent="0.35">
      <c r="A455" t="s">
        <v>869</v>
      </c>
      <c r="B455" s="5" t="s">
        <v>870</v>
      </c>
      <c r="C455" s="4" t="s">
        <v>22</v>
      </c>
      <c r="D455" s="4" t="s">
        <v>90</v>
      </c>
      <c r="E455" s="4" t="s">
        <v>91</v>
      </c>
      <c r="F455" s="4" t="s">
        <v>67</v>
      </c>
      <c r="G455" s="4" t="s">
        <v>68</v>
      </c>
      <c r="H455" s="4" t="s">
        <v>27</v>
      </c>
      <c r="I455" s="4" t="s">
        <v>28</v>
      </c>
      <c r="J455" s="3">
        <v>1</v>
      </c>
      <c r="K455" s="6">
        <v>45285</v>
      </c>
      <c r="L455" s="6">
        <f t="shared" si="21"/>
        <v>31699.499999999996</v>
      </c>
      <c r="M455" s="6">
        <v>13585.500000000004</v>
      </c>
      <c r="N455" s="5" t="str">
        <f t="shared" si="22"/>
        <v>Jan</v>
      </c>
      <c r="O455" s="5" t="str">
        <f t="shared" si="23"/>
        <v xml:space="preserve"> 2023</v>
      </c>
    </row>
    <row r="456" spans="1:15" x14ac:dyDescent="0.35">
      <c r="A456" t="s">
        <v>871</v>
      </c>
      <c r="B456" s="5" t="s">
        <v>872</v>
      </c>
      <c r="C456" s="4" t="s">
        <v>22</v>
      </c>
      <c r="D456" s="4" t="s">
        <v>23</v>
      </c>
      <c r="E456" s="4" t="s">
        <v>24</v>
      </c>
      <c r="F456" s="4" t="s">
        <v>37</v>
      </c>
      <c r="G456" s="4" t="s">
        <v>38</v>
      </c>
      <c r="H456" s="4" t="s">
        <v>27</v>
      </c>
      <c r="I456" s="4" t="s">
        <v>47</v>
      </c>
      <c r="J456" s="3">
        <v>5</v>
      </c>
      <c r="K456" s="6">
        <v>75660</v>
      </c>
      <c r="L456" s="6">
        <f t="shared" si="21"/>
        <v>52962</v>
      </c>
      <c r="M456" s="6">
        <v>22698</v>
      </c>
      <c r="N456" s="5" t="str">
        <f t="shared" si="22"/>
        <v>Jul</v>
      </c>
      <c r="O456" s="5" t="str">
        <f t="shared" si="23"/>
        <v xml:space="preserve"> 2024</v>
      </c>
    </row>
    <row r="457" spans="1:15" x14ac:dyDescent="0.35">
      <c r="A457" t="s">
        <v>873</v>
      </c>
      <c r="B457" s="5" t="s">
        <v>874</v>
      </c>
      <c r="C457" s="4" t="s">
        <v>55</v>
      </c>
      <c r="D457" s="4" t="s">
        <v>56</v>
      </c>
      <c r="E457" s="4" t="s">
        <v>57</v>
      </c>
      <c r="F457" s="4" t="s">
        <v>25</v>
      </c>
      <c r="G457" s="4" t="s">
        <v>52</v>
      </c>
      <c r="H457" s="4" t="s">
        <v>18</v>
      </c>
      <c r="I457" s="4" t="s">
        <v>19</v>
      </c>
      <c r="J457" s="3">
        <v>9</v>
      </c>
      <c r="K457" s="6">
        <v>201771</v>
      </c>
      <c r="L457" s="6">
        <f t="shared" si="21"/>
        <v>141239.69999999998</v>
      </c>
      <c r="M457" s="6">
        <v>60531.300000000017</v>
      </c>
      <c r="N457" s="5" t="str">
        <f t="shared" si="22"/>
        <v>Jul</v>
      </c>
      <c r="O457" s="5" t="str">
        <f t="shared" si="23"/>
        <v xml:space="preserve"> 2024</v>
      </c>
    </row>
    <row r="458" spans="1:15" x14ac:dyDescent="0.35">
      <c r="A458" t="s">
        <v>875</v>
      </c>
      <c r="B458" s="5" t="s">
        <v>381</v>
      </c>
      <c r="C458" s="4" t="s">
        <v>13</v>
      </c>
      <c r="D458" s="4" t="s">
        <v>162</v>
      </c>
      <c r="E458" s="4" t="s">
        <v>163</v>
      </c>
      <c r="F458" s="4" t="s">
        <v>16</v>
      </c>
      <c r="G458" s="4" t="s">
        <v>17</v>
      </c>
      <c r="H458" s="4" t="s">
        <v>18</v>
      </c>
      <c r="I458" s="4" t="s">
        <v>47</v>
      </c>
      <c r="J458" s="3">
        <v>3</v>
      </c>
      <c r="K458" s="6">
        <v>39897</v>
      </c>
      <c r="L458" s="6">
        <f t="shared" si="21"/>
        <v>27927.899999999998</v>
      </c>
      <c r="M458" s="6">
        <v>11969.100000000002</v>
      </c>
      <c r="N458" s="5" t="str">
        <f t="shared" si="22"/>
        <v>Sep</v>
      </c>
      <c r="O458" s="5" t="str">
        <f t="shared" si="23"/>
        <v xml:space="preserve"> 2023</v>
      </c>
    </row>
    <row r="459" spans="1:15" x14ac:dyDescent="0.35">
      <c r="A459" t="s">
        <v>876</v>
      </c>
      <c r="B459" s="5" t="s">
        <v>877</v>
      </c>
      <c r="C459" s="4" t="s">
        <v>31</v>
      </c>
      <c r="D459" s="4" t="s">
        <v>104</v>
      </c>
      <c r="E459" s="4" t="s">
        <v>105</v>
      </c>
      <c r="F459" s="4" t="s">
        <v>16</v>
      </c>
      <c r="G459" s="4" t="s">
        <v>122</v>
      </c>
      <c r="H459" s="4" t="s">
        <v>72</v>
      </c>
      <c r="I459" s="4" t="s">
        <v>28</v>
      </c>
      <c r="J459" s="3">
        <v>1</v>
      </c>
      <c r="K459" s="6">
        <v>20729</v>
      </c>
      <c r="L459" s="6">
        <f t="shared" si="21"/>
        <v>14510.3</v>
      </c>
      <c r="M459" s="6">
        <v>6218.7000000000007</v>
      </c>
      <c r="N459" s="5" t="str">
        <f t="shared" si="22"/>
        <v>Sep</v>
      </c>
      <c r="O459" s="5" t="str">
        <f t="shared" si="23"/>
        <v xml:space="preserve"> 2023</v>
      </c>
    </row>
    <row r="460" spans="1:15" x14ac:dyDescent="0.35">
      <c r="A460" t="s">
        <v>878</v>
      </c>
      <c r="B460" s="5" t="s">
        <v>596</v>
      </c>
      <c r="C460" s="4" t="s">
        <v>13</v>
      </c>
      <c r="D460" s="4" t="s">
        <v>162</v>
      </c>
      <c r="E460" s="4" t="s">
        <v>163</v>
      </c>
      <c r="F460" s="4" t="s">
        <v>37</v>
      </c>
      <c r="G460" s="4" t="s">
        <v>148</v>
      </c>
      <c r="H460" s="4" t="s">
        <v>27</v>
      </c>
      <c r="I460" s="4" t="s">
        <v>60</v>
      </c>
      <c r="J460" s="3">
        <v>3</v>
      </c>
      <c r="K460" s="6">
        <v>4764</v>
      </c>
      <c r="L460" s="6">
        <f t="shared" si="21"/>
        <v>3334.7999999999997</v>
      </c>
      <c r="M460" s="6">
        <v>1429.2000000000003</v>
      </c>
      <c r="N460" s="5" t="str">
        <f t="shared" si="22"/>
        <v>Jun</v>
      </c>
      <c r="O460" s="5" t="str">
        <f t="shared" si="23"/>
        <v xml:space="preserve"> 2023</v>
      </c>
    </row>
    <row r="461" spans="1:15" x14ac:dyDescent="0.35">
      <c r="A461" t="s">
        <v>879</v>
      </c>
      <c r="B461" s="5" t="s">
        <v>880</v>
      </c>
      <c r="C461" s="4" t="s">
        <v>13</v>
      </c>
      <c r="D461" s="4" t="s">
        <v>118</v>
      </c>
      <c r="E461" s="4" t="s">
        <v>119</v>
      </c>
      <c r="F461" s="4" t="s">
        <v>67</v>
      </c>
      <c r="G461" s="4" t="s">
        <v>180</v>
      </c>
      <c r="H461" s="4" t="s">
        <v>72</v>
      </c>
      <c r="I461" s="4" t="s">
        <v>28</v>
      </c>
      <c r="J461" s="3">
        <v>4</v>
      </c>
      <c r="K461" s="6">
        <v>119164</v>
      </c>
      <c r="L461" s="6">
        <f t="shared" si="21"/>
        <v>83414.799999999988</v>
      </c>
      <c r="M461" s="6">
        <v>35749.200000000012</v>
      </c>
      <c r="N461" s="5" t="str">
        <f t="shared" si="22"/>
        <v>Oct</v>
      </c>
      <c r="O461" s="5" t="str">
        <f t="shared" si="23"/>
        <v xml:space="preserve"> 2024</v>
      </c>
    </row>
    <row r="462" spans="1:15" x14ac:dyDescent="0.35">
      <c r="A462" t="s">
        <v>881</v>
      </c>
      <c r="B462" s="5" t="s">
        <v>195</v>
      </c>
      <c r="C462" s="4" t="s">
        <v>22</v>
      </c>
      <c r="D462" s="4" t="s">
        <v>90</v>
      </c>
      <c r="E462" s="4" t="s">
        <v>110</v>
      </c>
      <c r="F462" s="4" t="s">
        <v>67</v>
      </c>
      <c r="G462" s="4" t="s">
        <v>134</v>
      </c>
      <c r="H462" s="4" t="s">
        <v>18</v>
      </c>
      <c r="I462" s="4" t="s">
        <v>19</v>
      </c>
      <c r="J462" s="3">
        <v>9</v>
      </c>
      <c r="K462" s="6">
        <v>142155</v>
      </c>
      <c r="L462" s="6">
        <f t="shared" si="21"/>
        <v>99508.5</v>
      </c>
      <c r="M462" s="6">
        <v>42646.5</v>
      </c>
      <c r="N462" s="5" t="str">
        <f t="shared" si="22"/>
        <v>Dec</v>
      </c>
      <c r="O462" s="5" t="str">
        <f t="shared" si="23"/>
        <v xml:space="preserve"> 2023</v>
      </c>
    </row>
    <row r="463" spans="1:15" x14ac:dyDescent="0.35">
      <c r="A463" t="s">
        <v>882</v>
      </c>
      <c r="B463" s="5" t="s">
        <v>883</v>
      </c>
      <c r="C463" s="4" t="s">
        <v>55</v>
      </c>
      <c r="D463" s="4" t="s">
        <v>56</v>
      </c>
      <c r="E463" s="4" t="s">
        <v>57</v>
      </c>
      <c r="F463" s="4" t="s">
        <v>16</v>
      </c>
      <c r="G463" s="4" t="s">
        <v>122</v>
      </c>
      <c r="H463" s="4" t="s">
        <v>27</v>
      </c>
      <c r="I463" s="4" t="s">
        <v>60</v>
      </c>
      <c r="J463" s="3">
        <v>3</v>
      </c>
      <c r="K463" s="6">
        <v>141504</v>
      </c>
      <c r="L463" s="6">
        <f t="shared" si="21"/>
        <v>99052.799999999988</v>
      </c>
      <c r="M463" s="6">
        <v>42451.200000000012</v>
      </c>
      <c r="N463" s="5" t="str">
        <f t="shared" si="22"/>
        <v>May</v>
      </c>
      <c r="O463" s="5" t="str">
        <f t="shared" si="23"/>
        <v xml:space="preserve"> 2024</v>
      </c>
    </row>
    <row r="464" spans="1:15" x14ac:dyDescent="0.35">
      <c r="A464" t="s">
        <v>884</v>
      </c>
      <c r="B464" s="5" t="s">
        <v>557</v>
      </c>
      <c r="C464" s="4" t="s">
        <v>31</v>
      </c>
      <c r="D464" s="4" t="s">
        <v>45</v>
      </c>
      <c r="E464" s="4" t="s">
        <v>46</v>
      </c>
      <c r="F464" s="4" t="s">
        <v>16</v>
      </c>
      <c r="G464" s="4" t="s">
        <v>42</v>
      </c>
      <c r="H464" s="4" t="s">
        <v>72</v>
      </c>
      <c r="I464" s="4" t="s">
        <v>39</v>
      </c>
      <c r="J464" s="3">
        <v>7</v>
      </c>
      <c r="K464" s="6">
        <v>103677</v>
      </c>
      <c r="L464" s="6">
        <f t="shared" si="21"/>
        <v>72573.899999999994</v>
      </c>
      <c r="M464" s="6">
        <v>31103.100000000006</v>
      </c>
      <c r="N464" s="5" t="str">
        <f t="shared" si="22"/>
        <v>Dec</v>
      </c>
      <c r="O464" s="5" t="str">
        <f t="shared" si="23"/>
        <v xml:space="preserve"> 2023</v>
      </c>
    </row>
    <row r="465" spans="1:15" x14ac:dyDescent="0.35">
      <c r="A465" t="s">
        <v>885</v>
      </c>
      <c r="B465" s="5" t="s">
        <v>886</v>
      </c>
      <c r="C465" s="4" t="s">
        <v>55</v>
      </c>
      <c r="D465" s="4" t="s">
        <v>82</v>
      </c>
      <c r="E465" s="4" t="s">
        <v>83</v>
      </c>
      <c r="F465" s="4" t="s">
        <v>37</v>
      </c>
      <c r="G465" s="4" t="s">
        <v>38</v>
      </c>
      <c r="H465" s="4" t="s">
        <v>27</v>
      </c>
      <c r="I465" s="4" t="s">
        <v>39</v>
      </c>
      <c r="J465" s="3">
        <v>4</v>
      </c>
      <c r="K465" s="6">
        <v>25916</v>
      </c>
      <c r="L465" s="6">
        <f t="shared" si="21"/>
        <v>18141.199999999997</v>
      </c>
      <c r="M465" s="6">
        <v>7774.8000000000029</v>
      </c>
      <c r="N465" s="5" t="str">
        <f t="shared" si="22"/>
        <v>Jun</v>
      </c>
      <c r="O465" s="5" t="str">
        <f t="shared" si="23"/>
        <v xml:space="preserve"> 2023</v>
      </c>
    </row>
    <row r="466" spans="1:15" x14ac:dyDescent="0.35">
      <c r="A466" t="s">
        <v>887</v>
      </c>
      <c r="B466" s="5" t="s">
        <v>888</v>
      </c>
      <c r="C466" s="4" t="s">
        <v>55</v>
      </c>
      <c r="D466" s="4" t="s">
        <v>63</v>
      </c>
      <c r="E466" s="4" t="s">
        <v>64</v>
      </c>
      <c r="F466" s="4" t="s">
        <v>25</v>
      </c>
      <c r="G466" s="4" t="s">
        <v>52</v>
      </c>
      <c r="H466" s="4" t="s">
        <v>27</v>
      </c>
      <c r="I466" s="4" t="s">
        <v>28</v>
      </c>
      <c r="J466" s="3">
        <v>3</v>
      </c>
      <c r="K466" s="6">
        <v>145191</v>
      </c>
      <c r="L466" s="6">
        <f t="shared" si="21"/>
        <v>101633.7</v>
      </c>
      <c r="M466" s="6">
        <v>43557.3</v>
      </c>
      <c r="N466" s="5" t="str">
        <f t="shared" si="22"/>
        <v>Apr</v>
      </c>
      <c r="O466" s="5" t="str">
        <f t="shared" si="23"/>
        <v xml:space="preserve"> 2023</v>
      </c>
    </row>
    <row r="467" spans="1:15" x14ac:dyDescent="0.35">
      <c r="A467" t="s">
        <v>889</v>
      </c>
      <c r="B467" s="5" t="s">
        <v>201</v>
      </c>
      <c r="C467" s="4" t="s">
        <v>22</v>
      </c>
      <c r="D467" s="4" t="s">
        <v>90</v>
      </c>
      <c r="E467" s="4" t="s">
        <v>91</v>
      </c>
      <c r="F467" s="4" t="s">
        <v>67</v>
      </c>
      <c r="G467" s="4" t="s">
        <v>68</v>
      </c>
      <c r="H467" s="4" t="s">
        <v>72</v>
      </c>
      <c r="I467" s="4" t="s">
        <v>28</v>
      </c>
      <c r="J467" s="3">
        <v>4</v>
      </c>
      <c r="K467" s="6">
        <v>114700</v>
      </c>
      <c r="L467" s="6">
        <f t="shared" si="21"/>
        <v>80290</v>
      </c>
      <c r="M467" s="6">
        <v>34410</v>
      </c>
      <c r="N467" s="5" t="str">
        <f t="shared" si="22"/>
        <v>Nov</v>
      </c>
      <c r="O467" s="5" t="str">
        <f t="shared" si="23"/>
        <v xml:space="preserve"> 2023</v>
      </c>
    </row>
    <row r="468" spans="1:15" x14ac:dyDescent="0.35">
      <c r="A468" t="s">
        <v>890</v>
      </c>
      <c r="B468" s="5" t="s">
        <v>891</v>
      </c>
      <c r="C468" s="4" t="s">
        <v>55</v>
      </c>
      <c r="D468" s="4" t="s">
        <v>56</v>
      </c>
      <c r="E468" s="4" t="s">
        <v>57</v>
      </c>
      <c r="F468" s="4" t="s">
        <v>67</v>
      </c>
      <c r="G468" s="4" t="s">
        <v>113</v>
      </c>
      <c r="H468" s="4" t="s">
        <v>27</v>
      </c>
      <c r="I468" s="4" t="s">
        <v>47</v>
      </c>
      <c r="J468" s="3">
        <v>4</v>
      </c>
      <c r="K468" s="6">
        <v>194260</v>
      </c>
      <c r="L468" s="6">
        <f t="shared" si="21"/>
        <v>135982</v>
      </c>
      <c r="M468" s="6">
        <v>58278</v>
      </c>
      <c r="N468" s="5" t="str">
        <f t="shared" si="22"/>
        <v>Apr</v>
      </c>
      <c r="O468" s="5" t="str">
        <f t="shared" si="23"/>
        <v xml:space="preserve"> 2024</v>
      </c>
    </row>
    <row r="469" spans="1:15" x14ac:dyDescent="0.35">
      <c r="A469" t="s">
        <v>892</v>
      </c>
      <c r="B469" s="5" t="s">
        <v>893</v>
      </c>
      <c r="C469" s="4" t="s">
        <v>55</v>
      </c>
      <c r="D469" s="4" t="s">
        <v>56</v>
      </c>
      <c r="E469" s="4" t="s">
        <v>57</v>
      </c>
      <c r="F469" s="4" t="s">
        <v>37</v>
      </c>
      <c r="G469" s="4" t="s">
        <v>183</v>
      </c>
      <c r="H469" s="4" t="s">
        <v>72</v>
      </c>
      <c r="I469" s="4" t="s">
        <v>60</v>
      </c>
      <c r="J469" s="3">
        <v>5</v>
      </c>
      <c r="K469" s="6">
        <v>50095</v>
      </c>
      <c r="L469" s="6">
        <f t="shared" si="21"/>
        <v>35066.5</v>
      </c>
      <c r="M469" s="6">
        <v>15028.5</v>
      </c>
      <c r="N469" s="5" t="str">
        <f t="shared" si="22"/>
        <v>May</v>
      </c>
      <c r="O469" s="5" t="str">
        <f t="shared" si="23"/>
        <v xml:space="preserve"> 2024</v>
      </c>
    </row>
    <row r="470" spans="1:15" x14ac:dyDescent="0.35">
      <c r="A470" t="s">
        <v>894</v>
      </c>
      <c r="B470" s="5" t="s">
        <v>407</v>
      </c>
      <c r="C470" s="4" t="s">
        <v>31</v>
      </c>
      <c r="D470" s="4" t="s">
        <v>45</v>
      </c>
      <c r="E470" s="4" t="s">
        <v>46</v>
      </c>
      <c r="F470" s="4" t="s">
        <v>25</v>
      </c>
      <c r="G470" s="4" t="s">
        <v>52</v>
      </c>
      <c r="H470" s="4" t="s">
        <v>72</v>
      </c>
      <c r="I470" s="4" t="s">
        <v>47</v>
      </c>
      <c r="J470" s="3">
        <v>2</v>
      </c>
      <c r="K470" s="6">
        <v>35418</v>
      </c>
      <c r="L470" s="6">
        <f t="shared" si="21"/>
        <v>24792.6</v>
      </c>
      <c r="M470" s="6">
        <v>10625.400000000001</v>
      </c>
      <c r="N470" s="5" t="str">
        <f t="shared" si="22"/>
        <v>Jan</v>
      </c>
      <c r="O470" s="5" t="str">
        <f t="shared" si="23"/>
        <v xml:space="preserve"> 2024</v>
      </c>
    </row>
    <row r="471" spans="1:15" x14ac:dyDescent="0.35">
      <c r="A471" t="s">
        <v>895</v>
      </c>
      <c r="B471" s="5" t="s">
        <v>357</v>
      </c>
      <c r="C471" s="4" t="s">
        <v>55</v>
      </c>
      <c r="D471" s="4" t="s">
        <v>56</v>
      </c>
      <c r="E471" s="4" t="s">
        <v>57</v>
      </c>
      <c r="F471" s="4" t="s">
        <v>37</v>
      </c>
      <c r="G471" s="4" t="s">
        <v>186</v>
      </c>
      <c r="H471" s="4" t="s">
        <v>27</v>
      </c>
      <c r="I471" s="4" t="s">
        <v>28</v>
      </c>
      <c r="J471" s="3">
        <v>4</v>
      </c>
      <c r="K471" s="6">
        <v>2664</v>
      </c>
      <c r="L471" s="6">
        <f t="shared" si="21"/>
        <v>1864.8</v>
      </c>
      <c r="M471" s="6">
        <v>799.2</v>
      </c>
      <c r="N471" s="5" t="str">
        <f t="shared" si="22"/>
        <v>Aug</v>
      </c>
      <c r="O471" s="5" t="str">
        <f t="shared" si="23"/>
        <v xml:space="preserve"> 2024</v>
      </c>
    </row>
    <row r="472" spans="1:15" x14ac:dyDescent="0.35">
      <c r="A472" t="s">
        <v>896</v>
      </c>
      <c r="B472" s="5" t="s">
        <v>741</v>
      </c>
      <c r="C472" s="4" t="s">
        <v>55</v>
      </c>
      <c r="D472" s="4" t="s">
        <v>56</v>
      </c>
      <c r="E472" s="4" t="s">
        <v>57</v>
      </c>
      <c r="F472" s="4" t="s">
        <v>37</v>
      </c>
      <c r="G472" s="4" t="s">
        <v>186</v>
      </c>
      <c r="H472" s="4" t="s">
        <v>72</v>
      </c>
      <c r="I472" s="4" t="s">
        <v>47</v>
      </c>
      <c r="J472" s="3">
        <v>7</v>
      </c>
      <c r="K472" s="6">
        <v>121058</v>
      </c>
      <c r="L472" s="6">
        <f t="shared" si="21"/>
        <v>84740.599999999991</v>
      </c>
      <c r="M472" s="6">
        <v>36317.400000000009</v>
      </c>
      <c r="N472" s="5" t="str">
        <f t="shared" si="22"/>
        <v>Jan</v>
      </c>
      <c r="O472" s="5" t="str">
        <f t="shared" si="23"/>
        <v xml:space="preserve"> 2024</v>
      </c>
    </row>
    <row r="473" spans="1:15" x14ac:dyDescent="0.35">
      <c r="A473" t="s">
        <v>897</v>
      </c>
      <c r="B473" s="5" t="s">
        <v>898</v>
      </c>
      <c r="C473" s="4" t="s">
        <v>13</v>
      </c>
      <c r="D473" s="4" t="s">
        <v>162</v>
      </c>
      <c r="E473" s="4" t="s">
        <v>163</v>
      </c>
      <c r="F473" s="4" t="s">
        <v>25</v>
      </c>
      <c r="G473" s="4" t="s">
        <v>71</v>
      </c>
      <c r="H473" s="4" t="s">
        <v>18</v>
      </c>
      <c r="I473" s="4" t="s">
        <v>39</v>
      </c>
      <c r="J473" s="3">
        <v>4</v>
      </c>
      <c r="K473" s="6">
        <v>31468</v>
      </c>
      <c r="L473" s="6">
        <f t="shared" si="21"/>
        <v>22027.599999999999</v>
      </c>
      <c r="M473" s="6">
        <v>9440.4000000000015</v>
      </c>
      <c r="N473" s="5" t="str">
        <f t="shared" si="22"/>
        <v>Mar</v>
      </c>
      <c r="O473" s="5" t="str">
        <f t="shared" si="23"/>
        <v xml:space="preserve"> 2024</v>
      </c>
    </row>
    <row r="474" spans="1:15" x14ac:dyDescent="0.35">
      <c r="A474" t="s">
        <v>899</v>
      </c>
      <c r="B474" s="5" t="s">
        <v>577</v>
      </c>
      <c r="C474" s="4" t="s">
        <v>55</v>
      </c>
      <c r="D474" s="4" t="s">
        <v>56</v>
      </c>
      <c r="E474" s="4" t="s">
        <v>57</v>
      </c>
      <c r="F474" s="4" t="s">
        <v>37</v>
      </c>
      <c r="G474" s="4" t="s">
        <v>38</v>
      </c>
      <c r="H474" s="4" t="s">
        <v>18</v>
      </c>
      <c r="I474" s="4" t="s">
        <v>39</v>
      </c>
      <c r="J474" s="3">
        <v>9</v>
      </c>
      <c r="K474" s="6">
        <v>79029</v>
      </c>
      <c r="L474" s="6">
        <f t="shared" si="21"/>
        <v>55320.299999999996</v>
      </c>
      <c r="M474" s="6">
        <v>23708.700000000004</v>
      </c>
      <c r="N474" s="5" t="str">
        <f t="shared" si="22"/>
        <v>Nov</v>
      </c>
      <c r="O474" s="5" t="str">
        <f t="shared" si="23"/>
        <v xml:space="preserve"> 2024</v>
      </c>
    </row>
    <row r="475" spans="1:15" x14ac:dyDescent="0.35">
      <c r="A475" t="s">
        <v>900</v>
      </c>
      <c r="B475" s="5" t="s">
        <v>311</v>
      </c>
      <c r="C475" s="4" t="s">
        <v>13</v>
      </c>
      <c r="D475" s="4" t="s">
        <v>14</v>
      </c>
      <c r="E475" s="4" t="s">
        <v>15</v>
      </c>
      <c r="F475" s="4" t="s">
        <v>67</v>
      </c>
      <c r="G475" s="4" t="s">
        <v>68</v>
      </c>
      <c r="H475" s="4" t="s">
        <v>72</v>
      </c>
      <c r="I475" s="4" t="s">
        <v>28</v>
      </c>
      <c r="J475" s="3">
        <v>9</v>
      </c>
      <c r="K475" s="6">
        <v>193176</v>
      </c>
      <c r="L475" s="6">
        <f t="shared" si="21"/>
        <v>135223.19999999998</v>
      </c>
      <c r="M475" s="6">
        <v>57952.800000000017</v>
      </c>
      <c r="N475" s="5" t="str">
        <f t="shared" si="22"/>
        <v>Nov</v>
      </c>
      <c r="O475" s="5" t="str">
        <f t="shared" si="23"/>
        <v xml:space="preserve"> 2024</v>
      </c>
    </row>
    <row r="476" spans="1:15" x14ac:dyDescent="0.35">
      <c r="A476" t="s">
        <v>901</v>
      </c>
      <c r="B476" s="5" t="s">
        <v>902</v>
      </c>
      <c r="C476" s="4" t="s">
        <v>31</v>
      </c>
      <c r="D476" s="4" t="s">
        <v>45</v>
      </c>
      <c r="E476" s="4" t="s">
        <v>46</v>
      </c>
      <c r="F476" s="4" t="s">
        <v>37</v>
      </c>
      <c r="G476" s="4" t="s">
        <v>148</v>
      </c>
      <c r="H476" s="4" t="s">
        <v>72</v>
      </c>
      <c r="I476" s="4" t="s">
        <v>47</v>
      </c>
      <c r="J476" s="3">
        <v>6</v>
      </c>
      <c r="K476" s="6">
        <v>186534</v>
      </c>
      <c r="L476" s="6">
        <f t="shared" si="21"/>
        <v>130573.79999999999</v>
      </c>
      <c r="M476" s="6">
        <v>55960.200000000012</v>
      </c>
      <c r="N476" s="5" t="str">
        <f t="shared" si="22"/>
        <v>Mar</v>
      </c>
      <c r="O476" s="5" t="str">
        <f t="shared" si="23"/>
        <v xml:space="preserve"> 2023</v>
      </c>
    </row>
    <row r="477" spans="1:15" x14ac:dyDescent="0.35">
      <c r="A477" t="s">
        <v>903</v>
      </c>
      <c r="B477" s="5" t="s">
        <v>863</v>
      </c>
      <c r="C477" s="4" t="s">
        <v>31</v>
      </c>
      <c r="D477" s="4" t="s">
        <v>50</v>
      </c>
      <c r="E477" s="4" t="s">
        <v>51</v>
      </c>
      <c r="F477" s="4" t="s">
        <v>16</v>
      </c>
      <c r="G477" s="4" t="s">
        <v>42</v>
      </c>
      <c r="H477" s="4" t="s">
        <v>27</v>
      </c>
      <c r="I477" s="4" t="s">
        <v>19</v>
      </c>
      <c r="J477" s="3">
        <v>4</v>
      </c>
      <c r="K477" s="6">
        <v>122436</v>
      </c>
      <c r="L477" s="6">
        <f t="shared" si="21"/>
        <v>85705.2</v>
      </c>
      <c r="M477" s="6">
        <v>36730.800000000003</v>
      </c>
      <c r="N477" s="5" t="str">
        <f t="shared" si="22"/>
        <v>Aug</v>
      </c>
      <c r="O477" s="5" t="str">
        <f t="shared" si="23"/>
        <v xml:space="preserve"> 2023</v>
      </c>
    </row>
    <row r="478" spans="1:15" x14ac:dyDescent="0.35">
      <c r="A478" t="s">
        <v>904</v>
      </c>
      <c r="B478" s="5" t="s">
        <v>115</v>
      </c>
      <c r="C478" s="4" t="s">
        <v>13</v>
      </c>
      <c r="D478" s="4" t="s">
        <v>118</v>
      </c>
      <c r="E478" s="4" t="s">
        <v>119</v>
      </c>
      <c r="F478" s="4" t="s">
        <v>25</v>
      </c>
      <c r="G478" s="4" t="s">
        <v>52</v>
      </c>
      <c r="H478" s="4" t="s">
        <v>18</v>
      </c>
      <c r="I478" s="4" t="s">
        <v>39</v>
      </c>
      <c r="J478" s="3">
        <v>9</v>
      </c>
      <c r="K478" s="6">
        <v>79668</v>
      </c>
      <c r="L478" s="6">
        <f t="shared" si="21"/>
        <v>55767.6</v>
      </c>
      <c r="M478" s="6">
        <v>23900.400000000001</v>
      </c>
      <c r="N478" s="5" t="str">
        <f t="shared" si="22"/>
        <v>Jan</v>
      </c>
      <c r="O478" s="5" t="str">
        <f t="shared" si="23"/>
        <v xml:space="preserve"> 2024</v>
      </c>
    </row>
    <row r="479" spans="1:15" x14ac:dyDescent="0.35">
      <c r="A479" t="s">
        <v>905</v>
      </c>
      <c r="B479" s="5" t="s">
        <v>662</v>
      </c>
      <c r="C479" s="4" t="s">
        <v>13</v>
      </c>
      <c r="D479" s="4" t="s">
        <v>125</v>
      </c>
      <c r="E479" s="4" t="s">
        <v>126</v>
      </c>
      <c r="F479" s="4" t="s">
        <v>16</v>
      </c>
      <c r="G479" s="4" t="s">
        <v>42</v>
      </c>
      <c r="H479" s="4" t="s">
        <v>18</v>
      </c>
      <c r="I479" s="4" t="s">
        <v>19</v>
      </c>
      <c r="J479" s="3">
        <v>4</v>
      </c>
      <c r="K479" s="6">
        <v>70640</v>
      </c>
      <c r="L479" s="6">
        <f t="shared" si="21"/>
        <v>49448</v>
      </c>
      <c r="M479" s="6">
        <v>21192</v>
      </c>
      <c r="N479" s="5" t="str">
        <f t="shared" si="22"/>
        <v>Sep</v>
      </c>
      <c r="O479" s="5" t="str">
        <f t="shared" si="23"/>
        <v xml:space="preserve"> 2024</v>
      </c>
    </row>
    <row r="480" spans="1:15" x14ac:dyDescent="0.35">
      <c r="A480" t="s">
        <v>906</v>
      </c>
      <c r="B480" s="5" t="s">
        <v>477</v>
      </c>
      <c r="C480" s="4" t="s">
        <v>55</v>
      </c>
      <c r="D480" s="4" t="s">
        <v>82</v>
      </c>
      <c r="E480" s="4" t="s">
        <v>83</v>
      </c>
      <c r="F480" s="4" t="s">
        <v>37</v>
      </c>
      <c r="G480" s="4" t="s">
        <v>148</v>
      </c>
      <c r="H480" s="4" t="s">
        <v>72</v>
      </c>
      <c r="I480" s="4" t="s">
        <v>19</v>
      </c>
      <c r="J480" s="3">
        <v>10</v>
      </c>
      <c r="K480" s="6">
        <v>345380</v>
      </c>
      <c r="L480" s="6">
        <f t="shared" si="21"/>
        <v>241765.99999999997</v>
      </c>
      <c r="M480" s="6">
        <v>103614.00000000003</v>
      </c>
      <c r="N480" s="5" t="str">
        <f t="shared" si="22"/>
        <v>Aug</v>
      </c>
      <c r="O480" s="5" t="str">
        <f t="shared" si="23"/>
        <v xml:space="preserve"> 2023</v>
      </c>
    </row>
    <row r="481" spans="1:15" x14ac:dyDescent="0.35">
      <c r="A481" t="s">
        <v>907</v>
      </c>
      <c r="B481" s="5" t="s">
        <v>121</v>
      </c>
      <c r="C481" s="4" t="s">
        <v>31</v>
      </c>
      <c r="D481" s="4" t="s">
        <v>104</v>
      </c>
      <c r="E481" s="4" t="s">
        <v>105</v>
      </c>
      <c r="F481" s="4" t="s">
        <v>25</v>
      </c>
      <c r="G481" s="4" t="s">
        <v>26</v>
      </c>
      <c r="H481" s="4" t="s">
        <v>72</v>
      </c>
      <c r="I481" s="4" t="s">
        <v>39</v>
      </c>
      <c r="J481" s="3">
        <v>5</v>
      </c>
      <c r="K481" s="6">
        <v>81660</v>
      </c>
      <c r="L481" s="6">
        <f t="shared" si="21"/>
        <v>57162</v>
      </c>
      <c r="M481" s="6">
        <v>24498</v>
      </c>
      <c r="N481" s="5" t="str">
        <f t="shared" si="22"/>
        <v>Oct</v>
      </c>
      <c r="O481" s="5" t="str">
        <f t="shared" si="23"/>
        <v xml:space="preserve"> 2023</v>
      </c>
    </row>
    <row r="482" spans="1:15" x14ac:dyDescent="0.35">
      <c r="A482" t="s">
        <v>908</v>
      </c>
      <c r="B482" s="5" t="s">
        <v>909</v>
      </c>
      <c r="C482" s="4" t="s">
        <v>22</v>
      </c>
      <c r="D482" s="4" t="s">
        <v>90</v>
      </c>
      <c r="E482" s="4" t="s">
        <v>91</v>
      </c>
      <c r="F482" s="4" t="s">
        <v>37</v>
      </c>
      <c r="G482" s="4" t="s">
        <v>148</v>
      </c>
      <c r="H482" s="4" t="s">
        <v>27</v>
      </c>
      <c r="I482" s="4" t="s">
        <v>28</v>
      </c>
      <c r="J482" s="3">
        <v>10</v>
      </c>
      <c r="K482" s="6">
        <v>407610</v>
      </c>
      <c r="L482" s="6">
        <f t="shared" si="21"/>
        <v>285327</v>
      </c>
      <c r="M482" s="6">
        <v>122283</v>
      </c>
      <c r="N482" s="5" t="str">
        <f t="shared" si="22"/>
        <v>Mar</v>
      </c>
      <c r="O482" s="5" t="str">
        <f t="shared" si="23"/>
        <v xml:space="preserve"> 2024</v>
      </c>
    </row>
    <row r="483" spans="1:15" x14ac:dyDescent="0.35">
      <c r="A483" t="s">
        <v>910</v>
      </c>
      <c r="B483" s="5" t="s">
        <v>911</v>
      </c>
      <c r="C483" s="4" t="s">
        <v>22</v>
      </c>
      <c r="D483" s="4" t="s">
        <v>90</v>
      </c>
      <c r="E483" s="4" t="s">
        <v>91</v>
      </c>
      <c r="F483" s="4" t="s">
        <v>25</v>
      </c>
      <c r="G483" s="4" t="s">
        <v>26</v>
      </c>
      <c r="H483" s="4" t="s">
        <v>18</v>
      </c>
      <c r="I483" s="4" t="s">
        <v>28</v>
      </c>
      <c r="J483" s="3">
        <v>8</v>
      </c>
      <c r="K483" s="6">
        <v>114184</v>
      </c>
      <c r="L483" s="6">
        <f t="shared" si="21"/>
        <v>79928.799999999988</v>
      </c>
      <c r="M483" s="6">
        <v>34255.200000000012</v>
      </c>
      <c r="N483" s="5" t="str">
        <f t="shared" si="22"/>
        <v>Sep</v>
      </c>
      <c r="O483" s="5" t="str">
        <f t="shared" si="23"/>
        <v xml:space="preserve"> 2023</v>
      </c>
    </row>
    <row r="484" spans="1:15" x14ac:dyDescent="0.35">
      <c r="A484" t="s">
        <v>912</v>
      </c>
      <c r="B484" s="5" t="s">
        <v>913</v>
      </c>
      <c r="C484" s="4" t="s">
        <v>31</v>
      </c>
      <c r="D484" s="4" t="s">
        <v>45</v>
      </c>
      <c r="E484" s="4" t="s">
        <v>46</v>
      </c>
      <c r="F484" s="4" t="s">
        <v>67</v>
      </c>
      <c r="G484" s="4" t="s">
        <v>134</v>
      </c>
      <c r="H484" s="4" t="s">
        <v>27</v>
      </c>
      <c r="I484" s="4" t="s">
        <v>19</v>
      </c>
      <c r="J484" s="3">
        <v>4</v>
      </c>
      <c r="K484" s="6">
        <v>17228</v>
      </c>
      <c r="L484" s="6">
        <f t="shared" si="21"/>
        <v>12059.599999999999</v>
      </c>
      <c r="M484" s="6">
        <v>5168.4000000000015</v>
      </c>
      <c r="N484" s="5" t="str">
        <f t="shared" si="22"/>
        <v>Sep</v>
      </c>
      <c r="O484" s="5" t="str">
        <f t="shared" si="23"/>
        <v xml:space="preserve"> 2023</v>
      </c>
    </row>
    <row r="485" spans="1:15" x14ac:dyDescent="0.35">
      <c r="A485" t="s">
        <v>914</v>
      </c>
      <c r="B485" s="5" t="s">
        <v>915</v>
      </c>
      <c r="C485" s="4" t="s">
        <v>31</v>
      </c>
      <c r="D485" s="4" t="s">
        <v>32</v>
      </c>
      <c r="E485" s="4" t="s">
        <v>33</v>
      </c>
      <c r="F485" s="4" t="s">
        <v>25</v>
      </c>
      <c r="G485" s="4" t="s">
        <v>77</v>
      </c>
      <c r="H485" s="4" t="s">
        <v>27</v>
      </c>
      <c r="I485" s="4" t="s">
        <v>28</v>
      </c>
      <c r="J485" s="3">
        <v>9</v>
      </c>
      <c r="K485" s="6">
        <v>113409</v>
      </c>
      <c r="L485" s="6">
        <f t="shared" si="21"/>
        <v>79386.299999999988</v>
      </c>
      <c r="M485" s="6">
        <v>34022.700000000012</v>
      </c>
      <c r="N485" s="5" t="str">
        <f t="shared" si="22"/>
        <v>Jul</v>
      </c>
      <c r="O485" s="5" t="str">
        <f t="shared" si="23"/>
        <v xml:space="preserve"> 2024</v>
      </c>
    </row>
    <row r="486" spans="1:15" x14ac:dyDescent="0.35">
      <c r="A486" t="s">
        <v>916</v>
      </c>
      <c r="B486" s="5" t="s">
        <v>917</v>
      </c>
      <c r="C486" s="4" t="s">
        <v>55</v>
      </c>
      <c r="D486" s="4" t="s">
        <v>82</v>
      </c>
      <c r="E486" s="4" t="s">
        <v>83</v>
      </c>
      <c r="F486" s="4" t="s">
        <v>25</v>
      </c>
      <c r="G486" s="4" t="s">
        <v>77</v>
      </c>
      <c r="H486" s="4" t="s">
        <v>72</v>
      </c>
      <c r="I486" s="4" t="s">
        <v>28</v>
      </c>
      <c r="J486" s="3">
        <v>7</v>
      </c>
      <c r="K486" s="6">
        <v>172459</v>
      </c>
      <c r="L486" s="6">
        <f t="shared" si="21"/>
        <v>120721.29999999999</v>
      </c>
      <c r="M486" s="6">
        <v>51737.700000000012</v>
      </c>
      <c r="N486" s="5" t="str">
        <f t="shared" si="22"/>
        <v>Jul</v>
      </c>
      <c r="O486" s="5" t="str">
        <f t="shared" si="23"/>
        <v xml:space="preserve"> 2023</v>
      </c>
    </row>
    <row r="487" spans="1:15" x14ac:dyDescent="0.35">
      <c r="A487" t="s">
        <v>918</v>
      </c>
      <c r="B487" s="5" t="s">
        <v>919</v>
      </c>
      <c r="C487" s="4" t="s">
        <v>31</v>
      </c>
      <c r="D487" s="4" t="s">
        <v>32</v>
      </c>
      <c r="E487" s="4" t="s">
        <v>33</v>
      </c>
      <c r="F487" s="4" t="s">
        <v>37</v>
      </c>
      <c r="G487" s="4" t="s">
        <v>186</v>
      </c>
      <c r="H487" s="4" t="s">
        <v>27</v>
      </c>
      <c r="I487" s="4" t="s">
        <v>28</v>
      </c>
      <c r="J487" s="3">
        <v>6</v>
      </c>
      <c r="K487" s="6">
        <v>159966</v>
      </c>
      <c r="L487" s="6">
        <f t="shared" si="21"/>
        <v>111976.2</v>
      </c>
      <c r="M487" s="6">
        <v>47989.8</v>
      </c>
      <c r="N487" s="5" t="str">
        <f t="shared" si="22"/>
        <v>Jul</v>
      </c>
      <c r="O487" s="5" t="str">
        <f t="shared" si="23"/>
        <v xml:space="preserve"> 2023</v>
      </c>
    </row>
    <row r="488" spans="1:15" x14ac:dyDescent="0.35">
      <c r="A488" t="s">
        <v>920</v>
      </c>
      <c r="B488" s="5" t="s">
        <v>921</v>
      </c>
      <c r="C488" s="4" t="s">
        <v>55</v>
      </c>
      <c r="D488" s="4" t="s">
        <v>56</v>
      </c>
      <c r="E488" s="4" t="s">
        <v>57</v>
      </c>
      <c r="F488" s="4" t="s">
        <v>37</v>
      </c>
      <c r="G488" s="4" t="s">
        <v>186</v>
      </c>
      <c r="H488" s="4" t="s">
        <v>27</v>
      </c>
      <c r="I488" s="4" t="s">
        <v>28</v>
      </c>
      <c r="J488" s="3">
        <v>4</v>
      </c>
      <c r="K488" s="6">
        <v>172776</v>
      </c>
      <c r="L488" s="6">
        <f t="shared" si="21"/>
        <v>120943.2</v>
      </c>
      <c r="M488" s="6">
        <v>51832.800000000003</v>
      </c>
      <c r="N488" s="5" t="str">
        <f t="shared" si="22"/>
        <v>Aug</v>
      </c>
      <c r="O488" s="5" t="str">
        <f t="shared" si="23"/>
        <v xml:space="preserve"> 2024</v>
      </c>
    </row>
    <row r="489" spans="1:15" x14ac:dyDescent="0.35">
      <c r="A489" t="s">
        <v>922</v>
      </c>
      <c r="B489" s="5" t="s">
        <v>923</v>
      </c>
      <c r="C489" s="4" t="s">
        <v>22</v>
      </c>
      <c r="D489" s="4" t="s">
        <v>23</v>
      </c>
      <c r="E489" s="4" t="s">
        <v>24</v>
      </c>
      <c r="F489" s="4" t="s">
        <v>25</v>
      </c>
      <c r="G489" s="4" t="s">
        <v>52</v>
      </c>
      <c r="H489" s="4" t="s">
        <v>18</v>
      </c>
      <c r="I489" s="4" t="s">
        <v>47</v>
      </c>
      <c r="J489" s="3">
        <v>5</v>
      </c>
      <c r="K489" s="6">
        <v>73680</v>
      </c>
      <c r="L489" s="6">
        <f t="shared" si="21"/>
        <v>51576</v>
      </c>
      <c r="M489" s="6">
        <v>22104</v>
      </c>
      <c r="N489" s="5" t="str">
        <f t="shared" si="22"/>
        <v>Apr</v>
      </c>
      <c r="O489" s="5" t="str">
        <f t="shared" si="23"/>
        <v xml:space="preserve"> 2024</v>
      </c>
    </row>
    <row r="490" spans="1:15" x14ac:dyDescent="0.35">
      <c r="A490" t="s">
        <v>924</v>
      </c>
      <c r="B490" s="5" t="s">
        <v>353</v>
      </c>
      <c r="C490" s="4" t="s">
        <v>13</v>
      </c>
      <c r="D490" s="4" t="s">
        <v>14</v>
      </c>
      <c r="E490" s="4" t="s">
        <v>15</v>
      </c>
      <c r="F490" s="4" t="s">
        <v>16</v>
      </c>
      <c r="G490" s="4" t="s">
        <v>42</v>
      </c>
      <c r="H490" s="4" t="s">
        <v>18</v>
      </c>
      <c r="I490" s="4" t="s">
        <v>28</v>
      </c>
      <c r="J490" s="3">
        <v>9</v>
      </c>
      <c r="K490" s="6">
        <v>83556</v>
      </c>
      <c r="L490" s="6">
        <f t="shared" si="21"/>
        <v>58489.2</v>
      </c>
      <c r="M490" s="6">
        <v>25066.800000000003</v>
      </c>
      <c r="N490" s="5" t="str">
        <f t="shared" si="22"/>
        <v>Dec</v>
      </c>
      <c r="O490" s="5" t="str">
        <f t="shared" si="23"/>
        <v xml:space="preserve"> 2023</v>
      </c>
    </row>
    <row r="491" spans="1:15" x14ac:dyDescent="0.35">
      <c r="A491" t="s">
        <v>925</v>
      </c>
      <c r="B491" s="5" t="s">
        <v>926</v>
      </c>
      <c r="C491" s="4" t="s">
        <v>31</v>
      </c>
      <c r="D491" s="4" t="s">
        <v>50</v>
      </c>
      <c r="E491" s="4" t="s">
        <v>51</v>
      </c>
      <c r="F491" s="4" t="s">
        <v>16</v>
      </c>
      <c r="G491" s="4" t="s">
        <v>34</v>
      </c>
      <c r="H491" s="4" t="s">
        <v>27</v>
      </c>
      <c r="I491" s="4" t="s">
        <v>60</v>
      </c>
      <c r="J491" s="3">
        <v>8</v>
      </c>
      <c r="K491" s="6">
        <v>188528</v>
      </c>
      <c r="L491" s="6">
        <f t="shared" si="21"/>
        <v>131969.60000000001</v>
      </c>
      <c r="M491" s="6">
        <v>56558.399999999994</v>
      </c>
      <c r="N491" s="5" t="str">
        <f t="shared" si="22"/>
        <v>Oct</v>
      </c>
      <c r="O491" s="5" t="str">
        <f t="shared" si="23"/>
        <v xml:space="preserve"> 2023</v>
      </c>
    </row>
    <row r="492" spans="1:15" x14ac:dyDescent="0.35">
      <c r="A492" t="s">
        <v>927</v>
      </c>
      <c r="B492" s="5" t="s">
        <v>928</v>
      </c>
      <c r="C492" s="4" t="s">
        <v>55</v>
      </c>
      <c r="D492" s="4" t="s">
        <v>56</v>
      </c>
      <c r="E492" s="4" t="s">
        <v>57</v>
      </c>
      <c r="F492" s="4" t="s">
        <v>25</v>
      </c>
      <c r="G492" s="4" t="s">
        <v>26</v>
      </c>
      <c r="H492" s="4" t="s">
        <v>27</v>
      </c>
      <c r="I492" s="4" t="s">
        <v>47</v>
      </c>
      <c r="J492" s="3">
        <v>2</v>
      </c>
      <c r="K492" s="6">
        <v>3572</v>
      </c>
      <c r="L492" s="6">
        <f t="shared" si="21"/>
        <v>2500.3999999999996</v>
      </c>
      <c r="M492" s="6">
        <v>1071.6000000000004</v>
      </c>
      <c r="N492" s="5" t="str">
        <f t="shared" si="22"/>
        <v>Sep</v>
      </c>
      <c r="O492" s="5" t="str">
        <f t="shared" si="23"/>
        <v xml:space="preserve"> 2024</v>
      </c>
    </row>
    <row r="493" spans="1:15" x14ac:dyDescent="0.35">
      <c r="A493" t="s">
        <v>929</v>
      </c>
      <c r="B493" s="5" t="s">
        <v>930</v>
      </c>
      <c r="C493" s="4" t="s">
        <v>55</v>
      </c>
      <c r="D493" s="4" t="s">
        <v>98</v>
      </c>
      <c r="E493" s="4" t="s">
        <v>99</v>
      </c>
      <c r="F493" s="4" t="s">
        <v>37</v>
      </c>
      <c r="G493" s="4" t="s">
        <v>148</v>
      </c>
      <c r="H493" s="4" t="s">
        <v>18</v>
      </c>
      <c r="I493" s="4" t="s">
        <v>28</v>
      </c>
      <c r="J493" s="3">
        <v>4</v>
      </c>
      <c r="K493" s="6">
        <v>148508</v>
      </c>
      <c r="L493" s="6">
        <f t="shared" si="21"/>
        <v>103955.59999999999</v>
      </c>
      <c r="M493" s="6">
        <v>44552.400000000009</v>
      </c>
      <c r="N493" s="5" t="str">
        <f t="shared" si="22"/>
        <v>Mar</v>
      </c>
      <c r="O493" s="5" t="str">
        <f t="shared" si="23"/>
        <v xml:space="preserve"> 2024</v>
      </c>
    </row>
    <row r="494" spans="1:15" x14ac:dyDescent="0.35">
      <c r="A494" t="s">
        <v>931</v>
      </c>
      <c r="B494" s="5" t="s">
        <v>790</v>
      </c>
      <c r="C494" s="4" t="s">
        <v>55</v>
      </c>
      <c r="D494" s="4" t="s">
        <v>82</v>
      </c>
      <c r="E494" s="4" t="s">
        <v>83</v>
      </c>
      <c r="F494" s="4" t="s">
        <v>16</v>
      </c>
      <c r="G494" s="4" t="s">
        <v>122</v>
      </c>
      <c r="H494" s="4" t="s">
        <v>18</v>
      </c>
      <c r="I494" s="4" t="s">
        <v>60</v>
      </c>
      <c r="J494" s="3">
        <v>6</v>
      </c>
      <c r="K494" s="6">
        <v>187590</v>
      </c>
      <c r="L494" s="6">
        <f t="shared" si="21"/>
        <v>131313</v>
      </c>
      <c r="M494" s="6">
        <v>56277</v>
      </c>
      <c r="N494" s="5" t="str">
        <f t="shared" si="22"/>
        <v>Jun</v>
      </c>
      <c r="O494" s="5" t="str">
        <f t="shared" si="23"/>
        <v xml:space="preserve"> 2024</v>
      </c>
    </row>
    <row r="495" spans="1:15" x14ac:dyDescent="0.35">
      <c r="A495" t="s">
        <v>932</v>
      </c>
      <c r="B495" s="5" t="s">
        <v>500</v>
      </c>
      <c r="C495" s="4" t="s">
        <v>13</v>
      </c>
      <c r="D495" s="4" t="s">
        <v>125</v>
      </c>
      <c r="E495" s="4" t="s">
        <v>126</v>
      </c>
      <c r="F495" s="4" t="s">
        <v>25</v>
      </c>
      <c r="G495" s="4" t="s">
        <v>77</v>
      </c>
      <c r="H495" s="4" t="s">
        <v>18</v>
      </c>
      <c r="I495" s="4" t="s">
        <v>19</v>
      </c>
      <c r="J495" s="3">
        <v>4</v>
      </c>
      <c r="K495" s="6">
        <v>164528</v>
      </c>
      <c r="L495" s="6">
        <f t="shared" si="21"/>
        <v>115169.59999999999</v>
      </c>
      <c r="M495" s="6">
        <v>49358.400000000009</v>
      </c>
      <c r="N495" s="5" t="str">
        <f t="shared" si="22"/>
        <v>Apr</v>
      </c>
      <c r="O495" s="5" t="str">
        <f t="shared" si="23"/>
        <v xml:space="preserve"> 2023</v>
      </c>
    </row>
    <row r="496" spans="1:15" x14ac:dyDescent="0.35">
      <c r="A496" t="s">
        <v>933</v>
      </c>
      <c r="B496" s="5" t="s">
        <v>934</v>
      </c>
      <c r="C496" s="4" t="s">
        <v>55</v>
      </c>
      <c r="D496" s="4" t="s">
        <v>56</v>
      </c>
      <c r="E496" s="4" t="s">
        <v>57</v>
      </c>
      <c r="F496" s="4" t="s">
        <v>25</v>
      </c>
      <c r="G496" s="4" t="s">
        <v>52</v>
      </c>
      <c r="H496" s="4" t="s">
        <v>27</v>
      </c>
      <c r="I496" s="4" t="s">
        <v>19</v>
      </c>
      <c r="J496" s="3">
        <v>2</v>
      </c>
      <c r="K496" s="6">
        <v>2634</v>
      </c>
      <c r="L496" s="6">
        <f t="shared" si="21"/>
        <v>1843.8</v>
      </c>
      <c r="M496" s="6">
        <v>790.2</v>
      </c>
      <c r="N496" s="5" t="str">
        <f t="shared" si="22"/>
        <v>Oct</v>
      </c>
      <c r="O496" s="5" t="str">
        <f t="shared" si="23"/>
        <v xml:space="preserve"> 2024</v>
      </c>
    </row>
    <row r="497" spans="1:15" x14ac:dyDescent="0.35">
      <c r="A497" t="s">
        <v>935</v>
      </c>
      <c r="B497" s="5" t="s">
        <v>692</v>
      </c>
      <c r="C497" s="4" t="s">
        <v>13</v>
      </c>
      <c r="D497" s="4" t="s">
        <v>162</v>
      </c>
      <c r="E497" s="4" t="s">
        <v>163</v>
      </c>
      <c r="F497" s="4" t="s">
        <v>25</v>
      </c>
      <c r="G497" s="4" t="s">
        <v>71</v>
      </c>
      <c r="H497" s="4" t="s">
        <v>72</v>
      </c>
      <c r="I497" s="4" t="s">
        <v>39</v>
      </c>
      <c r="J497" s="3">
        <v>9</v>
      </c>
      <c r="K497" s="6">
        <v>98784</v>
      </c>
      <c r="L497" s="6">
        <f t="shared" si="21"/>
        <v>69148.799999999988</v>
      </c>
      <c r="M497" s="6">
        <v>29635.200000000012</v>
      </c>
      <c r="N497" s="5" t="str">
        <f t="shared" si="22"/>
        <v>Mar</v>
      </c>
      <c r="O497" s="5" t="str">
        <f t="shared" si="23"/>
        <v xml:space="preserve"> 2024</v>
      </c>
    </row>
    <row r="498" spans="1:15" x14ac:dyDescent="0.35">
      <c r="A498" t="s">
        <v>936</v>
      </c>
      <c r="B498" s="5" t="s">
        <v>76</v>
      </c>
      <c r="C498" s="4" t="s">
        <v>22</v>
      </c>
      <c r="D498" s="4" t="s">
        <v>90</v>
      </c>
      <c r="E498" s="4" t="s">
        <v>110</v>
      </c>
      <c r="F498" s="4" t="s">
        <v>67</v>
      </c>
      <c r="G498" s="4" t="s">
        <v>180</v>
      </c>
      <c r="H498" s="4" t="s">
        <v>27</v>
      </c>
      <c r="I498" s="4" t="s">
        <v>28</v>
      </c>
      <c r="J498" s="3">
        <v>10</v>
      </c>
      <c r="K498" s="6">
        <v>75420</v>
      </c>
      <c r="L498" s="6">
        <f t="shared" si="21"/>
        <v>52794</v>
      </c>
      <c r="M498" s="6">
        <v>22626</v>
      </c>
      <c r="N498" s="5" t="str">
        <f t="shared" si="22"/>
        <v>Nov</v>
      </c>
      <c r="O498" s="5" t="str">
        <f t="shared" si="23"/>
        <v xml:space="preserve"> 2024</v>
      </c>
    </row>
    <row r="499" spans="1:15" x14ac:dyDescent="0.35">
      <c r="A499" t="s">
        <v>937</v>
      </c>
      <c r="B499" s="5" t="s">
        <v>938</v>
      </c>
      <c r="C499" s="4" t="s">
        <v>22</v>
      </c>
      <c r="D499" s="4" t="s">
        <v>90</v>
      </c>
      <c r="E499" s="4" t="s">
        <v>91</v>
      </c>
      <c r="F499" s="4" t="s">
        <v>16</v>
      </c>
      <c r="G499" s="4" t="s">
        <v>42</v>
      </c>
      <c r="H499" s="4" t="s">
        <v>27</v>
      </c>
      <c r="I499" s="4" t="s">
        <v>39</v>
      </c>
      <c r="J499" s="3">
        <v>1</v>
      </c>
      <c r="K499" s="6">
        <v>15971</v>
      </c>
      <c r="L499" s="6">
        <f t="shared" si="21"/>
        <v>11179.699999999999</v>
      </c>
      <c r="M499" s="6">
        <v>4791.3000000000011</v>
      </c>
      <c r="N499" s="5" t="str">
        <f t="shared" si="22"/>
        <v>Jun</v>
      </c>
      <c r="O499" s="5" t="str">
        <f t="shared" si="23"/>
        <v xml:space="preserve"> 2024</v>
      </c>
    </row>
    <row r="500" spans="1:15" x14ac:dyDescent="0.35">
      <c r="A500" t="s">
        <v>939</v>
      </c>
      <c r="B500" s="5" t="s">
        <v>265</v>
      </c>
      <c r="C500" s="4" t="s">
        <v>55</v>
      </c>
      <c r="D500" s="4" t="s">
        <v>56</v>
      </c>
      <c r="E500" s="4" t="s">
        <v>57</v>
      </c>
      <c r="F500" s="4" t="s">
        <v>67</v>
      </c>
      <c r="G500" s="4" t="s">
        <v>68</v>
      </c>
      <c r="H500" s="4" t="s">
        <v>72</v>
      </c>
      <c r="I500" s="4" t="s">
        <v>60</v>
      </c>
      <c r="J500" s="3">
        <v>5</v>
      </c>
      <c r="K500" s="6">
        <v>55920</v>
      </c>
      <c r="L500" s="6">
        <f t="shared" si="21"/>
        <v>39144</v>
      </c>
      <c r="M500" s="6">
        <v>16776</v>
      </c>
      <c r="N500" s="5" t="str">
        <f t="shared" si="22"/>
        <v>Apr</v>
      </c>
      <c r="O500" s="5" t="str">
        <f t="shared" si="23"/>
        <v xml:space="preserve"> 2024</v>
      </c>
    </row>
    <row r="501" spans="1:15" x14ac:dyDescent="0.35">
      <c r="A501" t="s">
        <v>940</v>
      </c>
      <c r="B501" s="5" t="s">
        <v>203</v>
      </c>
      <c r="C501" s="4" t="s">
        <v>22</v>
      </c>
      <c r="D501" s="4" t="s">
        <v>90</v>
      </c>
      <c r="E501" s="4" t="s">
        <v>91</v>
      </c>
      <c r="F501" s="4" t="s">
        <v>16</v>
      </c>
      <c r="G501" s="4" t="s">
        <v>122</v>
      </c>
      <c r="H501" s="4" t="s">
        <v>18</v>
      </c>
      <c r="I501" s="4" t="s">
        <v>60</v>
      </c>
      <c r="J501" s="3">
        <v>10</v>
      </c>
      <c r="K501" s="6">
        <v>191500</v>
      </c>
      <c r="L501" s="6">
        <f t="shared" si="21"/>
        <v>134050</v>
      </c>
      <c r="M501" s="6">
        <v>57450</v>
      </c>
      <c r="N501" s="5" t="str">
        <f t="shared" si="22"/>
        <v>Oct</v>
      </c>
      <c r="O501" s="5" t="str">
        <f t="shared" si="23"/>
        <v xml:space="preserve"> 2023</v>
      </c>
    </row>
    <row r="502" spans="1:15" x14ac:dyDescent="0.35">
      <c r="A502" t="s">
        <v>941</v>
      </c>
      <c r="B502" s="5" t="s">
        <v>107</v>
      </c>
      <c r="C502" s="4" t="s">
        <v>13</v>
      </c>
      <c r="D502" s="4" t="s">
        <v>162</v>
      </c>
      <c r="E502" s="4" t="s">
        <v>163</v>
      </c>
      <c r="F502" s="4" t="s">
        <v>67</v>
      </c>
      <c r="G502" s="4" t="s">
        <v>68</v>
      </c>
      <c r="H502" s="4" t="s">
        <v>27</v>
      </c>
      <c r="I502" s="4" t="s">
        <v>28</v>
      </c>
      <c r="J502" s="3">
        <v>5</v>
      </c>
      <c r="K502" s="6">
        <v>192065</v>
      </c>
      <c r="L502" s="6">
        <f t="shared" si="21"/>
        <v>134445.5</v>
      </c>
      <c r="M502" s="6">
        <v>57619.5</v>
      </c>
      <c r="N502" s="5" t="str">
        <f t="shared" si="22"/>
        <v>Jan</v>
      </c>
      <c r="O502" s="5" t="str">
        <f t="shared" si="23"/>
        <v xml:space="preserve"> 2023</v>
      </c>
    </row>
    <row r="503" spans="1:15" x14ac:dyDescent="0.35">
      <c r="A503" t="s">
        <v>942</v>
      </c>
      <c r="B503" s="5" t="s">
        <v>227</v>
      </c>
      <c r="C503" s="4" t="s">
        <v>55</v>
      </c>
      <c r="D503" s="4" t="s">
        <v>56</v>
      </c>
      <c r="E503" s="4" t="s">
        <v>57</v>
      </c>
      <c r="F503" s="4" t="s">
        <v>25</v>
      </c>
      <c r="G503" s="4" t="s">
        <v>26</v>
      </c>
      <c r="H503" s="4" t="s">
        <v>18</v>
      </c>
      <c r="I503" s="4" t="s">
        <v>47</v>
      </c>
      <c r="J503" s="3">
        <v>6</v>
      </c>
      <c r="K503" s="6">
        <v>101400</v>
      </c>
      <c r="L503" s="6">
        <f t="shared" si="21"/>
        <v>70980</v>
      </c>
      <c r="M503" s="6">
        <v>30420</v>
      </c>
      <c r="N503" s="5" t="str">
        <f t="shared" si="22"/>
        <v>May</v>
      </c>
      <c r="O503" s="5" t="str">
        <f t="shared" si="23"/>
        <v xml:space="preserve"> 2024</v>
      </c>
    </row>
    <row r="504" spans="1:15" x14ac:dyDescent="0.35">
      <c r="A504" t="s">
        <v>943</v>
      </c>
      <c r="B504" s="5" t="s">
        <v>944</v>
      </c>
      <c r="C504" s="4" t="s">
        <v>55</v>
      </c>
      <c r="D504" s="4" t="s">
        <v>98</v>
      </c>
      <c r="E504" s="4" t="s">
        <v>99</v>
      </c>
      <c r="F504" s="4" t="s">
        <v>16</v>
      </c>
      <c r="G504" s="4" t="s">
        <v>42</v>
      </c>
      <c r="H504" s="4" t="s">
        <v>27</v>
      </c>
      <c r="I504" s="4" t="s">
        <v>60</v>
      </c>
      <c r="J504" s="3">
        <v>9</v>
      </c>
      <c r="K504" s="6">
        <v>117855</v>
      </c>
      <c r="L504" s="6">
        <f t="shared" si="21"/>
        <v>82498.5</v>
      </c>
      <c r="M504" s="6">
        <v>35356.5</v>
      </c>
      <c r="N504" s="5" t="str">
        <f t="shared" si="22"/>
        <v>Feb</v>
      </c>
      <c r="O504" s="5" t="str">
        <f t="shared" si="23"/>
        <v xml:space="preserve"> 2023</v>
      </c>
    </row>
    <row r="505" spans="1:15" x14ac:dyDescent="0.35">
      <c r="A505" t="s">
        <v>945</v>
      </c>
      <c r="B505" s="5" t="s">
        <v>946</v>
      </c>
      <c r="C505" s="4" t="s">
        <v>31</v>
      </c>
      <c r="D505" s="4" t="s">
        <v>32</v>
      </c>
      <c r="E505" s="4" t="s">
        <v>33</v>
      </c>
      <c r="F505" s="4" t="s">
        <v>37</v>
      </c>
      <c r="G505" s="4" t="s">
        <v>183</v>
      </c>
      <c r="H505" s="4" t="s">
        <v>27</v>
      </c>
      <c r="I505" s="4" t="s">
        <v>28</v>
      </c>
      <c r="J505" s="3">
        <v>5</v>
      </c>
      <c r="K505" s="6">
        <v>118950</v>
      </c>
      <c r="L505" s="6">
        <f t="shared" si="21"/>
        <v>83265</v>
      </c>
      <c r="M505" s="6">
        <v>35685</v>
      </c>
      <c r="N505" s="5" t="str">
        <f t="shared" si="22"/>
        <v>Jan</v>
      </c>
      <c r="O505" s="5" t="str">
        <f t="shared" si="23"/>
        <v xml:space="preserve"> 2023</v>
      </c>
    </row>
    <row r="506" spans="1:15" x14ac:dyDescent="0.35">
      <c r="A506" t="s">
        <v>947</v>
      </c>
      <c r="B506" s="5" t="s">
        <v>374</v>
      </c>
      <c r="C506" s="4" t="s">
        <v>55</v>
      </c>
      <c r="D506" s="4" t="s">
        <v>82</v>
      </c>
      <c r="E506" s="4" t="s">
        <v>83</v>
      </c>
      <c r="F506" s="4" t="s">
        <v>37</v>
      </c>
      <c r="G506" s="4" t="s">
        <v>148</v>
      </c>
      <c r="H506" s="4" t="s">
        <v>27</v>
      </c>
      <c r="I506" s="4" t="s">
        <v>47</v>
      </c>
      <c r="J506" s="3">
        <v>8</v>
      </c>
      <c r="K506" s="6">
        <v>397344</v>
      </c>
      <c r="L506" s="6">
        <f t="shared" si="21"/>
        <v>278140.79999999999</v>
      </c>
      <c r="M506" s="6">
        <v>119203.20000000001</v>
      </c>
      <c r="N506" s="5" t="str">
        <f t="shared" si="22"/>
        <v>Apr</v>
      </c>
      <c r="O506" s="5" t="str">
        <f t="shared" si="23"/>
        <v xml:space="preserve"> 2024</v>
      </c>
    </row>
    <row r="507" spans="1:15" x14ac:dyDescent="0.35">
      <c r="A507" t="s">
        <v>948</v>
      </c>
      <c r="B507" s="5" t="s">
        <v>949</v>
      </c>
      <c r="C507" s="4" t="s">
        <v>22</v>
      </c>
      <c r="D507" s="4" t="s">
        <v>90</v>
      </c>
      <c r="E507" s="4" t="s">
        <v>91</v>
      </c>
      <c r="F507" s="4" t="s">
        <v>25</v>
      </c>
      <c r="G507" s="4" t="s">
        <v>26</v>
      </c>
      <c r="H507" s="4" t="s">
        <v>27</v>
      </c>
      <c r="I507" s="4" t="s">
        <v>47</v>
      </c>
      <c r="J507" s="3">
        <v>5</v>
      </c>
      <c r="K507" s="6">
        <v>151215</v>
      </c>
      <c r="L507" s="6">
        <f t="shared" si="21"/>
        <v>105850.5</v>
      </c>
      <c r="M507" s="6">
        <v>45364.5</v>
      </c>
      <c r="N507" s="5" t="str">
        <f t="shared" si="22"/>
        <v>Feb</v>
      </c>
      <c r="O507" s="5" t="str">
        <f t="shared" si="23"/>
        <v xml:space="preserve"> 2023</v>
      </c>
    </row>
    <row r="508" spans="1:15" x14ac:dyDescent="0.35">
      <c r="A508" t="s">
        <v>950</v>
      </c>
      <c r="B508" s="5" t="s">
        <v>951</v>
      </c>
      <c r="C508" s="4" t="s">
        <v>31</v>
      </c>
      <c r="D508" s="4" t="s">
        <v>50</v>
      </c>
      <c r="E508" s="4" t="s">
        <v>51</v>
      </c>
      <c r="F508" s="4" t="s">
        <v>67</v>
      </c>
      <c r="G508" s="4" t="s">
        <v>68</v>
      </c>
      <c r="H508" s="4" t="s">
        <v>18</v>
      </c>
      <c r="I508" s="4" t="s">
        <v>19</v>
      </c>
      <c r="J508" s="3">
        <v>8</v>
      </c>
      <c r="K508" s="6">
        <v>271672</v>
      </c>
      <c r="L508" s="6">
        <f t="shared" si="21"/>
        <v>190170.4</v>
      </c>
      <c r="M508" s="6">
        <v>81501.600000000006</v>
      </c>
      <c r="N508" s="5" t="str">
        <f t="shared" si="22"/>
        <v>Jun</v>
      </c>
      <c r="O508" s="5" t="str">
        <f t="shared" si="23"/>
        <v xml:space="preserve"> 2023</v>
      </c>
    </row>
    <row r="509" spans="1:15" x14ac:dyDescent="0.35">
      <c r="A509" t="s">
        <v>952</v>
      </c>
      <c r="B509" s="5" t="s">
        <v>953</v>
      </c>
      <c r="C509" s="4" t="s">
        <v>31</v>
      </c>
      <c r="D509" s="4" t="s">
        <v>45</v>
      </c>
      <c r="E509" s="4" t="s">
        <v>46</v>
      </c>
      <c r="F509" s="4" t="s">
        <v>25</v>
      </c>
      <c r="G509" s="4" t="s">
        <v>26</v>
      </c>
      <c r="H509" s="4" t="s">
        <v>18</v>
      </c>
      <c r="I509" s="4" t="s">
        <v>28</v>
      </c>
      <c r="J509" s="3">
        <v>3</v>
      </c>
      <c r="K509" s="6">
        <v>44454</v>
      </c>
      <c r="L509" s="6">
        <f t="shared" si="21"/>
        <v>31117.8</v>
      </c>
      <c r="M509" s="6">
        <v>13336.2</v>
      </c>
      <c r="N509" s="5" t="str">
        <f t="shared" si="22"/>
        <v>Feb</v>
      </c>
      <c r="O509" s="5" t="str">
        <f t="shared" si="23"/>
        <v xml:space="preserve"> 2023</v>
      </c>
    </row>
    <row r="510" spans="1:15" x14ac:dyDescent="0.35">
      <c r="A510" t="s">
        <v>954</v>
      </c>
      <c r="B510" s="5" t="s">
        <v>955</v>
      </c>
      <c r="C510" s="4" t="s">
        <v>13</v>
      </c>
      <c r="D510" s="4" t="s">
        <v>118</v>
      </c>
      <c r="E510" s="4" t="s">
        <v>119</v>
      </c>
      <c r="F510" s="4" t="s">
        <v>16</v>
      </c>
      <c r="G510" s="4" t="s">
        <v>122</v>
      </c>
      <c r="H510" s="4" t="s">
        <v>72</v>
      </c>
      <c r="I510" s="4" t="s">
        <v>47</v>
      </c>
      <c r="J510" s="3">
        <v>2</v>
      </c>
      <c r="K510" s="6">
        <v>29528</v>
      </c>
      <c r="L510" s="6">
        <f t="shared" si="21"/>
        <v>20669.599999999999</v>
      </c>
      <c r="M510" s="6">
        <v>8858.4000000000015</v>
      </c>
      <c r="N510" s="5" t="str">
        <f t="shared" si="22"/>
        <v>Oct</v>
      </c>
      <c r="O510" s="5" t="str">
        <f t="shared" si="23"/>
        <v xml:space="preserve"> 2023</v>
      </c>
    </row>
    <row r="511" spans="1:15" x14ac:dyDescent="0.35">
      <c r="A511" t="s">
        <v>956</v>
      </c>
      <c r="B511" s="5" t="s">
        <v>133</v>
      </c>
      <c r="C511" s="4" t="s">
        <v>13</v>
      </c>
      <c r="D511" s="4" t="s">
        <v>125</v>
      </c>
      <c r="E511" s="4" t="s">
        <v>126</v>
      </c>
      <c r="F511" s="4" t="s">
        <v>67</v>
      </c>
      <c r="G511" s="4" t="s">
        <v>113</v>
      </c>
      <c r="H511" s="4" t="s">
        <v>27</v>
      </c>
      <c r="I511" s="4" t="s">
        <v>19</v>
      </c>
      <c r="J511" s="3">
        <v>3</v>
      </c>
      <c r="K511" s="6">
        <v>52866</v>
      </c>
      <c r="L511" s="6">
        <f t="shared" si="21"/>
        <v>37006.199999999997</v>
      </c>
      <c r="M511" s="6">
        <v>15859.800000000003</v>
      </c>
      <c r="N511" s="5" t="str">
        <f t="shared" si="22"/>
        <v>Jun</v>
      </c>
      <c r="O511" s="5" t="str">
        <f t="shared" si="23"/>
        <v xml:space="preserve"> 2023</v>
      </c>
    </row>
    <row r="512" spans="1:15" x14ac:dyDescent="0.35">
      <c r="A512" t="s">
        <v>957</v>
      </c>
      <c r="B512" s="5" t="s">
        <v>958</v>
      </c>
      <c r="C512" s="4" t="s">
        <v>31</v>
      </c>
      <c r="D512" s="4" t="s">
        <v>50</v>
      </c>
      <c r="E512" s="4" t="s">
        <v>51</v>
      </c>
      <c r="F512" s="4" t="s">
        <v>25</v>
      </c>
      <c r="G512" s="4" t="s">
        <v>26</v>
      </c>
      <c r="H512" s="4" t="s">
        <v>72</v>
      </c>
      <c r="I512" s="4" t="s">
        <v>60</v>
      </c>
      <c r="J512" s="3">
        <v>9</v>
      </c>
      <c r="K512" s="6">
        <v>52992</v>
      </c>
      <c r="L512" s="6">
        <f t="shared" si="21"/>
        <v>37094.399999999994</v>
      </c>
      <c r="M512" s="6">
        <v>15897.600000000006</v>
      </c>
      <c r="N512" s="5" t="str">
        <f t="shared" si="22"/>
        <v>Sep</v>
      </c>
      <c r="O512" s="5" t="str">
        <f t="shared" si="23"/>
        <v xml:space="preserve"> 2023</v>
      </c>
    </row>
    <row r="513" spans="1:15" x14ac:dyDescent="0.35">
      <c r="A513" t="s">
        <v>959</v>
      </c>
      <c r="B513" s="5" t="s">
        <v>960</v>
      </c>
      <c r="C513" s="4" t="s">
        <v>55</v>
      </c>
      <c r="D513" s="4" t="s">
        <v>82</v>
      </c>
      <c r="E513" s="4" t="s">
        <v>83</v>
      </c>
      <c r="F513" s="4" t="s">
        <v>25</v>
      </c>
      <c r="G513" s="4" t="s">
        <v>26</v>
      </c>
      <c r="H513" s="4" t="s">
        <v>18</v>
      </c>
      <c r="I513" s="4" t="s">
        <v>47</v>
      </c>
      <c r="J513" s="3">
        <v>5</v>
      </c>
      <c r="K513" s="6">
        <v>146875</v>
      </c>
      <c r="L513" s="6">
        <f t="shared" si="21"/>
        <v>102812.5</v>
      </c>
      <c r="M513" s="6">
        <v>44062.5</v>
      </c>
      <c r="N513" s="5" t="str">
        <f t="shared" si="22"/>
        <v>Nov</v>
      </c>
      <c r="O513" s="5" t="str">
        <f t="shared" si="23"/>
        <v xml:space="preserve"> 2023</v>
      </c>
    </row>
    <row r="514" spans="1:15" x14ac:dyDescent="0.35">
      <c r="A514" t="s">
        <v>961</v>
      </c>
      <c r="B514" s="5" t="s">
        <v>413</v>
      </c>
      <c r="C514" s="4" t="s">
        <v>55</v>
      </c>
      <c r="D514" s="4" t="s">
        <v>82</v>
      </c>
      <c r="E514" s="4" t="s">
        <v>83</v>
      </c>
      <c r="F514" s="4" t="s">
        <v>25</v>
      </c>
      <c r="G514" s="4" t="s">
        <v>26</v>
      </c>
      <c r="H514" s="4" t="s">
        <v>72</v>
      </c>
      <c r="I514" s="4" t="s">
        <v>60</v>
      </c>
      <c r="J514" s="3">
        <v>5</v>
      </c>
      <c r="K514" s="6">
        <v>59520</v>
      </c>
      <c r="L514" s="6">
        <f t="shared" ref="L514:L577" si="24">K514*0.7</f>
        <v>41664</v>
      </c>
      <c r="M514" s="6">
        <v>17856</v>
      </c>
      <c r="N514" s="5" t="str">
        <f t="shared" ref="N514:N577" si="25">TEXT(B514,"mmm")</f>
        <v>Apr</v>
      </c>
      <c r="O514" s="5" t="str">
        <f t="shared" ref="O514:O577" si="26">TEXT(B514," yyyy")</f>
        <v xml:space="preserve"> 2023</v>
      </c>
    </row>
    <row r="515" spans="1:15" x14ac:dyDescent="0.35">
      <c r="A515" t="s">
        <v>962</v>
      </c>
      <c r="B515" s="5" t="s">
        <v>963</v>
      </c>
      <c r="C515" s="4" t="s">
        <v>31</v>
      </c>
      <c r="D515" s="4" t="s">
        <v>50</v>
      </c>
      <c r="E515" s="4" t="s">
        <v>51</v>
      </c>
      <c r="F515" s="4" t="s">
        <v>67</v>
      </c>
      <c r="G515" s="4" t="s">
        <v>68</v>
      </c>
      <c r="H515" s="4" t="s">
        <v>27</v>
      </c>
      <c r="I515" s="4" t="s">
        <v>60</v>
      </c>
      <c r="J515" s="3">
        <v>5</v>
      </c>
      <c r="K515" s="6">
        <v>37975</v>
      </c>
      <c r="L515" s="6">
        <f t="shared" si="24"/>
        <v>26582.5</v>
      </c>
      <c r="M515" s="6">
        <v>11392.5</v>
      </c>
      <c r="N515" s="5" t="str">
        <f t="shared" si="25"/>
        <v>Sep</v>
      </c>
      <c r="O515" s="5" t="str">
        <f t="shared" si="26"/>
        <v xml:space="preserve"> 2023</v>
      </c>
    </row>
    <row r="516" spans="1:15" x14ac:dyDescent="0.35">
      <c r="A516" t="s">
        <v>964</v>
      </c>
      <c r="B516" s="5" t="s">
        <v>965</v>
      </c>
      <c r="C516" s="4" t="s">
        <v>13</v>
      </c>
      <c r="D516" s="4" t="s">
        <v>162</v>
      </c>
      <c r="E516" s="4" t="s">
        <v>163</v>
      </c>
      <c r="F516" s="4" t="s">
        <v>16</v>
      </c>
      <c r="G516" s="4" t="s">
        <v>34</v>
      </c>
      <c r="H516" s="4" t="s">
        <v>72</v>
      </c>
      <c r="I516" s="4" t="s">
        <v>60</v>
      </c>
      <c r="J516" s="3">
        <v>6</v>
      </c>
      <c r="K516" s="6">
        <v>101112</v>
      </c>
      <c r="L516" s="6">
        <f t="shared" si="24"/>
        <v>70778.399999999994</v>
      </c>
      <c r="M516" s="6">
        <v>30333.600000000006</v>
      </c>
      <c r="N516" s="5" t="str">
        <f t="shared" si="25"/>
        <v>Jun</v>
      </c>
      <c r="O516" s="5" t="str">
        <f t="shared" si="26"/>
        <v xml:space="preserve"> 2023</v>
      </c>
    </row>
    <row r="517" spans="1:15" x14ac:dyDescent="0.35">
      <c r="A517" t="s">
        <v>966</v>
      </c>
      <c r="B517" s="5" t="s">
        <v>215</v>
      </c>
      <c r="C517" s="4" t="s">
        <v>31</v>
      </c>
      <c r="D517" s="4" t="s">
        <v>45</v>
      </c>
      <c r="E517" s="4" t="s">
        <v>46</v>
      </c>
      <c r="F517" s="4" t="s">
        <v>37</v>
      </c>
      <c r="G517" s="4" t="s">
        <v>38</v>
      </c>
      <c r="H517" s="4" t="s">
        <v>18</v>
      </c>
      <c r="I517" s="4" t="s">
        <v>28</v>
      </c>
      <c r="J517" s="3">
        <v>2</v>
      </c>
      <c r="K517" s="6">
        <v>23700</v>
      </c>
      <c r="L517" s="6">
        <f t="shared" si="24"/>
        <v>16590</v>
      </c>
      <c r="M517" s="6">
        <v>7110</v>
      </c>
      <c r="N517" s="5" t="str">
        <f t="shared" si="25"/>
        <v>Jun</v>
      </c>
      <c r="O517" s="5" t="str">
        <f t="shared" si="26"/>
        <v xml:space="preserve"> 2024</v>
      </c>
    </row>
    <row r="518" spans="1:15" x14ac:dyDescent="0.35">
      <c r="A518" t="s">
        <v>967</v>
      </c>
      <c r="B518" s="5" t="s">
        <v>968</v>
      </c>
      <c r="C518" s="4" t="s">
        <v>31</v>
      </c>
      <c r="D518" s="4" t="s">
        <v>45</v>
      </c>
      <c r="E518" s="4" t="s">
        <v>46</v>
      </c>
      <c r="F518" s="4" t="s">
        <v>16</v>
      </c>
      <c r="G518" s="4" t="s">
        <v>42</v>
      </c>
      <c r="H518" s="4" t="s">
        <v>18</v>
      </c>
      <c r="I518" s="4" t="s">
        <v>60</v>
      </c>
      <c r="J518" s="3">
        <v>5</v>
      </c>
      <c r="K518" s="6">
        <v>138965</v>
      </c>
      <c r="L518" s="6">
        <f t="shared" si="24"/>
        <v>97275.5</v>
      </c>
      <c r="M518" s="6">
        <v>41689.5</v>
      </c>
      <c r="N518" s="5" t="str">
        <f t="shared" si="25"/>
        <v>Feb</v>
      </c>
      <c r="O518" s="5" t="str">
        <f t="shared" si="26"/>
        <v xml:space="preserve"> 2024</v>
      </c>
    </row>
    <row r="519" spans="1:15" x14ac:dyDescent="0.35">
      <c r="A519" t="s">
        <v>969</v>
      </c>
      <c r="B519" s="5" t="s">
        <v>822</v>
      </c>
      <c r="C519" s="4" t="s">
        <v>22</v>
      </c>
      <c r="D519" s="4" t="s">
        <v>90</v>
      </c>
      <c r="E519" s="4" t="s">
        <v>110</v>
      </c>
      <c r="F519" s="4" t="s">
        <v>16</v>
      </c>
      <c r="G519" s="4" t="s">
        <v>17</v>
      </c>
      <c r="H519" s="4" t="s">
        <v>27</v>
      </c>
      <c r="I519" s="4" t="s">
        <v>39</v>
      </c>
      <c r="J519" s="3">
        <v>7</v>
      </c>
      <c r="K519" s="6">
        <v>88599</v>
      </c>
      <c r="L519" s="6">
        <f t="shared" si="24"/>
        <v>62019.299999999996</v>
      </c>
      <c r="M519" s="6">
        <v>26579.700000000004</v>
      </c>
      <c r="N519" s="5" t="str">
        <f t="shared" si="25"/>
        <v>Nov</v>
      </c>
      <c r="O519" s="5" t="str">
        <f t="shared" si="26"/>
        <v xml:space="preserve"> 2024</v>
      </c>
    </row>
    <row r="520" spans="1:15" x14ac:dyDescent="0.35">
      <c r="A520" t="s">
        <v>970</v>
      </c>
      <c r="B520" s="5" t="s">
        <v>971</v>
      </c>
      <c r="C520" s="4" t="s">
        <v>22</v>
      </c>
      <c r="D520" s="4" t="s">
        <v>23</v>
      </c>
      <c r="E520" s="4" t="s">
        <v>24</v>
      </c>
      <c r="F520" s="4" t="s">
        <v>16</v>
      </c>
      <c r="G520" s="4" t="s">
        <v>34</v>
      </c>
      <c r="H520" s="4" t="s">
        <v>18</v>
      </c>
      <c r="I520" s="4" t="s">
        <v>60</v>
      </c>
      <c r="J520" s="3">
        <v>8</v>
      </c>
      <c r="K520" s="6">
        <v>175184</v>
      </c>
      <c r="L520" s="6">
        <f t="shared" si="24"/>
        <v>122628.79999999999</v>
      </c>
      <c r="M520" s="6">
        <v>52555.200000000012</v>
      </c>
      <c r="N520" s="5" t="str">
        <f t="shared" si="25"/>
        <v>May</v>
      </c>
      <c r="O520" s="5" t="str">
        <f t="shared" si="26"/>
        <v xml:space="preserve"> 2023</v>
      </c>
    </row>
    <row r="521" spans="1:15" x14ac:dyDescent="0.35">
      <c r="A521" t="s">
        <v>972</v>
      </c>
      <c r="B521" s="5" t="s">
        <v>973</v>
      </c>
      <c r="C521" s="4" t="s">
        <v>31</v>
      </c>
      <c r="D521" s="4" t="s">
        <v>32</v>
      </c>
      <c r="E521" s="4" t="s">
        <v>33</v>
      </c>
      <c r="F521" s="4" t="s">
        <v>67</v>
      </c>
      <c r="G521" s="4" t="s">
        <v>113</v>
      </c>
      <c r="H521" s="4" t="s">
        <v>18</v>
      </c>
      <c r="I521" s="4" t="s">
        <v>60</v>
      </c>
      <c r="J521" s="3">
        <v>9</v>
      </c>
      <c r="K521" s="6">
        <v>420912</v>
      </c>
      <c r="L521" s="6">
        <f t="shared" si="24"/>
        <v>294638.39999999997</v>
      </c>
      <c r="M521" s="6">
        <v>126273.60000000003</v>
      </c>
      <c r="N521" s="5" t="str">
        <f t="shared" si="25"/>
        <v>Apr</v>
      </c>
      <c r="O521" s="5" t="str">
        <f t="shared" si="26"/>
        <v xml:space="preserve"> 2024</v>
      </c>
    </row>
    <row r="522" spans="1:15" x14ac:dyDescent="0.35">
      <c r="A522" t="s">
        <v>974</v>
      </c>
      <c r="B522" s="5" t="s">
        <v>975</v>
      </c>
      <c r="C522" s="4" t="s">
        <v>55</v>
      </c>
      <c r="D522" s="4" t="s">
        <v>98</v>
      </c>
      <c r="E522" s="4" t="s">
        <v>99</v>
      </c>
      <c r="F522" s="4" t="s">
        <v>25</v>
      </c>
      <c r="G522" s="4" t="s">
        <v>26</v>
      </c>
      <c r="H522" s="4" t="s">
        <v>18</v>
      </c>
      <c r="I522" s="4" t="s">
        <v>60</v>
      </c>
      <c r="J522" s="3">
        <v>9</v>
      </c>
      <c r="K522" s="6">
        <v>64179</v>
      </c>
      <c r="L522" s="6">
        <f t="shared" si="24"/>
        <v>44925.299999999996</v>
      </c>
      <c r="M522" s="6">
        <v>19253.700000000004</v>
      </c>
      <c r="N522" s="5" t="str">
        <f t="shared" si="25"/>
        <v>Sep</v>
      </c>
      <c r="O522" s="5" t="str">
        <f t="shared" si="26"/>
        <v xml:space="preserve"> 2023</v>
      </c>
    </row>
    <row r="523" spans="1:15" x14ac:dyDescent="0.35">
      <c r="A523" t="s">
        <v>976</v>
      </c>
      <c r="B523" s="5" t="s">
        <v>977</v>
      </c>
      <c r="C523" s="4" t="s">
        <v>13</v>
      </c>
      <c r="D523" s="4" t="s">
        <v>14</v>
      </c>
      <c r="E523" s="4" t="s">
        <v>15</v>
      </c>
      <c r="F523" s="4" t="s">
        <v>37</v>
      </c>
      <c r="G523" s="4" t="s">
        <v>38</v>
      </c>
      <c r="H523" s="4" t="s">
        <v>72</v>
      </c>
      <c r="I523" s="4" t="s">
        <v>47</v>
      </c>
      <c r="J523" s="3">
        <v>9</v>
      </c>
      <c r="K523" s="6">
        <v>351522</v>
      </c>
      <c r="L523" s="6">
        <f t="shared" si="24"/>
        <v>246065.4</v>
      </c>
      <c r="M523" s="6">
        <v>105456.6</v>
      </c>
      <c r="N523" s="5" t="str">
        <f t="shared" si="25"/>
        <v>Aug</v>
      </c>
      <c r="O523" s="5" t="str">
        <f t="shared" si="26"/>
        <v xml:space="preserve"> 2023</v>
      </c>
    </row>
    <row r="524" spans="1:15" x14ac:dyDescent="0.35">
      <c r="A524" t="s">
        <v>978</v>
      </c>
      <c r="B524" s="5" t="s">
        <v>979</v>
      </c>
      <c r="C524" s="4" t="s">
        <v>13</v>
      </c>
      <c r="D524" s="4" t="s">
        <v>14</v>
      </c>
      <c r="E524" s="4" t="s">
        <v>15</v>
      </c>
      <c r="F524" s="4" t="s">
        <v>67</v>
      </c>
      <c r="G524" s="4" t="s">
        <v>180</v>
      </c>
      <c r="H524" s="4" t="s">
        <v>27</v>
      </c>
      <c r="I524" s="4" t="s">
        <v>60</v>
      </c>
      <c r="J524" s="3">
        <v>8</v>
      </c>
      <c r="K524" s="6">
        <v>197768</v>
      </c>
      <c r="L524" s="6">
        <f t="shared" si="24"/>
        <v>138437.59999999998</v>
      </c>
      <c r="M524" s="6">
        <v>59330.400000000023</v>
      </c>
      <c r="N524" s="5" t="str">
        <f t="shared" si="25"/>
        <v>Jan</v>
      </c>
      <c r="O524" s="5" t="str">
        <f t="shared" si="26"/>
        <v xml:space="preserve"> 2024</v>
      </c>
    </row>
    <row r="525" spans="1:15" x14ac:dyDescent="0.35">
      <c r="A525" t="s">
        <v>980</v>
      </c>
      <c r="B525" s="5" t="s">
        <v>981</v>
      </c>
      <c r="C525" s="4" t="s">
        <v>55</v>
      </c>
      <c r="D525" s="4" t="s">
        <v>82</v>
      </c>
      <c r="E525" s="4" t="s">
        <v>83</v>
      </c>
      <c r="F525" s="4" t="s">
        <v>25</v>
      </c>
      <c r="G525" s="4" t="s">
        <v>52</v>
      </c>
      <c r="H525" s="4" t="s">
        <v>18</v>
      </c>
      <c r="I525" s="4" t="s">
        <v>39</v>
      </c>
      <c r="J525" s="3">
        <v>4</v>
      </c>
      <c r="K525" s="6">
        <v>17668</v>
      </c>
      <c r="L525" s="6">
        <f t="shared" si="24"/>
        <v>12367.599999999999</v>
      </c>
      <c r="M525" s="6">
        <v>5300.4000000000015</v>
      </c>
      <c r="N525" s="5" t="str">
        <f t="shared" si="25"/>
        <v>Nov</v>
      </c>
      <c r="O525" s="5" t="str">
        <f t="shared" si="26"/>
        <v xml:space="preserve"> 2024</v>
      </c>
    </row>
    <row r="526" spans="1:15" x14ac:dyDescent="0.35">
      <c r="A526" t="s">
        <v>982</v>
      </c>
      <c r="B526" s="5" t="s">
        <v>983</v>
      </c>
      <c r="C526" s="4" t="s">
        <v>22</v>
      </c>
      <c r="D526" s="4" t="s">
        <v>90</v>
      </c>
      <c r="E526" s="4" t="s">
        <v>91</v>
      </c>
      <c r="F526" s="4" t="s">
        <v>16</v>
      </c>
      <c r="G526" s="4" t="s">
        <v>122</v>
      </c>
      <c r="H526" s="4" t="s">
        <v>18</v>
      </c>
      <c r="I526" s="4" t="s">
        <v>19</v>
      </c>
      <c r="J526" s="3">
        <v>6</v>
      </c>
      <c r="K526" s="6">
        <v>299202</v>
      </c>
      <c r="L526" s="6">
        <f t="shared" si="24"/>
        <v>209441.4</v>
      </c>
      <c r="M526" s="6">
        <v>89760.6</v>
      </c>
      <c r="N526" s="5" t="str">
        <f t="shared" si="25"/>
        <v>Nov</v>
      </c>
      <c r="O526" s="5" t="str">
        <f t="shared" si="26"/>
        <v xml:space="preserve"> 2024</v>
      </c>
    </row>
    <row r="527" spans="1:15" x14ac:dyDescent="0.35">
      <c r="A527" t="s">
        <v>984</v>
      </c>
      <c r="B527" s="5" t="s">
        <v>985</v>
      </c>
      <c r="C527" s="4" t="s">
        <v>22</v>
      </c>
      <c r="D527" s="4" t="s">
        <v>90</v>
      </c>
      <c r="E527" s="4" t="s">
        <v>91</v>
      </c>
      <c r="F527" s="4" t="s">
        <v>37</v>
      </c>
      <c r="G527" s="4" t="s">
        <v>186</v>
      </c>
      <c r="H527" s="4" t="s">
        <v>18</v>
      </c>
      <c r="I527" s="4" t="s">
        <v>60</v>
      </c>
      <c r="J527" s="3">
        <v>8</v>
      </c>
      <c r="K527" s="6">
        <v>263640</v>
      </c>
      <c r="L527" s="6">
        <f t="shared" si="24"/>
        <v>184548</v>
      </c>
      <c r="M527" s="6">
        <v>79092</v>
      </c>
      <c r="N527" s="5" t="str">
        <f t="shared" si="25"/>
        <v>Jan</v>
      </c>
      <c r="O527" s="5" t="str">
        <f t="shared" si="26"/>
        <v xml:space="preserve"> 2024</v>
      </c>
    </row>
    <row r="528" spans="1:15" x14ac:dyDescent="0.35">
      <c r="A528" t="s">
        <v>986</v>
      </c>
      <c r="B528" s="5" t="s">
        <v>955</v>
      </c>
      <c r="C528" s="4" t="s">
        <v>55</v>
      </c>
      <c r="D528" s="4" t="s">
        <v>56</v>
      </c>
      <c r="E528" s="4" t="s">
        <v>57</v>
      </c>
      <c r="F528" s="4" t="s">
        <v>25</v>
      </c>
      <c r="G528" s="4" t="s">
        <v>26</v>
      </c>
      <c r="H528" s="4" t="s">
        <v>72</v>
      </c>
      <c r="I528" s="4" t="s">
        <v>39</v>
      </c>
      <c r="J528" s="3">
        <v>3</v>
      </c>
      <c r="K528" s="6">
        <v>7752</v>
      </c>
      <c r="L528" s="6">
        <f t="shared" si="24"/>
        <v>5426.4</v>
      </c>
      <c r="M528" s="6">
        <v>2325.6000000000004</v>
      </c>
      <c r="N528" s="5" t="str">
        <f t="shared" si="25"/>
        <v>Oct</v>
      </c>
      <c r="O528" s="5" t="str">
        <f t="shared" si="26"/>
        <v xml:space="preserve"> 2023</v>
      </c>
    </row>
    <row r="529" spans="1:15" x14ac:dyDescent="0.35">
      <c r="A529" t="s">
        <v>987</v>
      </c>
      <c r="B529" s="5" t="s">
        <v>988</v>
      </c>
      <c r="C529" s="4" t="s">
        <v>13</v>
      </c>
      <c r="D529" s="4" t="s">
        <v>14</v>
      </c>
      <c r="E529" s="4" t="s">
        <v>15</v>
      </c>
      <c r="F529" s="4" t="s">
        <v>25</v>
      </c>
      <c r="G529" s="4" t="s">
        <v>26</v>
      </c>
      <c r="H529" s="4" t="s">
        <v>72</v>
      </c>
      <c r="I529" s="4" t="s">
        <v>28</v>
      </c>
      <c r="J529" s="3">
        <v>2</v>
      </c>
      <c r="K529" s="6">
        <v>44690</v>
      </c>
      <c r="L529" s="6">
        <f t="shared" si="24"/>
        <v>31282.999999999996</v>
      </c>
      <c r="M529" s="6">
        <v>13407.000000000004</v>
      </c>
      <c r="N529" s="5" t="str">
        <f t="shared" si="25"/>
        <v>Apr</v>
      </c>
      <c r="O529" s="5" t="str">
        <f t="shared" si="26"/>
        <v xml:space="preserve"> 2023</v>
      </c>
    </row>
    <row r="530" spans="1:15" x14ac:dyDescent="0.35">
      <c r="A530" t="s">
        <v>989</v>
      </c>
      <c r="B530" s="5" t="s">
        <v>697</v>
      </c>
      <c r="C530" s="4" t="s">
        <v>55</v>
      </c>
      <c r="D530" s="4" t="s">
        <v>98</v>
      </c>
      <c r="E530" s="4" t="s">
        <v>99</v>
      </c>
      <c r="F530" s="4" t="s">
        <v>16</v>
      </c>
      <c r="G530" s="4" t="s">
        <v>122</v>
      </c>
      <c r="H530" s="4" t="s">
        <v>72</v>
      </c>
      <c r="I530" s="4" t="s">
        <v>60</v>
      </c>
      <c r="J530" s="3">
        <v>4</v>
      </c>
      <c r="K530" s="6">
        <v>128460</v>
      </c>
      <c r="L530" s="6">
        <f t="shared" si="24"/>
        <v>89922</v>
      </c>
      <c r="M530" s="6">
        <v>38538</v>
      </c>
      <c r="N530" s="5" t="str">
        <f t="shared" si="25"/>
        <v>Jun</v>
      </c>
      <c r="O530" s="5" t="str">
        <f t="shared" si="26"/>
        <v xml:space="preserve"> 2023</v>
      </c>
    </row>
    <row r="531" spans="1:15" x14ac:dyDescent="0.35">
      <c r="A531" t="s">
        <v>990</v>
      </c>
      <c r="B531" s="5" t="s">
        <v>207</v>
      </c>
      <c r="C531" s="4" t="s">
        <v>22</v>
      </c>
      <c r="D531" s="4" t="s">
        <v>23</v>
      </c>
      <c r="E531" s="4" t="s">
        <v>24</v>
      </c>
      <c r="F531" s="4" t="s">
        <v>16</v>
      </c>
      <c r="G531" s="4" t="s">
        <v>42</v>
      </c>
      <c r="H531" s="4" t="s">
        <v>72</v>
      </c>
      <c r="I531" s="4" t="s">
        <v>60</v>
      </c>
      <c r="J531" s="3">
        <v>8</v>
      </c>
      <c r="K531" s="6">
        <v>177600</v>
      </c>
      <c r="L531" s="6">
        <f t="shared" si="24"/>
        <v>124319.99999999999</v>
      </c>
      <c r="M531" s="6">
        <v>53280.000000000015</v>
      </c>
      <c r="N531" s="5" t="str">
        <f t="shared" si="25"/>
        <v>Mar</v>
      </c>
      <c r="O531" s="5" t="str">
        <f t="shared" si="26"/>
        <v xml:space="preserve"> 2023</v>
      </c>
    </row>
    <row r="532" spans="1:15" x14ac:dyDescent="0.35">
      <c r="A532" t="s">
        <v>991</v>
      </c>
      <c r="B532" s="5" t="s">
        <v>938</v>
      </c>
      <c r="C532" s="4" t="s">
        <v>31</v>
      </c>
      <c r="D532" s="4" t="s">
        <v>45</v>
      </c>
      <c r="E532" s="4" t="s">
        <v>46</v>
      </c>
      <c r="F532" s="4" t="s">
        <v>25</v>
      </c>
      <c r="G532" s="4" t="s">
        <v>52</v>
      </c>
      <c r="H532" s="4" t="s">
        <v>18</v>
      </c>
      <c r="I532" s="4" t="s">
        <v>60</v>
      </c>
      <c r="J532" s="3">
        <v>3</v>
      </c>
      <c r="K532" s="6">
        <v>5391</v>
      </c>
      <c r="L532" s="6">
        <f t="shared" si="24"/>
        <v>3773.7</v>
      </c>
      <c r="M532" s="6">
        <v>1617.3000000000002</v>
      </c>
      <c r="N532" s="5" t="str">
        <f t="shared" si="25"/>
        <v>Jun</v>
      </c>
      <c r="O532" s="5" t="str">
        <f t="shared" si="26"/>
        <v xml:space="preserve"> 2024</v>
      </c>
    </row>
    <row r="533" spans="1:15" x14ac:dyDescent="0.35">
      <c r="A533" t="s">
        <v>992</v>
      </c>
      <c r="B533" s="5" t="s">
        <v>863</v>
      </c>
      <c r="C533" s="4" t="s">
        <v>55</v>
      </c>
      <c r="D533" s="4" t="s">
        <v>63</v>
      </c>
      <c r="E533" s="4" t="s">
        <v>64</v>
      </c>
      <c r="F533" s="4" t="s">
        <v>25</v>
      </c>
      <c r="G533" s="4" t="s">
        <v>71</v>
      </c>
      <c r="H533" s="4" t="s">
        <v>72</v>
      </c>
      <c r="I533" s="4" t="s">
        <v>60</v>
      </c>
      <c r="J533" s="3">
        <v>1</v>
      </c>
      <c r="K533" s="6">
        <v>49680</v>
      </c>
      <c r="L533" s="6">
        <f t="shared" si="24"/>
        <v>34776</v>
      </c>
      <c r="M533" s="6">
        <v>14904</v>
      </c>
      <c r="N533" s="5" t="str">
        <f t="shared" si="25"/>
        <v>Aug</v>
      </c>
      <c r="O533" s="5" t="str">
        <f t="shared" si="26"/>
        <v xml:space="preserve"> 2023</v>
      </c>
    </row>
    <row r="534" spans="1:15" x14ac:dyDescent="0.35">
      <c r="A534" t="s">
        <v>993</v>
      </c>
      <c r="B534" s="5" t="s">
        <v>994</v>
      </c>
      <c r="C534" s="4" t="s">
        <v>22</v>
      </c>
      <c r="D534" s="4" t="s">
        <v>90</v>
      </c>
      <c r="E534" s="4" t="s">
        <v>91</v>
      </c>
      <c r="F534" s="4" t="s">
        <v>16</v>
      </c>
      <c r="G534" s="4" t="s">
        <v>122</v>
      </c>
      <c r="H534" s="4" t="s">
        <v>18</v>
      </c>
      <c r="I534" s="4" t="s">
        <v>60</v>
      </c>
      <c r="J534" s="3">
        <v>7</v>
      </c>
      <c r="K534" s="6">
        <v>213731</v>
      </c>
      <c r="L534" s="6">
        <f t="shared" si="24"/>
        <v>149611.69999999998</v>
      </c>
      <c r="M534" s="6">
        <v>64119.300000000017</v>
      </c>
      <c r="N534" s="5" t="str">
        <f t="shared" si="25"/>
        <v>Dec</v>
      </c>
      <c r="O534" s="5" t="str">
        <f t="shared" si="26"/>
        <v xml:space="preserve"> 2023</v>
      </c>
    </row>
    <row r="535" spans="1:15" x14ac:dyDescent="0.35">
      <c r="A535" t="s">
        <v>995</v>
      </c>
      <c r="B535" s="5" t="s">
        <v>863</v>
      </c>
      <c r="C535" s="4" t="s">
        <v>55</v>
      </c>
      <c r="D535" s="4" t="s">
        <v>98</v>
      </c>
      <c r="E535" s="4" t="s">
        <v>99</v>
      </c>
      <c r="F535" s="4" t="s">
        <v>37</v>
      </c>
      <c r="G535" s="4" t="s">
        <v>148</v>
      </c>
      <c r="H535" s="4" t="s">
        <v>72</v>
      </c>
      <c r="I535" s="4" t="s">
        <v>60</v>
      </c>
      <c r="J535" s="3">
        <v>7</v>
      </c>
      <c r="K535" s="6">
        <v>82635</v>
      </c>
      <c r="L535" s="6">
        <f t="shared" si="24"/>
        <v>57844.499999999993</v>
      </c>
      <c r="M535" s="6">
        <v>24790.500000000007</v>
      </c>
      <c r="N535" s="5" t="str">
        <f t="shared" si="25"/>
        <v>Aug</v>
      </c>
      <c r="O535" s="5" t="str">
        <f t="shared" si="26"/>
        <v xml:space="preserve"> 2023</v>
      </c>
    </row>
    <row r="536" spans="1:15" x14ac:dyDescent="0.35">
      <c r="A536" t="s">
        <v>996</v>
      </c>
      <c r="B536" s="5" t="s">
        <v>781</v>
      </c>
      <c r="C536" s="4" t="s">
        <v>31</v>
      </c>
      <c r="D536" s="4" t="s">
        <v>104</v>
      </c>
      <c r="E536" s="4" t="s">
        <v>105</v>
      </c>
      <c r="F536" s="4" t="s">
        <v>25</v>
      </c>
      <c r="G536" s="4" t="s">
        <v>71</v>
      </c>
      <c r="H536" s="4" t="s">
        <v>27</v>
      </c>
      <c r="I536" s="4" t="s">
        <v>28</v>
      </c>
      <c r="J536" s="3">
        <v>3</v>
      </c>
      <c r="K536" s="6">
        <v>55488</v>
      </c>
      <c r="L536" s="6">
        <f t="shared" si="24"/>
        <v>38841.599999999999</v>
      </c>
      <c r="M536" s="6">
        <v>16646.400000000001</v>
      </c>
      <c r="N536" s="5" t="str">
        <f t="shared" si="25"/>
        <v>Nov</v>
      </c>
      <c r="O536" s="5" t="str">
        <f t="shared" si="26"/>
        <v xml:space="preserve"> 2024</v>
      </c>
    </row>
    <row r="537" spans="1:15" x14ac:dyDescent="0.35">
      <c r="A537" t="s">
        <v>997</v>
      </c>
      <c r="B537" s="5" t="s">
        <v>634</v>
      </c>
      <c r="C537" s="4" t="s">
        <v>22</v>
      </c>
      <c r="D537" s="4" t="s">
        <v>23</v>
      </c>
      <c r="E537" s="4" t="s">
        <v>24</v>
      </c>
      <c r="F537" s="4" t="s">
        <v>25</v>
      </c>
      <c r="G537" s="4" t="s">
        <v>26</v>
      </c>
      <c r="H537" s="4" t="s">
        <v>72</v>
      </c>
      <c r="I537" s="4" t="s">
        <v>19</v>
      </c>
      <c r="J537" s="3">
        <v>10</v>
      </c>
      <c r="K537" s="6">
        <v>91710</v>
      </c>
      <c r="L537" s="6">
        <f t="shared" si="24"/>
        <v>64196.999999999993</v>
      </c>
      <c r="M537" s="6">
        <v>27513.000000000007</v>
      </c>
      <c r="N537" s="5" t="str">
        <f t="shared" si="25"/>
        <v>Feb</v>
      </c>
      <c r="O537" s="5" t="str">
        <f t="shared" si="26"/>
        <v xml:space="preserve"> 2024</v>
      </c>
    </row>
    <row r="538" spans="1:15" x14ac:dyDescent="0.35">
      <c r="A538" t="s">
        <v>998</v>
      </c>
      <c r="B538" s="5" t="s">
        <v>999</v>
      </c>
      <c r="C538" s="4" t="s">
        <v>13</v>
      </c>
      <c r="D538" s="4" t="s">
        <v>118</v>
      </c>
      <c r="E538" s="4" t="s">
        <v>119</v>
      </c>
      <c r="F538" s="4" t="s">
        <v>25</v>
      </c>
      <c r="G538" s="4" t="s">
        <v>26</v>
      </c>
      <c r="H538" s="4" t="s">
        <v>27</v>
      </c>
      <c r="I538" s="4" t="s">
        <v>47</v>
      </c>
      <c r="J538" s="3">
        <v>1</v>
      </c>
      <c r="K538" s="6">
        <v>1703</v>
      </c>
      <c r="L538" s="6">
        <f t="shared" si="24"/>
        <v>1192.0999999999999</v>
      </c>
      <c r="M538" s="6">
        <v>510.90000000000009</v>
      </c>
      <c r="N538" s="5" t="str">
        <f t="shared" si="25"/>
        <v>Aug</v>
      </c>
      <c r="O538" s="5" t="str">
        <f t="shared" si="26"/>
        <v xml:space="preserve"> 2024</v>
      </c>
    </row>
    <row r="539" spans="1:15" x14ac:dyDescent="0.35">
      <c r="A539" t="s">
        <v>1000</v>
      </c>
      <c r="B539" s="5" t="s">
        <v>616</v>
      </c>
      <c r="C539" s="4" t="s">
        <v>55</v>
      </c>
      <c r="D539" s="4" t="s">
        <v>98</v>
      </c>
      <c r="E539" s="4" t="s">
        <v>99</v>
      </c>
      <c r="F539" s="4" t="s">
        <v>37</v>
      </c>
      <c r="G539" s="4" t="s">
        <v>183</v>
      </c>
      <c r="H539" s="4" t="s">
        <v>18</v>
      </c>
      <c r="I539" s="4" t="s">
        <v>39</v>
      </c>
      <c r="J539" s="3">
        <v>1</v>
      </c>
      <c r="K539" s="6">
        <v>32093</v>
      </c>
      <c r="L539" s="6">
        <f t="shared" si="24"/>
        <v>22465.1</v>
      </c>
      <c r="M539" s="6">
        <v>9627.9000000000015</v>
      </c>
      <c r="N539" s="5" t="str">
        <f t="shared" si="25"/>
        <v>Feb</v>
      </c>
      <c r="O539" s="5" t="str">
        <f t="shared" si="26"/>
        <v xml:space="preserve"> 2023</v>
      </c>
    </row>
    <row r="540" spans="1:15" x14ac:dyDescent="0.35">
      <c r="A540" t="s">
        <v>1001</v>
      </c>
      <c r="B540" s="5" t="s">
        <v>500</v>
      </c>
      <c r="C540" s="4" t="s">
        <v>55</v>
      </c>
      <c r="D540" s="4" t="s">
        <v>63</v>
      </c>
      <c r="E540" s="4" t="s">
        <v>64</v>
      </c>
      <c r="F540" s="4" t="s">
        <v>37</v>
      </c>
      <c r="G540" s="4" t="s">
        <v>186</v>
      </c>
      <c r="H540" s="4" t="s">
        <v>18</v>
      </c>
      <c r="I540" s="4" t="s">
        <v>28</v>
      </c>
      <c r="J540" s="3">
        <v>4</v>
      </c>
      <c r="K540" s="6">
        <v>57808</v>
      </c>
      <c r="L540" s="6">
        <f t="shared" si="24"/>
        <v>40465.599999999999</v>
      </c>
      <c r="M540" s="6">
        <v>17342.400000000001</v>
      </c>
      <c r="N540" s="5" t="str">
        <f t="shared" si="25"/>
        <v>Apr</v>
      </c>
      <c r="O540" s="5" t="str">
        <f t="shared" si="26"/>
        <v xml:space="preserve"> 2023</v>
      </c>
    </row>
    <row r="541" spans="1:15" x14ac:dyDescent="0.35">
      <c r="A541" t="s">
        <v>1002</v>
      </c>
      <c r="B541" s="5" t="s">
        <v>1003</v>
      </c>
      <c r="C541" s="4" t="s">
        <v>31</v>
      </c>
      <c r="D541" s="4" t="s">
        <v>104</v>
      </c>
      <c r="E541" s="4" t="s">
        <v>105</v>
      </c>
      <c r="F541" s="4" t="s">
        <v>37</v>
      </c>
      <c r="G541" s="4" t="s">
        <v>148</v>
      </c>
      <c r="H541" s="4" t="s">
        <v>27</v>
      </c>
      <c r="I541" s="4" t="s">
        <v>39</v>
      </c>
      <c r="J541" s="3">
        <v>5</v>
      </c>
      <c r="K541" s="6">
        <v>248055</v>
      </c>
      <c r="L541" s="6">
        <f t="shared" si="24"/>
        <v>173638.5</v>
      </c>
      <c r="M541" s="6">
        <v>74416.5</v>
      </c>
      <c r="N541" s="5" t="str">
        <f t="shared" si="25"/>
        <v>Nov</v>
      </c>
      <c r="O541" s="5" t="str">
        <f t="shared" si="26"/>
        <v xml:space="preserve"> 2024</v>
      </c>
    </row>
    <row r="542" spans="1:15" x14ac:dyDescent="0.35">
      <c r="A542" t="s">
        <v>1004</v>
      </c>
      <c r="B542" s="5" t="s">
        <v>329</v>
      </c>
      <c r="C542" s="4" t="s">
        <v>22</v>
      </c>
      <c r="D542" s="4" t="s">
        <v>90</v>
      </c>
      <c r="E542" s="4" t="s">
        <v>110</v>
      </c>
      <c r="F542" s="4" t="s">
        <v>16</v>
      </c>
      <c r="G542" s="4" t="s">
        <v>42</v>
      </c>
      <c r="H542" s="4" t="s">
        <v>72</v>
      </c>
      <c r="I542" s="4" t="s">
        <v>28</v>
      </c>
      <c r="J542" s="3">
        <v>7</v>
      </c>
      <c r="K542" s="6">
        <v>209986</v>
      </c>
      <c r="L542" s="6">
        <f t="shared" si="24"/>
        <v>146990.19999999998</v>
      </c>
      <c r="M542" s="6">
        <v>62995.800000000017</v>
      </c>
      <c r="N542" s="5" t="str">
        <f t="shared" si="25"/>
        <v>Sep</v>
      </c>
      <c r="O542" s="5" t="str">
        <f t="shared" si="26"/>
        <v xml:space="preserve"> 2024</v>
      </c>
    </row>
    <row r="543" spans="1:15" x14ac:dyDescent="0.35">
      <c r="A543" t="s">
        <v>1005</v>
      </c>
      <c r="B543" s="5" t="s">
        <v>1006</v>
      </c>
      <c r="C543" s="4" t="s">
        <v>31</v>
      </c>
      <c r="D543" s="4" t="s">
        <v>104</v>
      </c>
      <c r="E543" s="4" t="s">
        <v>105</v>
      </c>
      <c r="F543" s="4" t="s">
        <v>16</v>
      </c>
      <c r="G543" s="4" t="s">
        <v>17</v>
      </c>
      <c r="H543" s="4" t="s">
        <v>27</v>
      </c>
      <c r="I543" s="4" t="s">
        <v>39</v>
      </c>
      <c r="J543" s="3">
        <v>1</v>
      </c>
      <c r="K543" s="6">
        <v>27823</v>
      </c>
      <c r="L543" s="6">
        <f t="shared" si="24"/>
        <v>19476.099999999999</v>
      </c>
      <c r="M543" s="6">
        <v>8346.9000000000015</v>
      </c>
      <c r="N543" s="5" t="str">
        <f t="shared" si="25"/>
        <v>Apr</v>
      </c>
      <c r="O543" s="5" t="str">
        <f t="shared" si="26"/>
        <v xml:space="preserve"> 2024</v>
      </c>
    </row>
    <row r="544" spans="1:15" x14ac:dyDescent="0.35">
      <c r="A544" t="s">
        <v>1007</v>
      </c>
      <c r="B544" s="5" t="s">
        <v>775</v>
      </c>
      <c r="C544" s="4" t="s">
        <v>55</v>
      </c>
      <c r="D544" s="4" t="s">
        <v>63</v>
      </c>
      <c r="E544" s="4" t="s">
        <v>64</v>
      </c>
      <c r="F544" s="4" t="s">
        <v>67</v>
      </c>
      <c r="G544" s="4" t="s">
        <v>180</v>
      </c>
      <c r="H544" s="4" t="s">
        <v>27</v>
      </c>
      <c r="I544" s="4" t="s">
        <v>39</v>
      </c>
      <c r="J544" s="3">
        <v>2</v>
      </c>
      <c r="K544" s="6">
        <v>39142</v>
      </c>
      <c r="L544" s="6">
        <f t="shared" si="24"/>
        <v>27399.399999999998</v>
      </c>
      <c r="M544" s="6">
        <v>11742.600000000002</v>
      </c>
      <c r="N544" s="5" t="str">
        <f t="shared" si="25"/>
        <v>Aug</v>
      </c>
      <c r="O544" s="5" t="str">
        <f t="shared" si="26"/>
        <v xml:space="preserve"> 2023</v>
      </c>
    </row>
    <row r="545" spans="1:15" x14ac:dyDescent="0.35">
      <c r="A545" t="s">
        <v>1008</v>
      </c>
      <c r="B545" s="5" t="s">
        <v>175</v>
      </c>
      <c r="C545" s="4" t="s">
        <v>55</v>
      </c>
      <c r="D545" s="4" t="s">
        <v>98</v>
      </c>
      <c r="E545" s="4" t="s">
        <v>99</v>
      </c>
      <c r="F545" s="4" t="s">
        <v>25</v>
      </c>
      <c r="G545" s="4" t="s">
        <v>52</v>
      </c>
      <c r="H545" s="4" t="s">
        <v>72</v>
      </c>
      <c r="I545" s="4" t="s">
        <v>28</v>
      </c>
      <c r="J545" s="3">
        <v>1</v>
      </c>
      <c r="K545" s="6">
        <v>16955</v>
      </c>
      <c r="L545" s="6">
        <f t="shared" si="24"/>
        <v>11868.5</v>
      </c>
      <c r="M545" s="6">
        <v>5086.5</v>
      </c>
      <c r="N545" s="5" t="str">
        <f t="shared" si="25"/>
        <v>Nov</v>
      </c>
      <c r="O545" s="5" t="str">
        <f t="shared" si="26"/>
        <v xml:space="preserve"> 2023</v>
      </c>
    </row>
    <row r="546" spans="1:15" x14ac:dyDescent="0.35">
      <c r="A546" t="s">
        <v>1009</v>
      </c>
      <c r="B546" s="5" t="s">
        <v>1010</v>
      </c>
      <c r="C546" s="4" t="s">
        <v>31</v>
      </c>
      <c r="D546" s="4" t="s">
        <v>32</v>
      </c>
      <c r="E546" s="4" t="s">
        <v>33</v>
      </c>
      <c r="F546" s="4" t="s">
        <v>16</v>
      </c>
      <c r="G546" s="4" t="s">
        <v>17</v>
      </c>
      <c r="H546" s="4" t="s">
        <v>72</v>
      </c>
      <c r="I546" s="4" t="s">
        <v>47</v>
      </c>
      <c r="J546" s="3">
        <v>1</v>
      </c>
      <c r="K546" s="6">
        <v>3117</v>
      </c>
      <c r="L546" s="6">
        <f t="shared" si="24"/>
        <v>2181.8999999999996</v>
      </c>
      <c r="M546" s="6">
        <v>935.10000000000036</v>
      </c>
      <c r="N546" s="5" t="str">
        <f t="shared" si="25"/>
        <v>Apr</v>
      </c>
      <c r="O546" s="5" t="str">
        <f t="shared" si="26"/>
        <v xml:space="preserve"> 2024</v>
      </c>
    </row>
    <row r="547" spans="1:15" x14ac:dyDescent="0.35">
      <c r="A547" t="s">
        <v>1011</v>
      </c>
      <c r="B547" s="5" t="s">
        <v>1012</v>
      </c>
      <c r="C547" s="4" t="s">
        <v>13</v>
      </c>
      <c r="D547" s="4" t="s">
        <v>118</v>
      </c>
      <c r="E547" s="4" t="s">
        <v>119</v>
      </c>
      <c r="F547" s="4" t="s">
        <v>37</v>
      </c>
      <c r="G547" s="4" t="s">
        <v>186</v>
      </c>
      <c r="H547" s="4" t="s">
        <v>72</v>
      </c>
      <c r="I547" s="4" t="s">
        <v>47</v>
      </c>
      <c r="J547" s="3">
        <v>6</v>
      </c>
      <c r="K547" s="6">
        <v>146838</v>
      </c>
      <c r="L547" s="6">
        <f t="shared" si="24"/>
        <v>102786.59999999999</v>
      </c>
      <c r="M547" s="6">
        <v>44051.400000000009</v>
      </c>
      <c r="N547" s="5" t="str">
        <f t="shared" si="25"/>
        <v>Nov</v>
      </c>
      <c r="O547" s="5" t="str">
        <f t="shared" si="26"/>
        <v xml:space="preserve"> 2024</v>
      </c>
    </row>
    <row r="548" spans="1:15" x14ac:dyDescent="0.35">
      <c r="A548" t="s">
        <v>1013</v>
      </c>
      <c r="B548" s="5" t="s">
        <v>1014</v>
      </c>
      <c r="C548" s="4" t="s">
        <v>31</v>
      </c>
      <c r="D548" s="4" t="s">
        <v>45</v>
      </c>
      <c r="E548" s="4" t="s">
        <v>46</v>
      </c>
      <c r="F548" s="4" t="s">
        <v>67</v>
      </c>
      <c r="G548" s="4" t="s">
        <v>68</v>
      </c>
      <c r="H548" s="4" t="s">
        <v>27</v>
      </c>
      <c r="I548" s="4" t="s">
        <v>60</v>
      </c>
      <c r="J548" s="3">
        <v>8</v>
      </c>
      <c r="K548" s="6">
        <v>12472</v>
      </c>
      <c r="L548" s="6">
        <f t="shared" si="24"/>
        <v>8730.4</v>
      </c>
      <c r="M548" s="6">
        <v>3741.6000000000004</v>
      </c>
      <c r="N548" s="5" t="str">
        <f t="shared" si="25"/>
        <v>Aug</v>
      </c>
      <c r="O548" s="5" t="str">
        <f t="shared" si="26"/>
        <v xml:space="preserve"> 2024</v>
      </c>
    </row>
    <row r="549" spans="1:15" x14ac:dyDescent="0.35">
      <c r="A549" t="s">
        <v>1015</v>
      </c>
      <c r="B549" s="5" t="s">
        <v>138</v>
      </c>
      <c r="C549" s="4" t="s">
        <v>31</v>
      </c>
      <c r="D549" s="4" t="s">
        <v>50</v>
      </c>
      <c r="E549" s="4" t="s">
        <v>51</v>
      </c>
      <c r="F549" s="4" t="s">
        <v>37</v>
      </c>
      <c r="G549" s="4" t="s">
        <v>183</v>
      </c>
      <c r="H549" s="4" t="s">
        <v>27</v>
      </c>
      <c r="I549" s="4" t="s">
        <v>28</v>
      </c>
      <c r="J549" s="3">
        <v>7</v>
      </c>
      <c r="K549" s="6">
        <v>160531</v>
      </c>
      <c r="L549" s="6">
        <f t="shared" si="24"/>
        <v>112371.7</v>
      </c>
      <c r="M549" s="6">
        <v>48159.3</v>
      </c>
      <c r="N549" s="5" t="str">
        <f t="shared" si="25"/>
        <v>Nov</v>
      </c>
      <c r="O549" s="5" t="str">
        <f t="shared" si="26"/>
        <v xml:space="preserve"> 2024</v>
      </c>
    </row>
    <row r="550" spans="1:15" x14ac:dyDescent="0.35">
      <c r="A550" t="s">
        <v>1016</v>
      </c>
      <c r="B550" s="5" t="s">
        <v>1017</v>
      </c>
      <c r="C550" s="4" t="s">
        <v>31</v>
      </c>
      <c r="D550" s="4" t="s">
        <v>45</v>
      </c>
      <c r="E550" s="4" t="s">
        <v>46</v>
      </c>
      <c r="F550" s="4" t="s">
        <v>37</v>
      </c>
      <c r="G550" s="4" t="s">
        <v>183</v>
      </c>
      <c r="H550" s="4" t="s">
        <v>72</v>
      </c>
      <c r="I550" s="4" t="s">
        <v>19</v>
      </c>
      <c r="J550" s="3">
        <v>9</v>
      </c>
      <c r="K550" s="6">
        <v>347922</v>
      </c>
      <c r="L550" s="6">
        <f t="shared" si="24"/>
        <v>243545.4</v>
      </c>
      <c r="M550" s="6">
        <v>104376.6</v>
      </c>
      <c r="N550" s="5" t="str">
        <f t="shared" si="25"/>
        <v>May</v>
      </c>
      <c r="O550" s="5" t="str">
        <f t="shared" si="26"/>
        <v xml:space="preserve"> 2024</v>
      </c>
    </row>
    <row r="551" spans="1:15" x14ac:dyDescent="0.35">
      <c r="A551" t="s">
        <v>1018</v>
      </c>
      <c r="B551" s="5" t="s">
        <v>923</v>
      </c>
      <c r="C551" s="4" t="s">
        <v>31</v>
      </c>
      <c r="D551" s="4" t="s">
        <v>45</v>
      </c>
      <c r="E551" s="4" t="s">
        <v>46</v>
      </c>
      <c r="F551" s="4" t="s">
        <v>37</v>
      </c>
      <c r="G551" s="4" t="s">
        <v>183</v>
      </c>
      <c r="H551" s="4" t="s">
        <v>18</v>
      </c>
      <c r="I551" s="4" t="s">
        <v>39</v>
      </c>
      <c r="J551" s="3">
        <v>6</v>
      </c>
      <c r="K551" s="6">
        <v>46458</v>
      </c>
      <c r="L551" s="6">
        <f t="shared" si="24"/>
        <v>32520.6</v>
      </c>
      <c r="M551" s="6">
        <v>13937.400000000001</v>
      </c>
      <c r="N551" s="5" t="str">
        <f t="shared" si="25"/>
        <v>Apr</v>
      </c>
      <c r="O551" s="5" t="str">
        <f t="shared" si="26"/>
        <v xml:space="preserve"> 2024</v>
      </c>
    </row>
    <row r="552" spans="1:15" x14ac:dyDescent="0.35">
      <c r="A552" t="s">
        <v>1019</v>
      </c>
      <c r="B552" s="5" t="s">
        <v>707</v>
      </c>
      <c r="C552" s="4" t="s">
        <v>55</v>
      </c>
      <c r="D552" s="4" t="s">
        <v>82</v>
      </c>
      <c r="E552" s="4" t="s">
        <v>83</v>
      </c>
      <c r="F552" s="4" t="s">
        <v>67</v>
      </c>
      <c r="G552" s="4" t="s">
        <v>113</v>
      </c>
      <c r="H552" s="4" t="s">
        <v>72</v>
      </c>
      <c r="I552" s="4" t="s">
        <v>47</v>
      </c>
      <c r="J552" s="3">
        <v>7</v>
      </c>
      <c r="K552" s="6">
        <v>23744</v>
      </c>
      <c r="L552" s="6">
        <f t="shared" si="24"/>
        <v>16620.8</v>
      </c>
      <c r="M552" s="6">
        <v>7123.2000000000007</v>
      </c>
      <c r="N552" s="5" t="str">
        <f t="shared" si="25"/>
        <v>Aug</v>
      </c>
      <c r="O552" s="5" t="str">
        <f t="shared" si="26"/>
        <v xml:space="preserve"> 2023</v>
      </c>
    </row>
    <row r="553" spans="1:15" x14ac:dyDescent="0.35">
      <c r="A553" t="s">
        <v>1020</v>
      </c>
      <c r="B553" s="5" t="s">
        <v>1021</v>
      </c>
      <c r="C553" s="4" t="s">
        <v>31</v>
      </c>
      <c r="D553" s="4" t="s">
        <v>104</v>
      </c>
      <c r="E553" s="4" t="s">
        <v>105</v>
      </c>
      <c r="F553" s="4" t="s">
        <v>37</v>
      </c>
      <c r="G553" s="4" t="s">
        <v>186</v>
      </c>
      <c r="H553" s="4" t="s">
        <v>18</v>
      </c>
      <c r="I553" s="4" t="s">
        <v>47</v>
      </c>
      <c r="J553" s="3">
        <v>2</v>
      </c>
      <c r="K553" s="6">
        <v>73032</v>
      </c>
      <c r="L553" s="6">
        <f t="shared" si="24"/>
        <v>51122.399999999994</v>
      </c>
      <c r="M553" s="6">
        <v>21909.600000000006</v>
      </c>
      <c r="N553" s="5" t="str">
        <f t="shared" si="25"/>
        <v>Oct</v>
      </c>
      <c r="O553" s="5" t="str">
        <f t="shared" si="26"/>
        <v xml:space="preserve"> 2024</v>
      </c>
    </row>
    <row r="554" spans="1:15" x14ac:dyDescent="0.35">
      <c r="A554" t="s">
        <v>1022</v>
      </c>
      <c r="B554" s="5" t="s">
        <v>160</v>
      </c>
      <c r="C554" s="4" t="s">
        <v>22</v>
      </c>
      <c r="D554" s="4" t="s">
        <v>90</v>
      </c>
      <c r="E554" s="4" t="s">
        <v>91</v>
      </c>
      <c r="F554" s="4" t="s">
        <v>67</v>
      </c>
      <c r="G554" s="4" t="s">
        <v>134</v>
      </c>
      <c r="H554" s="4" t="s">
        <v>27</v>
      </c>
      <c r="I554" s="4" t="s">
        <v>60</v>
      </c>
      <c r="J554" s="3">
        <v>1</v>
      </c>
      <c r="K554" s="6">
        <v>9075</v>
      </c>
      <c r="L554" s="6">
        <f t="shared" si="24"/>
        <v>6352.5</v>
      </c>
      <c r="M554" s="6">
        <v>2722.5</v>
      </c>
      <c r="N554" s="5" t="str">
        <f t="shared" si="25"/>
        <v>Mar</v>
      </c>
      <c r="O554" s="5" t="str">
        <f t="shared" si="26"/>
        <v xml:space="preserve"> 2023</v>
      </c>
    </row>
    <row r="555" spans="1:15" x14ac:dyDescent="0.35">
      <c r="A555" t="s">
        <v>1023</v>
      </c>
      <c r="B555" s="5" t="s">
        <v>960</v>
      </c>
      <c r="C555" s="4" t="s">
        <v>31</v>
      </c>
      <c r="D555" s="4" t="s">
        <v>32</v>
      </c>
      <c r="E555" s="4" t="s">
        <v>33</v>
      </c>
      <c r="F555" s="4" t="s">
        <v>67</v>
      </c>
      <c r="G555" s="4" t="s">
        <v>113</v>
      </c>
      <c r="H555" s="4" t="s">
        <v>18</v>
      </c>
      <c r="I555" s="4" t="s">
        <v>47</v>
      </c>
      <c r="J555" s="3">
        <v>1</v>
      </c>
      <c r="K555" s="6">
        <v>41985</v>
      </c>
      <c r="L555" s="6">
        <f t="shared" si="24"/>
        <v>29389.499999999996</v>
      </c>
      <c r="M555" s="6">
        <v>12595.500000000004</v>
      </c>
      <c r="N555" s="5" t="str">
        <f t="shared" si="25"/>
        <v>Nov</v>
      </c>
      <c r="O555" s="5" t="str">
        <f t="shared" si="26"/>
        <v xml:space="preserve"> 2023</v>
      </c>
    </row>
    <row r="556" spans="1:15" x14ac:dyDescent="0.35">
      <c r="A556" t="s">
        <v>1024</v>
      </c>
      <c r="B556" s="5" t="s">
        <v>756</v>
      </c>
      <c r="C556" s="4" t="s">
        <v>22</v>
      </c>
      <c r="D556" s="4" t="s">
        <v>90</v>
      </c>
      <c r="E556" s="4" t="s">
        <v>91</v>
      </c>
      <c r="F556" s="4" t="s">
        <v>37</v>
      </c>
      <c r="G556" s="4" t="s">
        <v>38</v>
      </c>
      <c r="H556" s="4" t="s">
        <v>27</v>
      </c>
      <c r="I556" s="4" t="s">
        <v>39</v>
      </c>
      <c r="J556" s="3">
        <v>9</v>
      </c>
      <c r="K556" s="6">
        <v>4986</v>
      </c>
      <c r="L556" s="6">
        <f t="shared" si="24"/>
        <v>3490.2</v>
      </c>
      <c r="M556" s="6">
        <v>1495.8000000000002</v>
      </c>
      <c r="N556" s="5" t="str">
        <f t="shared" si="25"/>
        <v>May</v>
      </c>
      <c r="O556" s="5" t="str">
        <f t="shared" si="26"/>
        <v xml:space="preserve"> 2024</v>
      </c>
    </row>
    <row r="557" spans="1:15" x14ac:dyDescent="0.35">
      <c r="A557" t="s">
        <v>1025</v>
      </c>
      <c r="B557" s="5" t="s">
        <v>313</v>
      </c>
      <c r="C557" s="4" t="s">
        <v>31</v>
      </c>
      <c r="D557" s="4" t="s">
        <v>104</v>
      </c>
      <c r="E557" s="4" t="s">
        <v>105</v>
      </c>
      <c r="F557" s="4" t="s">
        <v>25</v>
      </c>
      <c r="G557" s="4" t="s">
        <v>77</v>
      </c>
      <c r="H557" s="4" t="s">
        <v>27</v>
      </c>
      <c r="I557" s="4" t="s">
        <v>60</v>
      </c>
      <c r="J557" s="3">
        <v>2</v>
      </c>
      <c r="K557" s="6">
        <v>48792</v>
      </c>
      <c r="L557" s="6">
        <f t="shared" si="24"/>
        <v>34154.400000000001</v>
      </c>
      <c r="M557" s="6">
        <v>14637.599999999999</v>
      </c>
      <c r="N557" s="5" t="str">
        <f t="shared" si="25"/>
        <v>Dec</v>
      </c>
      <c r="O557" s="5" t="str">
        <f t="shared" si="26"/>
        <v xml:space="preserve"> 2023</v>
      </c>
    </row>
    <row r="558" spans="1:15" x14ac:dyDescent="0.35">
      <c r="A558" t="s">
        <v>1026</v>
      </c>
      <c r="B558" s="5" t="s">
        <v>451</v>
      </c>
      <c r="C558" s="4" t="s">
        <v>22</v>
      </c>
      <c r="D558" s="4" t="s">
        <v>86</v>
      </c>
      <c r="E558" s="4" t="s">
        <v>87</v>
      </c>
      <c r="F558" s="4" t="s">
        <v>67</v>
      </c>
      <c r="G558" s="4" t="s">
        <v>180</v>
      </c>
      <c r="H558" s="4" t="s">
        <v>27</v>
      </c>
      <c r="I558" s="4" t="s">
        <v>60</v>
      </c>
      <c r="J558" s="3">
        <v>2</v>
      </c>
      <c r="K558" s="6">
        <v>39780</v>
      </c>
      <c r="L558" s="6">
        <f t="shared" si="24"/>
        <v>27846</v>
      </c>
      <c r="M558" s="6">
        <v>11934</v>
      </c>
      <c r="N558" s="5" t="str">
        <f t="shared" si="25"/>
        <v>Feb</v>
      </c>
      <c r="O558" s="5" t="str">
        <f t="shared" si="26"/>
        <v xml:space="preserve"> 2024</v>
      </c>
    </row>
    <row r="559" spans="1:15" x14ac:dyDescent="0.35">
      <c r="A559" t="s">
        <v>1027</v>
      </c>
      <c r="B559" s="5" t="s">
        <v>1028</v>
      </c>
      <c r="C559" s="4" t="s">
        <v>13</v>
      </c>
      <c r="D559" s="4" t="s">
        <v>162</v>
      </c>
      <c r="E559" s="4" t="s">
        <v>163</v>
      </c>
      <c r="F559" s="4" t="s">
        <v>25</v>
      </c>
      <c r="G559" s="4" t="s">
        <v>26</v>
      </c>
      <c r="H559" s="4" t="s">
        <v>18</v>
      </c>
      <c r="I559" s="4" t="s">
        <v>19</v>
      </c>
      <c r="J559" s="3">
        <v>6</v>
      </c>
      <c r="K559" s="6">
        <v>171414</v>
      </c>
      <c r="L559" s="6">
        <f t="shared" si="24"/>
        <v>119989.79999999999</v>
      </c>
      <c r="M559" s="6">
        <v>51424.200000000012</v>
      </c>
      <c r="N559" s="5" t="str">
        <f t="shared" si="25"/>
        <v>Oct</v>
      </c>
      <c r="O559" s="5" t="str">
        <f t="shared" si="26"/>
        <v xml:space="preserve"> 2023</v>
      </c>
    </row>
    <row r="560" spans="1:15" x14ac:dyDescent="0.35">
      <c r="A560" t="s">
        <v>1029</v>
      </c>
      <c r="B560" s="5" t="s">
        <v>1030</v>
      </c>
      <c r="C560" s="4" t="s">
        <v>31</v>
      </c>
      <c r="D560" s="4" t="s">
        <v>45</v>
      </c>
      <c r="E560" s="4" t="s">
        <v>46</v>
      </c>
      <c r="F560" s="4" t="s">
        <v>37</v>
      </c>
      <c r="G560" s="4" t="s">
        <v>186</v>
      </c>
      <c r="H560" s="4" t="s">
        <v>18</v>
      </c>
      <c r="I560" s="4" t="s">
        <v>19</v>
      </c>
      <c r="J560" s="3">
        <v>7</v>
      </c>
      <c r="K560" s="6">
        <v>187264</v>
      </c>
      <c r="L560" s="6">
        <f t="shared" si="24"/>
        <v>131084.79999999999</v>
      </c>
      <c r="M560" s="6">
        <v>56179.200000000012</v>
      </c>
      <c r="N560" s="5" t="str">
        <f t="shared" si="25"/>
        <v>Sep</v>
      </c>
      <c r="O560" s="5" t="str">
        <f t="shared" si="26"/>
        <v xml:space="preserve"> 2024</v>
      </c>
    </row>
    <row r="561" spans="1:15" x14ac:dyDescent="0.35">
      <c r="A561" t="s">
        <v>1031</v>
      </c>
      <c r="B561" s="5" t="s">
        <v>1032</v>
      </c>
      <c r="C561" s="4" t="s">
        <v>13</v>
      </c>
      <c r="D561" s="4" t="s">
        <v>14</v>
      </c>
      <c r="E561" s="4" t="s">
        <v>15</v>
      </c>
      <c r="F561" s="4" t="s">
        <v>37</v>
      </c>
      <c r="G561" s="4" t="s">
        <v>38</v>
      </c>
      <c r="H561" s="4" t="s">
        <v>72</v>
      </c>
      <c r="I561" s="4" t="s">
        <v>28</v>
      </c>
      <c r="J561" s="3">
        <v>6</v>
      </c>
      <c r="K561" s="6">
        <v>153930</v>
      </c>
      <c r="L561" s="6">
        <f t="shared" si="24"/>
        <v>107751</v>
      </c>
      <c r="M561" s="6">
        <v>46179</v>
      </c>
      <c r="N561" s="5" t="str">
        <f t="shared" si="25"/>
        <v>Feb</v>
      </c>
      <c r="O561" s="5" t="str">
        <f t="shared" si="26"/>
        <v xml:space="preserve"> 2023</v>
      </c>
    </row>
    <row r="562" spans="1:15" x14ac:dyDescent="0.35">
      <c r="A562" t="s">
        <v>1033</v>
      </c>
      <c r="B562" s="5" t="s">
        <v>1034</v>
      </c>
      <c r="C562" s="4" t="s">
        <v>22</v>
      </c>
      <c r="D562" s="4" t="s">
        <v>90</v>
      </c>
      <c r="E562" s="4" t="s">
        <v>91</v>
      </c>
      <c r="F562" s="4" t="s">
        <v>16</v>
      </c>
      <c r="G562" s="4" t="s">
        <v>17</v>
      </c>
      <c r="H562" s="4" t="s">
        <v>72</v>
      </c>
      <c r="I562" s="4" t="s">
        <v>60</v>
      </c>
      <c r="J562" s="3">
        <v>8</v>
      </c>
      <c r="K562" s="6">
        <v>351096</v>
      </c>
      <c r="L562" s="6">
        <f t="shared" si="24"/>
        <v>245767.19999999998</v>
      </c>
      <c r="M562" s="6">
        <v>105328.80000000002</v>
      </c>
      <c r="N562" s="5" t="str">
        <f t="shared" si="25"/>
        <v>Dec</v>
      </c>
      <c r="O562" s="5" t="str">
        <f t="shared" si="26"/>
        <v xml:space="preserve"> 2023</v>
      </c>
    </row>
    <row r="563" spans="1:15" x14ac:dyDescent="0.35">
      <c r="A563" t="s">
        <v>1035</v>
      </c>
      <c r="B563" s="5" t="s">
        <v>1012</v>
      </c>
      <c r="C563" s="4" t="s">
        <v>13</v>
      </c>
      <c r="D563" s="4" t="s">
        <v>162</v>
      </c>
      <c r="E563" s="4" t="s">
        <v>163</v>
      </c>
      <c r="F563" s="4" t="s">
        <v>37</v>
      </c>
      <c r="G563" s="4" t="s">
        <v>183</v>
      </c>
      <c r="H563" s="4" t="s">
        <v>18</v>
      </c>
      <c r="I563" s="4" t="s">
        <v>60</v>
      </c>
      <c r="J563" s="3">
        <v>6</v>
      </c>
      <c r="K563" s="6">
        <v>66060</v>
      </c>
      <c r="L563" s="6">
        <f t="shared" si="24"/>
        <v>46242</v>
      </c>
      <c r="M563" s="6">
        <v>19818</v>
      </c>
      <c r="N563" s="5" t="str">
        <f t="shared" si="25"/>
        <v>Nov</v>
      </c>
      <c r="O563" s="5" t="str">
        <f t="shared" si="26"/>
        <v xml:space="preserve"> 2024</v>
      </c>
    </row>
    <row r="564" spans="1:15" x14ac:dyDescent="0.35">
      <c r="A564" t="s">
        <v>1036</v>
      </c>
      <c r="B564" s="5" t="s">
        <v>548</v>
      </c>
      <c r="C564" s="4" t="s">
        <v>22</v>
      </c>
      <c r="D564" s="4" t="s">
        <v>90</v>
      </c>
      <c r="E564" s="4" t="s">
        <v>91</v>
      </c>
      <c r="F564" s="4" t="s">
        <v>16</v>
      </c>
      <c r="G564" s="4" t="s">
        <v>122</v>
      </c>
      <c r="H564" s="4" t="s">
        <v>18</v>
      </c>
      <c r="I564" s="4" t="s">
        <v>39</v>
      </c>
      <c r="J564" s="3">
        <v>3</v>
      </c>
      <c r="K564" s="6">
        <v>147564</v>
      </c>
      <c r="L564" s="6">
        <f t="shared" si="24"/>
        <v>103294.79999999999</v>
      </c>
      <c r="M564" s="6">
        <v>44269.200000000012</v>
      </c>
      <c r="N564" s="5" t="str">
        <f t="shared" si="25"/>
        <v>Nov</v>
      </c>
      <c r="O564" s="5" t="str">
        <f t="shared" si="26"/>
        <v xml:space="preserve"> 2023</v>
      </c>
    </row>
    <row r="565" spans="1:15" x14ac:dyDescent="0.35">
      <c r="A565" t="s">
        <v>1037</v>
      </c>
      <c r="B565" s="5" t="s">
        <v>1038</v>
      </c>
      <c r="C565" s="4" t="s">
        <v>22</v>
      </c>
      <c r="D565" s="4" t="s">
        <v>23</v>
      </c>
      <c r="E565" s="4" t="s">
        <v>24</v>
      </c>
      <c r="F565" s="4" t="s">
        <v>25</v>
      </c>
      <c r="G565" s="4" t="s">
        <v>77</v>
      </c>
      <c r="H565" s="4" t="s">
        <v>27</v>
      </c>
      <c r="I565" s="4" t="s">
        <v>28</v>
      </c>
      <c r="J565" s="3">
        <v>10</v>
      </c>
      <c r="K565" s="6">
        <v>314210</v>
      </c>
      <c r="L565" s="6">
        <f t="shared" si="24"/>
        <v>219947</v>
      </c>
      <c r="M565" s="6">
        <v>94263</v>
      </c>
      <c r="N565" s="5" t="str">
        <f t="shared" si="25"/>
        <v>Sep</v>
      </c>
      <c r="O565" s="5" t="str">
        <f t="shared" si="26"/>
        <v xml:space="preserve"> 2023</v>
      </c>
    </row>
    <row r="566" spans="1:15" x14ac:dyDescent="0.35">
      <c r="A566" t="s">
        <v>1039</v>
      </c>
      <c r="B566" s="5" t="s">
        <v>865</v>
      </c>
      <c r="C566" s="4" t="s">
        <v>31</v>
      </c>
      <c r="D566" s="4" t="s">
        <v>50</v>
      </c>
      <c r="E566" s="4" t="s">
        <v>51</v>
      </c>
      <c r="F566" s="4" t="s">
        <v>37</v>
      </c>
      <c r="G566" s="4" t="s">
        <v>148</v>
      </c>
      <c r="H566" s="4" t="s">
        <v>18</v>
      </c>
      <c r="I566" s="4" t="s">
        <v>60</v>
      </c>
      <c r="J566" s="3">
        <v>5</v>
      </c>
      <c r="K566" s="6">
        <v>135055</v>
      </c>
      <c r="L566" s="6">
        <f t="shared" si="24"/>
        <v>94538.5</v>
      </c>
      <c r="M566" s="6">
        <v>40516.5</v>
      </c>
      <c r="N566" s="5" t="str">
        <f t="shared" si="25"/>
        <v>Sep</v>
      </c>
      <c r="O566" s="5" t="str">
        <f t="shared" si="26"/>
        <v xml:space="preserve"> 2023</v>
      </c>
    </row>
    <row r="567" spans="1:15" x14ac:dyDescent="0.35">
      <c r="A567" t="s">
        <v>1040</v>
      </c>
      <c r="B567" s="5" t="s">
        <v>1041</v>
      </c>
      <c r="C567" s="4" t="s">
        <v>31</v>
      </c>
      <c r="D567" s="4" t="s">
        <v>45</v>
      </c>
      <c r="E567" s="4" t="s">
        <v>46</v>
      </c>
      <c r="F567" s="4" t="s">
        <v>67</v>
      </c>
      <c r="G567" s="4" t="s">
        <v>180</v>
      </c>
      <c r="H567" s="4" t="s">
        <v>18</v>
      </c>
      <c r="I567" s="4" t="s">
        <v>19</v>
      </c>
      <c r="J567" s="3">
        <v>6</v>
      </c>
      <c r="K567" s="6">
        <v>68064</v>
      </c>
      <c r="L567" s="6">
        <f t="shared" si="24"/>
        <v>47644.799999999996</v>
      </c>
      <c r="M567" s="6">
        <v>20419.200000000004</v>
      </c>
      <c r="N567" s="5" t="str">
        <f t="shared" si="25"/>
        <v>Jan</v>
      </c>
      <c r="O567" s="5" t="str">
        <f t="shared" si="26"/>
        <v xml:space="preserve"> 2024</v>
      </c>
    </row>
    <row r="568" spans="1:15" x14ac:dyDescent="0.35">
      <c r="A568" t="s">
        <v>1042</v>
      </c>
      <c r="B568" s="5" t="s">
        <v>1028</v>
      </c>
      <c r="C568" s="4" t="s">
        <v>22</v>
      </c>
      <c r="D568" s="4" t="s">
        <v>90</v>
      </c>
      <c r="E568" s="4" t="s">
        <v>91</v>
      </c>
      <c r="F568" s="4" t="s">
        <v>16</v>
      </c>
      <c r="G568" s="4" t="s">
        <v>42</v>
      </c>
      <c r="H568" s="4" t="s">
        <v>18</v>
      </c>
      <c r="I568" s="4" t="s">
        <v>39</v>
      </c>
      <c r="J568" s="3">
        <v>2</v>
      </c>
      <c r="K568" s="6">
        <v>19804</v>
      </c>
      <c r="L568" s="6">
        <f t="shared" si="24"/>
        <v>13862.8</v>
      </c>
      <c r="M568" s="6">
        <v>5941.2000000000007</v>
      </c>
      <c r="N568" s="5" t="str">
        <f t="shared" si="25"/>
        <v>Oct</v>
      </c>
      <c r="O568" s="5" t="str">
        <f t="shared" si="26"/>
        <v xml:space="preserve"> 2023</v>
      </c>
    </row>
    <row r="569" spans="1:15" x14ac:dyDescent="0.35">
      <c r="A569" t="s">
        <v>1043</v>
      </c>
      <c r="B569" s="5" t="s">
        <v>1044</v>
      </c>
      <c r="C569" s="4" t="s">
        <v>31</v>
      </c>
      <c r="D569" s="4" t="s">
        <v>50</v>
      </c>
      <c r="E569" s="4" t="s">
        <v>51</v>
      </c>
      <c r="F569" s="4" t="s">
        <v>37</v>
      </c>
      <c r="G569" s="4" t="s">
        <v>148</v>
      </c>
      <c r="H569" s="4" t="s">
        <v>72</v>
      </c>
      <c r="I569" s="4" t="s">
        <v>19</v>
      </c>
      <c r="J569" s="3">
        <v>3</v>
      </c>
      <c r="K569" s="6">
        <v>148959</v>
      </c>
      <c r="L569" s="6">
        <f t="shared" si="24"/>
        <v>104271.29999999999</v>
      </c>
      <c r="M569" s="6">
        <v>44687.700000000012</v>
      </c>
      <c r="N569" s="5" t="str">
        <f t="shared" si="25"/>
        <v>Jan</v>
      </c>
      <c r="O569" s="5" t="str">
        <f t="shared" si="26"/>
        <v xml:space="preserve"> 2024</v>
      </c>
    </row>
    <row r="570" spans="1:15" x14ac:dyDescent="0.35">
      <c r="A570" t="s">
        <v>1045</v>
      </c>
      <c r="B570" s="5" t="s">
        <v>1010</v>
      </c>
      <c r="C570" s="4" t="s">
        <v>31</v>
      </c>
      <c r="D570" s="4" t="s">
        <v>50</v>
      </c>
      <c r="E570" s="4" t="s">
        <v>51</v>
      </c>
      <c r="F570" s="4" t="s">
        <v>25</v>
      </c>
      <c r="G570" s="4" t="s">
        <v>26</v>
      </c>
      <c r="H570" s="4" t="s">
        <v>72</v>
      </c>
      <c r="I570" s="4" t="s">
        <v>60</v>
      </c>
      <c r="J570" s="3">
        <v>3</v>
      </c>
      <c r="K570" s="6">
        <v>65376</v>
      </c>
      <c r="L570" s="6">
        <f t="shared" si="24"/>
        <v>45763.199999999997</v>
      </c>
      <c r="M570" s="6">
        <v>19612.800000000003</v>
      </c>
      <c r="N570" s="5" t="str">
        <f t="shared" si="25"/>
        <v>Apr</v>
      </c>
      <c r="O570" s="5" t="str">
        <f t="shared" si="26"/>
        <v xml:space="preserve"> 2024</v>
      </c>
    </row>
    <row r="571" spans="1:15" x14ac:dyDescent="0.35">
      <c r="A571" t="s">
        <v>1046</v>
      </c>
      <c r="B571" s="5" t="s">
        <v>1047</v>
      </c>
      <c r="C571" s="4" t="s">
        <v>55</v>
      </c>
      <c r="D571" s="4" t="s">
        <v>98</v>
      </c>
      <c r="E571" s="4" t="s">
        <v>99</v>
      </c>
      <c r="F571" s="4" t="s">
        <v>25</v>
      </c>
      <c r="G571" s="4" t="s">
        <v>71</v>
      </c>
      <c r="H571" s="4" t="s">
        <v>27</v>
      </c>
      <c r="I571" s="4" t="s">
        <v>47</v>
      </c>
      <c r="J571" s="3">
        <v>10</v>
      </c>
      <c r="K571" s="6">
        <v>122980</v>
      </c>
      <c r="L571" s="6">
        <f t="shared" si="24"/>
        <v>86086</v>
      </c>
      <c r="M571" s="6">
        <v>36894</v>
      </c>
      <c r="N571" s="5" t="str">
        <f t="shared" si="25"/>
        <v>Aug</v>
      </c>
      <c r="O571" s="5" t="str">
        <f t="shared" si="26"/>
        <v xml:space="preserve"> 2023</v>
      </c>
    </row>
    <row r="572" spans="1:15" x14ac:dyDescent="0.35">
      <c r="A572" t="s">
        <v>1048</v>
      </c>
      <c r="B572" s="5" t="s">
        <v>30</v>
      </c>
      <c r="C572" s="4" t="s">
        <v>31</v>
      </c>
      <c r="D572" s="4" t="s">
        <v>104</v>
      </c>
      <c r="E572" s="4" t="s">
        <v>105</v>
      </c>
      <c r="F572" s="4" t="s">
        <v>37</v>
      </c>
      <c r="G572" s="4" t="s">
        <v>148</v>
      </c>
      <c r="H572" s="4" t="s">
        <v>27</v>
      </c>
      <c r="I572" s="4" t="s">
        <v>28</v>
      </c>
      <c r="J572" s="3">
        <v>9</v>
      </c>
      <c r="K572" s="6">
        <v>87174</v>
      </c>
      <c r="L572" s="6">
        <f t="shared" si="24"/>
        <v>61021.799999999996</v>
      </c>
      <c r="M572" s="6">
        <v>26152.200000000004</v>
      </c>
      <c r="N572" s="5" t="str">
        <f t="shared" si="25"/>
        <v>Mar</v>
      </c>
      <c r="O572" s="5" t="str">
        <f t="shared" si="26"/>
        <v xml:space="preserve"> 2023</v>
      </c>
    </row>
    <row r="573" spans="1:15" x14ac:dyDescent="0.35">
      <c r="A573" t="s">
        <v>1049</v>
      </c>
      <c r="B573" s="5" t="s">
        <v>1047</v>
      </c>
      <c r="C573" s="4" t="s">
        <v>13</v>
      </c>
      <c r="D573" s="4" t="s">
        <v>118</v>
      </c>
      <c r="E573" s="4" t="s">
        <v>119</v>
      </c>
      <c r="F573" s="4" t="s">
        <v>25</v>
      </c>
      <c r="G573" s="4" t="s">
        <v>52</v>
      </c>
      <c r="H573" s="4" t="s">
        <v>18</v>
      </c>
      <c r="I573" s="4" t="s">
        <v>60</v>
      </c>
      <c r="J573" s="3">
        <v>4</v>
      </c>
      <c r="K573" s="6">
        <v>157356</v>
      </c>
      <c r="L573" s="6">
        <f t="shared" si="24"/>
        <v>110149.2</v>
      </c>
      <c r="M573" s="6">
        <v>47206.8</v>
      </c>
      <c r="N573" s="5" t="str">
        <f t="shared" si="25"/>
        <v>Aug</v>
      </c>
      <c r="O573" s="5" t="str">
        <f t="shared" si="26"/>
        <v xml:space="preserve"> 2023</v>
      </c>
    </row>
    <row r="574" spans="1:15" x14ac:dyDescent="0.35">
      <c r="A574" t="s">
        <v>1050</v>
      </c>
      <c r="B574" s="5" t="s">
        <v>641</v>
      </c>
      <c r="C574" s="4" t="s">
        <v>13</v>
      </c>
      <c r="D574" s="4" t="s">
        <v>118</v>
      </c>
      <c r="E574" s="4" t="s">
        <v>119</v>
      </c>
      <c r="F574" s="4" t="s">
        <v>25</v>
      </c>
      <c r="G574" s="4" t="s">
        <v>26</v>
      </c>
      <c r="H574" s="4" t="s">
        <v>72</v>
      </c>
      <c r="I574" s="4" t="s">
        <v>19</v>
      </c>
      <c r="J574" s="3">
        <v>5</v>
      </c>
      <c r="K574" s="6">
        <v>203560</v>
      </c>
      <c r="L574" s="6">
        <f t="shared" si="24"/>
        <v>142492</v>
      </c>
      <c r="M574" s="6">
        <v>61068</v>
      </c>
      <c r="N574" s="5" t="str">
        <f t="shared" si="25"/>
        <v>May</v>
      </c>
      <c r="O574" s="5" t="str">
        <f t="shared" si="26"/>
        <v xml:space="preserve"> 2024</v>
      </c>
    </row>
    <row r="575" spans="1:15" x14ac:dyDescent="0.35">
      <c r="A575" t="s">
        <v>1051</v>
      </c>
      <c r="B575" s="5" t="s">
        <v>469</v>
      </c>
      <c r="C575" s="4" t="s">
        <v>13</v>
      </c>
      <c r="D575" s="4" t="s">
        <v>162</v>
      </c>
      <c r="E575" s="4" t="s">
        <v>163</v>
      </c>
      <c r="F575" s="4" t="s">
        <v>16</v>
      </c>
      <c r="G575" s="4" t="s">
        <v>122</v>
      </c>
      <c r="H575" s="4" t="s">
        <v>18</v>
      </c>
      <c r="I575" s="4" t="s">
        <v>39</v>
      </c>
      <c r="J575" s="3">
        <v>4</v>
      </c>
      <c r="K575" s="6">
        <v>31712</v>
      </c>
      <c r="L575" s="6">
        <f t="shared" si="24"/>
        <v>22198.399999999998</v>
      </c>
      <c r="M575" s="6">
        <v>9513.6000000000022</v>
      </c>
      <c r="N575" s="5" t="str">
        <f t="shared" si="25"/>
        <v>Mar</v>
      </c>
      <c r="O575" s="5" t="str">
        <f t="shared" si="26"/>
        <v xml:space="preserve"> 2024</v>
      </c>
    </row>
    <row r="576" spans="1:15" x14ac:dyDescent="0.35">
      <c r="A576" t="s">
        <v>1052</v>
      </c>
      <c r="B576" s="5" t="s">
        <v>727</v>
      </c>
      <c r="C576" s="4" t="s">
        <v>13</v>
      </c>
      <c r="D576" s="4" t="s">
        <v>118</v>
      </c>
      <c r="E576" s="4" t="s">
        <v>119</v>
      </c>
      <c r="F576" s="4" t="s">
        <v>37</v>
      </c>
      <c r="G576" s="4" t="s">
        <v>186</v>
      </c>
      <c r="H576" s="4" t="s">
        <v>27</v>
      </c>
      <c r="I576" s="4" t="s">
        <v>60</v>
      </c>
      <c r="J576" s="3">
        <v>1</v>
      </c>
      <c r="K576" s="6">
        <v>32087</v>
      </c>
      <c r="L576" s="6">
        <f t="shared" si="24"/>
        <v>22460.899999999998</v>
      </c>
      <c r="M576" s="6">
        <v>9626.1000000000022</v>
      </c>
      <c r="N576" s="5" t="str">
        <f t="shared" si="25"/>
        <v>Apr</v>
      </c>
      <c r="O576" s="5" t="str">
        <f t="shared" si="26"/>
        <v xml:space="preserve"> 2023</v>
      </c>
    </row>
    <row r="577" spans="1:15" x14ac:dyDescent="0.35">
      <c r="A577" t="s">
        <v>1053</v>
      </c>
      <c r="B577" s="5" t="s">
        <v>795</v>
      </c>
      <c r="C577" s="4" t="s">
        <v>31</v>
      </c>
      <c r="D577" s="4" t="s">
        <v>50</v>
      </c>
      <c r="E577" s="4" t="s">
        <v>51</v>
      </c>
      <c r="F577" s="4" t="s">
        <v>25</v>
      </c>
      <c r="G577" s="4" t="s">
        <v>52</v>
      </c>
      <c r="H577" s="4" t="s">
        <v>72</v>
      </c>
      <c r="I577" s="4" t="s">
        <v>19</v>
      </c>
      <c r="J577" s="3">
        <v>4</v>
      </c>
      <c r="K577" s="6">
        <v>140584</v>
      </c>
      <c r="L577" s="6">
        <f t="shared" si="24"/>
        <v>98408.799999999988</v>
      </c>
      <c r="M577" s="6">
        <v>42175.200000000012</v>
      </c>
      <c r="N577" s="5" t="str">
        <f t="shared" si="25"/>
        <v>Mar</v>
      </c>
      <c r="O577" s="5" t="str">
        <f t="shared" si="26"/>
        <v xml:space="preserve"> 2024</v>
      </c>
    </row>
    <row r="578" spans="1:15" x14ac:dyDescent="0.35">
      <c r="A578" t="s">
        <v>1054</v>
      </c>
      <c r="B578" s="5" t="s">
        <v>1055</v>
      </c>
      <c r="C578" s="4" t="s">
        <v>13</v>
      </c>
      <c r="D578" s="4" t="s">
        <v>118</v>
      </c>
      <c r="E578" s="4" t="s">
        <v>119</v>
      </c>
      <c r="F578" s="4" t="s">
        <v>25</v>
      </c>
      <c r="G578" s="4" t="s">
        <v>71</v>
      </c>
      <c r="H578" s="4" t="s">
        <v>72</v>
      </c>
      <c r="I578" s="4" t="s">
        <v>19</v>
      </c>
      <c r="J578" s="3">
        <v>2</v>
      </c>
      <c r="K578" s="6">
        <v>24722</v>
      </c>
      <c r="L578" s="6">
        <f t="shared" ref="L578:L641" si="27">K578*0.7</f>
        <v>17305.399999999998</v>
      </c>
      <c r="M578" s="6">
        <v>7416.6000000000022</v>
      </c>
      <c r="N578" s="5" t="str">
        <f t="shared" ref="N578:N641" si="28">TEXT(B578,"mmm")</f>
        <v>Nov</v>
      </c>
      <c r="O578" s="5" t="str">
        <f t="shared" ref="O578:O641" si="29">TEXT(B578," yyyy")</f>
        <v xml:space="preserve"> 2023</v>
      </c>
    </row>
    <row r="579" spans="1:15" x14ac:dyDescent="0.35">
      <c r="A579" t="s">
        <v>1056</v>
      </c>
      <c r="B579" s="5" t="s">
        <v>1057</v>
      </c>
      <c r="C579" s="4" t="s">
        <v>55</v>
      </c>
      <c r="D579" s="4" t="s">
        <v>98</v>
      </c>
      <c r="E579" s="4" t="s">
        <v>99</v>
      </c>
      <c r="F579" s="4" t="s">
        <v>25</v>
      </c>
      <c r="G579" s="4" t="s">
        <v>26</v>
      </c>
      <c r="H579" s="4" t="s">
        <v>18</v>
      </c>
      <c r="I579" s="4" t="s">
        <v>28</v>
      </c>
      <c r="J579" s="3">
        <v>7</v>
      </c>
      <c r="K579" s="6">
        <v>47369</v>
      </c>
      <c r="L579" s="6">
        <f t="shared" si="27"/>
        <v>33158.299999999996</v>
      </c>
      <c r="M579" s="6">
        <v>14210.700000000004</v>
      </c>
      <c r="N579" s="5" t="str">
        <f t="shared" si="28"/>
        <v>Jun</v>
      </c>
      <c r="O579" s="5" t="str">
        <f t="shared" si="29"/>
        <v xml:space="preserve"> 2024</v>
      </c>
    </row>
    <row r="580" spans="1:15" x14ac:dyDescent="0.35">
      <c r="A580" t="s">
        <v>1058</v>
      </c>
      <c r="B580" s="5" t="s">
        <v>66</v>
      </c>
      <c r="C580" s="4" t="s">
        <v>31</v>
      </c>
      <c r="D580" s="4" t="s">
        <v>50</v>
      </c>
      <c r="E580" s="4" t="s">
        <v>51</v>
      </c>
      <c r="F580" s="4" t="s">
        <v>25</v>
      </c>
      <c r="G580" s="4" t="s">
        <v>71</v>
      </c>
      <c r="H580" s="4" t="s">
        <v>72</v>
      </c>
      <c r="I580" s="4" t="s">
        <v>19</v>
      </c>
      <c r="J580" s="3">
        <v>6</v>
      </c>
      <c r="K580" s="6">
        <v>38682</v>
      </c>
      <c r="L580" s="6">
        <f t="shared" si="27"/>
        <v>27077.399999999998</v>
      </c>
      <c r="M580" s="6">
        <v>11604.600000000002</v>
      </c>
      <c r="N580" s="5" t="str">
        <f t="shared" si="28"/>
        <v>Oct</v>
      </c>
      <c r="O580" s="5" t="str">
        <f t="shared" si="29"/>
        <v xml:space="preserve"> 2023</v>
      </c>
    </row>
    <row r="581" spans="1:15" x14ac:dyDescent="0.35">
      <c r="A581" t="s">
        <v>1059</v>
      </c>
      <c r="B581" s="5" t="s">
        <v>1060</v>
      </c>
      <c r="C581" s="4" t="s">
        <v>13</v>
      </c>
      <c r="D581" s="4" t="s">
        <v>14</v>
      </c>
      <c r="E581" s="4" t="s">
        <v>15</v>
      </c>
      <c r="F581" s="4" t="s">
        <v>16</v>
      </c>
      <c r="G581" s="4" t="s">
        <v>34</v>
      </c>
      <c r="H581" s="4" t="s">
        <v>72</v>
      </c>
      <c r="I581" s="4" t="s">
        <v>47</v>
      </c>
      <c r="J581" s="3">
        <v>7</v>
      </c>
      <c r="K581" s="6">
        <v>347655</v>
      </c>
      <c r="L581" s="6">
        <f t="shared" si="27"/>
        <v>243358.49999999997</v>
      </c>
      <c r="M581" s="6">
        <v>104296.50000000003</v>
      </c>
      <c r="N581" s="5" t="str">
        <f t="shared" si="28"/>
        <v>May</v>
      </c>
      <c r="O581" s="5" t="str">
        <f t="shared" si="29"/>
        <v xml:space="preserve"> 2024</v>
      </c>
    </row>
    <row r="582" spans="1:15" x14ac:dyDescent="0.35">
      <c r="A582" t="s">
        <v>1061</v>
      </c>
      <c r="B582" s="5" t="s">
        <v>1006</v>
      </c>
      <c r="C582" s="4" t="s">
        <v>22</v>
      </c>
      <c r="D582" s="4" t="s">
        <v>86</v>
      </c>
      <c r="E582" s="4" t="s">
        <v>87</v>
      </c>
      <c r="F582" s="4" t="s">
        <v>37</v>
      </c>
      <c r="G582" s="4" t="s">
        <v>38</v>
      </c>
      <c r="H582" s="4" t="s">
        <v>72</v>
      </c>
      <c r="I582" s="4" t="s">
        <v>19</v>
      </c>
      <c r="J582" s="3">
        <v>6</v>
      </c>
      <c r="K582" s="6">
        <v>258348</v>
      </c>
      <c r="L582" s="6">
        <f t="shared" si="27"/>
        <v>180843.59999999998</v>
      </c>
      <c r="M582" s="6">
        <v>77504.400000000023</v>
      </c>
      <c r="N582" s="5" t="str">
        <f t="shared" si="28"/>
        <v>Apr</v>
      </c>
      <c r="O582" s="5" t="str">
        <f t="shared" si="29"/>
        <v xml:space="preserve"> 2024</v>
      </c>
    </row>
    <row r="583" spans="1:15" x14ac:dyDescent="0.35">
      <c r="A583" t="s">
        <v>1062</v>
      </c>
      <c r="B583" s="5" t="s">
        <v>520</v>
      </c>
      <c r="C583" s="4" t="s">
        <v>55</v>
      </c>
      <c r="D583" s="4" t="s">
        <v>56</v>
      </c>
      <c r="E583" s="4" t="s">
        <v>57</v>
      </c>
      <c r="F583" s="4" t="s">
        <v>25</v>
      </c>
      <c r="G583" s="4" t="s">
        <v>52</v>
      </c>
      <c r="H583" s="4" t="s">
        <v>18</v>
      </c>
      <c r="I583" s="4" t="s">
        <v>60</v>
      </c>
      <c r="J583" s="3">
        <v>7</v>
      </c>
      <c r="K583" s="6">
        <v>3815</v>
      </c>
      <c r="L583" s="6">
        <f t="shared" si="27"/>
        <v>2670.5</v>
      </c>
      <c r="M583" s="6">
        <v>1144.5</v>
      </c>
      <c r="N583" s="5" t="str">
        <f t="shared" si="28"/>
        <v>Apr</v>
      </c>
      <c r="O583" s="5" t="str">
        <f t="shared" si="29"/>
        <v xml:space="preserve"> 2024</v>
      </c>
    </row>
    <row r="584" spans="1:15" x14ac:dyDescent="0.35">
      <c r="A584" t="s">
        <v>1063</v>
      </c>
      <c r="B584" s="5" t="s">
        <v>971</v>
      </c>
      <c r="C584" s="4" t="s">
        <v>31</v>
      </c>
      <c r="D584" s="4" t="s">
        <v>50</v>
      </c>
      <c r="E584" s="4" t="s">
        <v>51</v>
      </c>
      <c r="F584" s="4" t="s">
        <v>37</v>
      </c>
      <c r="G584" s="4" t="s">
        <v>183</v>
      </c>
      <c r="H584" s="4" t="s">
        <v>18</v>
      </c>
      <c r="I584" s="4" t="s">
        <v>19</v>
      </c>
      <c r="J584" s="3">
        <v>8</v>
      </c>
      <c r="K584" s="6">
        <v>326816</v>
      </c>
      <c r="L584" s="6">
        <f t="shared" si="27"/>
        <v>228771.19999999998</v>
      </c>
      <c r="M584" s="6">
        <v>98044.800000000017</v>
      </c>
      <c r="N584" s="5" t="str">
        <f t="shared" si="28"/>
        <v>May</v>
      </c>
      <c r="O584" s="5" t="str">
        <f t="shared" si="29"/>
        <v xml:space="preserve"> 2023</v>
      </c>
    </row>
    <row r="585" spans="1:15" x14ac:dyDescent="0.35">
      <c r="A585" t="s">
        <v>1064</v>
      </c>
      <c r="B585" s="5" t="s">
        <v>960</v>
      </c>
      <c r="C585" s="4" t="s">
        <v>13</v>
      </c>
      <c r="D585" s="4" t="s">
        <v>125</v>
      </c>
      <c r="E585" s="4" t="s">
        <v>126</v>
      </c>
      <c r="F585" s="4" t="s">
        <v>16</v>
      </c>
      <c r="G585" s="4" t="s">
        <v>17</v>
      </c>
      <c r="H585" s="4" t="s">
        <v>18</v>
      </c>
      <c r="I585" s="4" t="s">
        <v>47</v>
      </c>
      <c r="J585" s="3">
        <v>9</v>
      </c>
      <c r="K585" s="6">
        <v>430362</v>
      </c>
      <c r="L585" s="6">
        <f t="shared" si="27"/>
        <v>301253.39999999997</v>
      </c>
      <c r="M585" s="6">
        <v>129108.60000000003</v>
      </c>
      <c r="N585" s="5" t="str">
        <f t="shared" si="28"/>
        <v>Nov</v>
      </c>
      <c r="O585" s="5" t="str">
        <f t="shared" si="29"/>
        <v xml:space="preserve"> 2023</v>
      </c>
    </row>
    <row r="586" spans="1:15" x14ac:dyDescent="0.35">
      <c r="A586" t="s">
        <v>1065</v>
      </c>
      <c r="B586" s="5" t="s">
        <v>1066</v>
      </c>
      <c r="C586" s="4" t="s">
        <v>31</v>
      </c>
      <c r="D586" s="4" t="s">
        <v>32</v>
      </c>
      <c r="E586" s="4" t="s">
        <v>33</v>
      </c>
      <c r="F586" s="4" t="s">
        <v>37</v>
      </c>
      <c r="G586" s="4" t="s">
        <v>148</v>
      </c>
      <c r="H586" s="4" t="s">
        <v>72</v>
      </c>
      <c r="I586" s="4" t="s">
        <v>60</v>
      </c>
      <c r="J586" s="3">
        <v>8</v>
      </c>
      <c r="K586" s="6">
        <v>344488</v>
      </c>
      <c r="L586" s="6">
        <f t="shared" si="27"/>
        <v>241141.59999999998</v>
      </c>
      <c r="M586" s="6">
        <v>103346.40000000002</v>
      </c>
      <c r="N586" s="5" t="str">
        <f t="shared" si="28"/>
        <v>Nov</v>
      </c>
      <c r="O586" s="5" t="str">
        <f t="shared" si="29"/>
        <v xml:space="preserve"> 2024</v>
      </c>
    </row>
    <row r="587" spans="1:15" x14ac:dyDescent="0.35">
      <c r="A587" t="s">
        <v>1067</v>
      </c>
      <c r="B587" s="5" t="s">
        <v>608</v>
      </c>
      <c r="C587" s="4" t="s">
        <v>22</v>
      </c>
      <c r="D587" s="4" t="s">
        <v>86</v>
      </c>
      <c r="E587" s="4" t="s">
        <v>87</v>
      </c>
      <c r="F587" s="4" t="s">
        <v>25</v>
      </c>
      <c r="G587" s="4" t="s">
        <v>71</v>
      </c>
      <c r="H587" s="4" t="s">
        <v>72</v>
      </c>
      <c r="I587" s="4" t="s">
        <v>39</v>
      </c>
      <c r="J587" s="3">
        <v>7</v>
      </c>
      <c r="K587" s="6">
        <v>220395</v>
      </c>
      <c r="L587" s="6">
        <f t="shared" si="27"/>
        <v>154276.5</v>
      </c>
      <c r="M587" s="6">
        <v>66118.5</v>
      </c>
      <c r="N587" s="5" t="str">
        <f t="shared" si="28"/>
        <v>Mar</v>
      </c>
      <c r="O587" s="5" t="str">
        <f t="shared" si="29"/>
        <v xml:space="preserve"> 2024</v>
      </c>
    </row>
    <row r="588" spans="1:15" x14ac:dyDescent="0.35">
      <c r="A588" t="s">
        <v>1068</v>
      </c>
      <c r="B588" s="5" t="s">
        <v>1069</v>
      </c>
      <c r="C588" s="4" t="s">
        <v>13</v>
      </c>
      <c r="D588" s="4" t="s">
        <v>118</v>
      </c>
      <c r="E588" s="4" t="s">
        <v>119</v>
      </c>
      <c r="F588" s="4" t="s">
        <v>37</v>
      </c>
      <c r="G588" s="4" t="s">
        <v>183</v>
      </c>
      <c r="H588" s="4" t="s">
        <v>27</v>
      </c>
      <c r="I588" s="4" t="s">
        <v>28</v>
      </c>
      <c r="J588" s="3">
        <v>1</v>
      </c>
      <c r="K588" s="6">
        <v>15826</v>
      </c>
      <c r="L588" s="6">
        <f t="shared" si="27"/>
        <v>11078.199999999999</v>
      </c>
      <c r="M588" s="6">
        <v>4747.8000000000011</v>
      </c>
      <c r="N588" s="5" t="str">
        <f t="shared" si="28"/>
        <v>Feb</v>
      </c>
      <c r="O588" s="5" t="str">
        <f t="shared" si="29"/>
        <v xml:space="preserve"> 2024</v>
      </c>
    </row>
    <row r="589" spans="1:15" x14ac:dyDescent="0.35">
      <c r="A589" t="s">
        <v>1070</v>
      </c>
      <c r="B589" s="5" t="s">
        <v>1071</v>
      </c>
      <c r="C589" s="4" t="s">
        <v>13</v>
      </c>
      <c r="D589" s="4" t="s">
        <v>125</v>
      </c>
      <c r="E589" s="4" t="s">
        <v>126</v>
      </c>
      <c r="F589" s="4" t="s">
        <v>25</v>
      </c>
      <c r="G589" s="4" t="s">
        <v>71</v>
      </c>
      <c r="H589" s="4" t="s">
        <v>27</v>
      </c>
      <c r="I589" s="4" t="s">
        <v>19</v>
      </c>
      <c r="J589" s="3">
        <v>2</v>
      </c>
      <c r="K589" s="6">
        <v>18398</v>
      </c>
      <c r="L589" s="6">
        <f t="shared" si="27"/>
        <v>12878.599999999999</v>
      </c>
      <c r="M589" s="6">
        <v>5519.4000000000015</v>
      </c>
      <c r="N589" s="5" t="str">
        <f t="shared" si="28"/>
        <v>Mar</v>
      </c>
      <c r="O589" s="5" t="str">
        <f t="shared" si="29"/>
        <v xml:space="preserve"> 2024</v>
      </c>
    </row>
    <row r="590" spans="1:15" x14ac:dyDescent="0.35">
      <c r="A590" t="s">
        <v>1072</v>
      </c>
      <c r="B590" s="5" t="s">
        <v>1073</v>
      </c>
      <c r="C590" s="4" t="s">
        <v>55</v>
      </c>
      <c r="D590" s="4" t="s">
        <v>82</v>
      </c>
      <c r="E590" s="4" t="s">
        <v>83</v>
      </c>
      <c r="F590" s="4" t="s">
        <v>25</v>
      </c>
      <c r="G590" s="4" t="s">
        <v>26</v>
      </c>
      <c r="H590" s="4" t="s">
        <v>72</v>
      </c>
      <c r="I590" s="4" t="s">
        <v>28</v>
      </c>
      <c r="J590" s="3">
        <v>1</v>
      </c>
      <c r="K590" s="6">
        <v>26645</v>
      </c>
      <c r="L590" s="6">
        <f t="shared" si="27"/>
        <v>18651.5</v>
      </c>
      <c r="M590" s="6">
        <v>7993.5</v>
      </c>
      <c r="N590" s="5" t="str">
        <f t="shared" si="28"/>
        <v>Jun</v>
      </c>
      <c r="O590" s="5" t="str">
        <f t="shared" si="29"/>
        <v xml:space="preserve"> 2024</v>
      </c>
    </row>
    <row r="591" spans="1:15" x14ac:dyDescent="0.35">
      <c r="A591" t="s">
        <v>1074</v>
      </c>
      <c r="B591" s="5" t="s">
        <v>636</v>
      </c>
      <c r="C591" s="4" t="s">
        <v>22</v>
      </c>
      <c r="D591" s="4" t="s">
        <v>90</v>
      </c>
      <c r="E591" s="4" t="s">
        <v>91</v>
      </c>
      <c r="F591" s="4" t="s">
        <v>67</v>
      </c>
      <c r="G591" s="4" t="s">
        <v>113</v>
      </c>
      <c r="H591" s="4" t="s">
        <v>18</v>
      </c>
      <c r="I591" s="4" t="s">
        <v>19</v>
      </c>
      <c r="J591" s="3">
        <v>7</v>
      </c>
      <c r="K591" s="6">
        <v>140196</v>
      </c>
      <c r="L591" s="6">
        <f t="shared" si="27"/>
        <v>98137.2</v>
      </c>
      <c r="M591" s="6">
        <v>42058.8</v>
      </c>
      <c r="N591" s="5" t="str">
        <f t="shared" si="28"/>
        <v>May</v>
      </c>
      <c r="O591" s="5" t="str">
        <f t="shared" si="29"/>
        <v xml:space="preserve"> 2023</v>
      </c>
    </row>
    <row r="592" spans="1:15" x14ac:dyDescent="0.35">
      <c r="A592" t="s">
        <v>1075</v>
      </c>
      <c r="B592" s="5" t="s">
        <v>1076</v>
      </c>
      <c r="C592" s="4" t="s">
        <v>13</v>
      </c>
      <c r="D592" s="4" t="s">
        <v>162</v>
      </c>
      <c r="E592" s="4" t="s">
        <v>163</v>
      </c>
      <c r="F592" s="4" t="s">
        <v>37</v>
      </c>
      <c r="G592" s="4" t="s">
        <v>148</v>
      </c>
      <c r="H592" s="4" t="s">
        <v>27</v>
      </c>
      <c r="I592" s="4" t="s">
        <v>19</v>
      </c>
      <c r="J592" s="3">
        <v>8</v>
      </c>
      <c r="K592" s="6">
        <v>357528</v>
      </c>
      <c r="L592" s="6">
        <f t="shared" si="27"/>
        <v>250269.59999999998</v>
      </c>
      <c r="M592" s="6">
        <v>107258.40000000002</v>
      </c>
      <c r="N592" s="5" t="str">
        <f t="shared" si="28"/>
        <v>Jul</v>
      </c>
      <c r="O592" s="5" t="str">
        <f t="shared" si="29"/>
        <v xml:space="preserve"> 2023</v>
      </c>
    </row>
    <row r="593" spans="1:15" x14ac:dyDescent="0.35">
      <c r="A593" t="s">
        <v>1077</v>
      </c>
      <c r="B593" s="5" t="s">
        <v>1078</v>
      </c>
      <c r="C593" s="4" t="s">
        <v>13</v>
      </c>
      <c r="D593" s="4" t="s">
        <v>118</v>
      </c>
      <c r="E593" s="4" t="s">
        <v>119</v>
      </c>
      <c r="F593" s="4" t="s">
        <v>25</v>
      </c>
      <c r="G593" s="4" t="s">
        <v>26</v>
      </c>
      <c r="H593" s="4" t="s">
        <v>27</v>
      </c>
      <c r="I593" s="4" t="s">
        <v>60</v>
      </c>
      <c r="J593" s="3">
        <v>6</v>
      </c>
      <c r="K593" s="6">
        <v>168570</v>
      </c>
      <c r="L593" s="6">
        <f t="shared" si="27"/>
        <v>117998.99999999999</v>
      </c>
      <c r="M593" s="6">
        <v>50571.000000000015</v>
      </c>
      <c r="N593" s="5" t="str">
        <f t="shared" si="28"/>
        <v>Dec</v>
      </c>
      <c r="O593" s="5" t="str">
        <f t="shared" si="29"/>
        <v xml:space="preserve"> 2023</v>
      </c>
    </row>
    <row r="594" spans="1:15" x14ac:dyDescent="0.35">
      <c r="A594" t="s">
        <v>1079</v>
      </c>
      <c r="B594" s="5" t="s">
        <v>1080</v>
      </c>
      <c r="C594" s="4" t="s">
        <v>13</v>
      </c>
      <c r="D594" s="4" t="s">
        <v>125</v>
      </c>
      <c r="E594" s="4" t="s">
        <v>126</v>
      </c>
      <c r="F594" s="4" t="s">
        <v>25</v>
      </c>
      <c r="G594" s="4" t="s">
        <v>26</v>
      </c>
      <c r="H594" s="4" t="s">
        <v>18</v>
      </c>
      <c r="I594" s="4" t="s">
        <v>19</v>
      </c>
      <c r="J594" s="3">
        <v>9</v>
      </c>
      <c r="K594" s="6">
        <v>445464</v>
      </c>
      <c r="L594" s="6">
        <f t="shared" si="27"/>
        <v>311824.8</v>
      </c>
      <c r="M594" s="6">
        <v>133639.20000000001</v>
      </c>
      <c r="N594" s="5" t="str">
        <f t="shared" si="28"/>
        <v>Nov</v>
      </c>
      <c r="O594" s="5" t="str">
        <f t="shared" si="29"/>
        <v xml:space="preserve"> 2023</v>
      </c>
    </row>
    <row r="595" spans="1:15" x14ac:dyDescent="0.35">
      <c r="A595" t="s">
        <v>1081</v>
      </c>
      <c r="B595" s="5" t="s">
        <v>482</v>
      </c>
      <c r="C595" s="4" t="s">
        <v>22</v>
      </c>
      <c r="D595" s="4" t="s">
        <v>90</v>
      </c>
      <c r="E595" s="4" t="s">
        <v>110</v>
      </c>
      <c r="F595" s="4" t="s">
        <v>37</v>
      </c>
      <c r="G595" s="4" t="s">
        <v>148</v>
      </c>
      <c r="H595" s="4" t="s">
        <v>18</v>
      </c>
      <c r="I595" s="4" t="s">
        <v>28</v>
      </c>
      <c r="J595" s="3">
        <v>2</v>
      </c>
      <c r="K595" s="6">
        <v>73804</v>
      </c>
      <c r="L595" s="6">
        <f t="shared" si="27"/>
        <v>51662.799999999996</v>
      </c>
      <c r="M595" s="6">
        <v>22141.200000000004</v>
      </c>
      <c r="N595" s="5" t="str">
        <f t="shared" si="28"/>
        <v>Sep</v>
      </c>
      <c r="O595" s="5" t="str">
        <f t="shared" si="29"/>
        <v xml:space="preserve"> 2024</v>
      </c>
    </row>
    <row r="596" spans="1:15" x14ac:dyDescent="0.35">
      <c r="A596" t="s">
        <v>1082</v>
      </c>
      <c r="B596" s="5" t="s">
        <v>739</v>
      </c>
      <c r="C596" s="4" t="s">
        <v>55</v>
      </c>
      <c r="D596" s="4" t="s">
        <v>98</v>
      </c>
      <c r="E596" s="4" t="s">
        <v>99</v>
      </c>
      <c r="F596" s="4" t="s">
        <v>25</v>
      </c>
      <c r="G596" s="4" t="s">
        <v>77</v>
      </c>
      <c r="H596" s="4" t="s">
        <v>72</v>
      </c>
      <c r="I596" s="4" t="s">
        <v>28</v>
      </c>
      <c r="J596" s="3">
        <v>4</v>
      </c>
      <c r="K596" s="6">
        <v>46292</v>
      </c>
      <c r="L596" s="6">
        <f t="shared" si="27"/>
        <v>32404.399999999998</v>
      </c>
      <c r="M596" s="6">
        <v>13887.600000000002</v>
      </c>
      <c r="N596" s="5" t="str">
        <f t="shared" si="28"/>
        <v>Oct</v>
      </c>
      <c r="O596" s="5" t="str">
        <f t="shared" si="29"/>
        <v xml:space="preserve"> 2023</v>
      </c>
    </row>
    <row r="597" spans="1:15" x14ac:dyDescent="0.35">
      <c r="A597" t="s">
        <v>1083</v>
      </c>
      <c r="B597" s="5" t="s">
        <v>1084</v>
      </c>
      <c r="C597" s="4" t="s">
        <v>22</v>
      </c>
      <c r="D597" s="4" t="s">
        <v>90</v>
      </c>
      <c r="E597" s="4" t="s">
        <v>110</v>
      </c>
      <c r="F597" s="4" t="s">
        <v>67</v>
      </c>
      <c r="G597" s="4" t="s">
        <v>113</v>
      </c>
      <c r="H597" s="4" t="s">
        <v>27</v>
      </c>
      <c r="I597" s="4" t="s">
        <v>28</v>
      </c>
      <c r="J597" s="3">
        <v>10</v>
      </c>
      <c r="K597" s="6">
        <v>142110</v>
      </c>
      <c r="L597" s="6">
        <f t="shared" si="27"/>
        <v>99477</v>
      </c>
      <c r="M597" s="6">
        <v>42633</v>
      </c>
      <c r="N597" s="5" t="str">
        <f t="shared" si="28"/>
        <v>Dec</v>
      </c>
      <c r="O597" s="5" t="str">
        <f t="shared" si="29"/>
        <v xml:space="preserve"> 2023</v>
      </c>
    </row>
    <row r="598" spans="1:15" x14ac:dyDescent="0.35">
      <c r="A598" t="s">
        <v>1085</v>
      </c>
      <c r="B598" s="5" t="s">
        <v>285</v>
      </c>
      <c r="C598" s="4" t="s">
        <v>55</v>
      </c>
      <c r="D598" s="4" t="s">
        <v>98</v>
      </c>
      <c r="E598" s="4" t="s">
        <v>99</v>
      </c>
      <c r="F598" s="4" t="s">
        <v>25</v>
      </c>
      <c r="G598" s="4" t="s">
        <v>77</v>
      </c>
      <c r="H598" s="4" t="s">
        <v>18</v>
      </c>
      <c r="I598" s="4" t="s">
        <v>28</v>
      </c>
      <c r="J598" s="3">
        <v>2</v>
      </c>
      <c r="K598" s="6">
        <v>28018</v>
      </c>
      <c r="L598" s="6">
        <f t="shared" si="27"/>
        <v>19612.599999999999</v>
      </c>
      <c r="M598" s="6">
        <v>8405.4000000000015</v>
      </c>
      <c r="N598" s="5" t="str">
        <f t="shared" si="28"/>
        <v>May</v>
      </c>
      <c r="O598" s="5" t="str">
        <f t="shared" si="29"/>
        <v xml:space="preserve"> 2023</v>
      </c>
    </row>
    <row r="599" spans="1:15" x14ac:dyDescent="0.35">
      <c r="A599" t="s">
        <v>1086</v>
      </c>
      <c r="B599" s="5" t="s">
        <v>790</v>
      </c>
      <c r="C599" s="4" t="s">
        <v>22</v>
      </c>
      <c r="D599" s="4" t="s">
        <v>90</v>
      </c>
      <c r="E599" s="4" t="s">
        <v>91</v>
      </c>
      <c r="F599" s="4" t="s">
        <v>37</v>
      </c>
      <c r="G599" s="4" t="s">
        <v>148</v>
      </c>
      <c r="H599" s="4" t="s">
        <v>18</v>
      </c>
      <c r="I599" s="4" t="s">
        <v>60</v>
      </c>
      <c r="J599" s="3">
        <v>3</v>
      </c>
      <c r="K599" s="6">
        <v>131418</v>
      </c>
      <c r="L599" s="6">
        <f t="shared" si="27"/>
        <v>91992.599999999991</v>
      </c>
      <c r="M599" s="6">
        <v>39425.400000000009</v>
      </c>
      <c r="N599" s="5" t="str">
        <f t="shared" si="28"/>
        <v>Jun</v>
      </c>
      <c r="O599" s="5" t="str">
        <f t="shared" si="29"/>
        <v xml:space="preserve"> 2024</v>
      </c>
    </row>
    <row r="600" spans="1:15" x14ac:dyDescent="0.35">
      <c r="A600" t="s">
        <v>1087</v>
      </c>
      <c r="B600" s="5" t="s">
        <v>527</v>
      </c>
      <c r="C600" s="4" t="s">
        <v>22</v>
      </c>
      <c r="D600" s="4" t="s">
        <v>90</v>
      </c>
      <c r="E600" s="4" t="s">
        <v>110</v>
      </c>
      <c r="F600" s="4" t="s">
        <v>25</v>
      </c>
      <c r="G600" s="4" t="s">
        <v>52</v>
      </c>
      <c r="H600" s="4" t="s">
        <v>72</v>
      </c>
      <c r="I600" s="4" t="s">
        <v>47</v>
      </c>
      <c r="J600" s="3">
        <v>8</v>
      </c>
      <c r="K600" s="6">
        <v>166240</v>
      </c>
      <c r="L600" s="6">
        <f t="shared" si="27"/>
        <v>116367.99999999999</v>
      </c>
      <c r="M600" s="6">
        <v>49872.000000000015</v>
      </c>
      <c r="N600" s="5" t="str">
        <f t="shared" si="28"/>
        <v>Aug</v>
      </c>
      <c r="O600" s="5" t="str">
        <f t="shared" si="29"/>
        <v xml:space="preserve"> 2023</v>
      </c>
    </row>
    <row r="601" spans="1:15" x14ac:dyDescent="0.35">
      <c r="A601" t="s">
        <v>1088</v>
      </c>
      <c r="B601" s="5" t="s">
        <v>953</v>
      </c>
      <c r="C601" s="4" t="s">
        <v>55</v>
      </c>
      <c r="D601" s="4" t="s">
        <v>56</v>
      </c>
      <c r="E601" s="4" t="s">
        <v>57</v>
      </c>
      <c r="F601" s="4" t="s">
        <v>67</v>
      </c>
      <c r="G601" s="4" t="s">
        <v>113</v>
      </c>
      <c r="H601" s="4" t="s">
        <v>18</v>
      </c>
      <c r="I601" s="4" t="s">
        <v>28</v>
      </c>
      <c r="J601" s="3">
        <v>3</v>
      </c>
      <c r="K601" s="6">
        <v>142032</v>
      </c>
      <c r="L601" s="6">
        <f t="shared" si="27"/>
        <v>99422.399999999994</v>
      </c>
      <c r="M601" s="6">
        <v>42609.600000000006</v>
      </c>
      <c r="N601" s="5" t="str">
        <f t="shared" si="28"/>
        <v>Feb</v>
      </c>
      <c r="O601" s="5" t="str">
        <f t="shared" si="29"/>
        <v xml:space="preserve"> 2023</v>
      </c>
    </row>
    <row r="602" spans="1:15" x14ac:dyDescent="0.35">
      <c r="A602" t="s">
        <v>1089</v>
      </c>
      <c r="B602" s="5" t="s">
        <v>1090</v>
      </c>
      <c r="C602" s="4" t="s">
        <v>55</v>
      </c>
      <c r="D602" s="4" t="s">
        <v>98</v>
      </c>
      <c r="E602" s="4" t="s">
        <v>99</v>
      </c>
      <c r="F602" s="4" t="s">
        <v>67</v>
      </c>
      <c r="G602" s="4" t="s">
        <v>134</v>
      </c>
      <c r="H602" s="4" t="s">
        <v>27</v>
      </c>
      <c r="I602" s="4" t="s">
        <v>60</v>
      </c>
      <c r="J602" s="3">
        <v>2</v>
      </c>
      <c r="K602" s="6">
        <v>63650</v>
      </c>
      <c r="L602" s="6">
        <f t="shared" si="27"/>
        <v>44555</v>
      </c>
      <c r="M602" s="6">
        <v>19095</v>
      </c>
      <c r="N602" s="5" t="str">
        <f t="shared" si="28"/>
        <v>Oct</v>
      </c>
      <c r="O602" s="5" t="str">
        <f t="shared" si="29"/>
        <v xml:space="preserve"> 2024</v>
      </c>
    </row>
    <row r="603" spans="1:15" x14ac:dyDescent="0.35">
      <c r="A603" t="s">
        <v>1091</v>
      </c>
      <c r="B603" s="5" t="s">
        <v>1092</v>
      </c>
      <c r="C603" s="4" t="s">
        <v>55</v>
      </c>
      <c r="D603" s="4" t="s">
        <v>63</v>
      </c>
      <c r="E603" s="4" t="s">
        <v>64</v>
      </c>
      <c r="F603" s="4" t="s">
        <v>25</v>
      </c>
      <c r="G603" s="4" t="s">
        <v>52</v>
      </c>
      <c r="H603" s="4" t="s">
        <v>18</v>
      </c>
      <c r="I603" s="4" t="s">
        <v>19</v>
      </c>
      <c r="J603" s="3">
        <v>3</v>
      </c>
      <c r="K603" s="6">
        <v>20070</v>
      </c>
      <c r="L603" s="6">
        <f t="shared" si="27"/>
        <v>14049</v>
      </c>
      <c r="M603" s="6">
        <v>6021</v>
      </c>
      <c r="N603" s="5" t="str">
        <f t="shared" si="28"/>
        <v>Aug</v>
      </c>
      <c r="O603" s="5" t="str">
        <f t="shared" si="29"/>
        <v xml:space="preserve"> 2024</v>
      </c>
    </row>
    <row r="604" spans="1:15" x14ac:dyDescent="0.35">
      <c r="A604" t="s">
        <v>1093</v>
      </c>
      <c r="B604" s="5" t="s">
        <v>482</v>
      </c>
      <c r="C604" s="4" t="s">
        <v>13</v>
      </c>
      <c r="D604" s="4" t="s">
        <v>125</v>
      </c>
      <c r="E604" s="4" t="s">
        <v>126</v>
      </c>
      <c r="F604" s="4" t="s">
        <v>67</v>
      </c>
      <c r="G604" s="4" t="s">
        <v>134</v>
      </c>
      <c r="H604" s="4" t="s">
        <v>72</v>
      </c>
      <c r="I604" s="4" t="s">
        <v>47</v>
      </c>
      <c r="J604" s="3">
        <v>3</v>
      </c>
      <c r="K604" s="6">
        <v>32241</v>
      </c>
      <c r="L604" s="6">
        <f t="shared" si="27"/>
        <v>22568.699999999997</v>
      </c>
      <c r="M604" s="6">
        <v>9672.3000000000029</v>
      </c>
      <c r="N604" s="5" t="str">
        <f t="shared" si="28"/>
        <v>Sep</v>
      </c>
      <c r="O604" s="5" t="str">
        <f t="shared" si="29"/>
        <v xml:space="preserve"> 2024</v>
      </c>
    </row>
    <row r="605" spans="1:15" x14ac:dyDescent="0.35">
      <c r="A605" t="s">
        <v>1094</v>
      </c>
      <c r="B605" s="5" t="s">
        <v>265</v>
      </c>
      <c r="C605" s="4" t="s">
        <v>13</v>
      </c>
      <c r="D605" s="4" t="s">
        <v>14</v>
      </c>
      <c r="E605" s="4" t="s">
        <v>15</v>
      </c>
      <c r="F605" s="4" t="s">
        <v>67</v>
      </c>
      <c r="G605" s="4" t="s">
        <v>180</v>
      </c>
      <c r="H605" s="4" t="s">
        <v>72</v>
      </c>
      <c r="I605" s="4" t="s">
        <v>28</v>
      </c>
      <c r="J605" s="3">
        <v>2</v>
      </c>
      <c r="K605" s="6">
        <v>40714</v>
      </c>
      <c r="L605" s="6">
        <f t="shared" si="27"/>
        <v>28499.8</v>
      </c>
      <c r="M605" s="6">
        <v>12214.2</v>
      </c>
      <c r="N605" s="5" t="str">
        <f t="shared" si="28"/>
        <v>Apr</v>
      </c>
      <c r="O605" s="5" t="str">
        <f t="shared" si="29"/>
        <v xml:space="preserve"> 2024</v>
      </c>
    </row>
    <row r="606" spans="1:15" x14ac:dyDescent="0.35">
      <c r="A606" t="s">
        <v>1095</v>
      </c>
      <c r="B606" s="5" t="s">
        <v>1096</v>
      </c>
      <c r="C606" s="4" t="s">
        <v>22</v>
      </c>
      <c r="D606" s="4" t="s">
        <v>86</v>
      </c>
      <c r="E606" s="4" t="s">
        <v>87</v>
      </c>
      <c r="F606" s="4" t="s">
        <v>67</v>
      </c>
      <c r="G606" s="4" t="s">
        <v>68</v>
      </c>
      <c r="H606" s="4" t="s">
        <v>72</v>
      </c>
      <c r="I606" s="4" t="s">
        <v>47</v>
      </c>
      <c r="J606" s="3">
        <v>3</v>
      </c>
      <c r="K606" s="6">
        <v>102483</v>
      </c>
      <c r="L606" s="6">
        <f t="shared" si="27"/>
        <v>71738.099999999991</v>
      </c>
      <c r="M606" s="6">
        <v>30744.900000000009</v>
      </c>
      <c r="N606" s="5" t="str">
        <f t="shared" si="28"/>
        <v>Apr</v>
      </c>
      <c r="O606" s="5" t="str">
        <f t="shared" si="29"/>
        <v xml:space="preserve"> 2023</v>
      </c>
    </row>
    <row r="607" spans="1:15" x14ac:dyDescent="0.35">
      <c r="A607" t="s">
        <v>1097</v>
      </c>
      <c r="B607" s="5" t="s">
        <v>958</v>
      </c>
      <c r="C607" s="4" t="s">
        <v>31</v>
      </c>
      <c r="D607" s="4" t="s">
        <v>50</v>
      </c>
      <c r="E607" s="4" t="s">
        <v>51</v>
      </c>
      <c r="F607" s="4" t="s">
        <v>16</v>
      </c>
      <c r="G607" s="4" t="s">
        <v>122</v>
      </c>
      <c r="H607" s="4" t="s">
        <v>72</v>
      </c>
      <c r="I607" s="4" t="s">
        <v>47</v>
      </c>
      <c r="J607" s="3">
        <v>3</v>
      </c>
      <c r="K607" s="6">
        <v>102648</v>
      </c>
      <c r="L607" s="6">
        <f t="shared" si="27"/>
        <v>71853.599999999991</v>
      </c>
      <c r="M607" s="6">
        <v>30794.400000000009</v>
      </c>
      <c r="N607" s="5" t="str">
        <f t="shared" si="28"/>
        <v>Sep</v>
      </c>
      <c r="O607" s="5" t="str">
        <f t="shared" si="29"/>
        <v xml:space="preserve"> 2023</v>
      </c>
    </row>
    <row r="608" spans="1:15" x14ac:dyDescent="0.35">
      <c r="A608" t="s">
        <v>1098</v>
      </c>
      <c r="B608" s="5" t="s">
        <v>427</v>
      </c>
      <c r="C608" s="4" t="s">
        <v>55</v>
      </c>
      <c r="D608" s="4" t="s">
        <v>63</v>
      </c>
      <c r="E608" s="4" t="s">
        <v>64</v>
      </c>
      <c r="F608" s="4" t="s">
        <v>37</v>
      </c>
      <c r="G608" s="4" t="s">
        <v>38</v>
      </c>
      <c r="H608" s="4" t="s">
        <v>72</v>
      </c>
      <c r="I608" s="4" t="s">
        <v>28</v>
      </c>
      <c r="J608" s="3">
        <v>8</v>
      </c>
      <c r="K608" s="6">
        <v>309712</v>
      </c>
      <c r="L608" s="6">
        <f t="shared" si="27"/>
        <v>216798.4</v>
      </c>
      <c r="M608" s="6">
        <v>92913.600000000006</v>
      </c>
      <c r="N608" s="5" t="str">
        <f t="shared" si="28"/>
        <v>Apr</v>
      </c>
      <c r="O608" s="5" t="str">
        <f t="shared" si="29"/>
        <v xml:space="preserve"> 2023</v>
      </c>
    </row>
    <row r="609" spans="1:15" x14ac:dyDescent="0.35">
      <c r="A609" t="s">
        <v>1099</v>
      </c>
      <c r="B609" s="5" t="s">
        <v>568</v>
      </c>
      <c r="C609" s="4" t="s">
        <v>55</v>
      </c>
      <c r="D609" s="4" t="s">
        <v>98</v>
      </c>
      <c r="E609" s="4" t="s">
        <v>99</v>
      </c>
      <c r="F609" s="4" t="s">
        <v>37</v>
      </c>
      <c r="G609" s="4" t="s">
        <v>186</v>
      </c>
      <c r="H609" s="4" t="s">
        <v>18</v>
      </c>
      <c r="I609" s="4" t="s">
        <v>39</v>
      </c>
      <c r="J609" s="3">
        <v>4</v>
      </c>
      <c r="K609" s="6">
        <v>58760</v>
      </c>
      <c r="L609" s="6">
        <f t="shared" si="27"/>
        <v>41132</v>
      </c>
      <c r="M609" s="6">
        <v>17628</v>
      </c>
      <c r="N609" s="5" t="str">
        <f t="shared" si="28"/>
        <v>Nov</v>
      </c>
      <c r="O609" s="5" t="str">
        <f t="shared" si="29"/>
        <v xml:space="preserve"> 2024</v>
      </c>
    </row>
    <row r="610" spans="1:15" x14ac:dyDescent="0.35">
      <c r="A610" t="s">
        <v>1100</v>
      </c>
      <c r="B610" s="5" t="s">
        <v>1101</v>
      </c>
      <c r="C610" s="4" t="s">
        <v>13</v>
      </c>
      <c r="D610" s="4" t="s">
        <v>14</v>
      </c>
      <c r="E610" s="4" t="s">
        <v>15</v>
      </c>
      <c r="F610" s="4" t="s">
        <v>37</v>
      </c>
      <c r="G610" s="4" t="s">
        <v>183</v>
      </c>
      <c r="H610" s="4" t="s">
        <v>72</v>
      </c>
      <c r="I610" s="4" t="s">
        <v>60</v>
      </c>
      <c r="J610" s="3">
        <v>7</v>
      </c>
      <c r="K610" s="6">
        <v>313677</v>
      </c>
      <c r="L610" s="6">
        <f t="shared" si="27"/>
        <v>219573.9</v>
      </c>
      <c r="M610" s="6">
        <v>94103.1</v>
      </c>
      <c r="N610" s="5" t="str">
        <f t="shared" si="28"/>
        <v>Nov</v>
      </c>
      <c r="O610" s="5" t="str">
        <f t="shared" si="29"/>
        <v xml:space="preserve"> 2023</v>
      </c>
    </row>
    <row r="611" spans="1:15" x14ac:dyDescent="0.35">
      <c r="A611" t="s">
        <v>1102</v>
      </c>
      <c r="B611" s="5" t="s">
        <v>248</v>
      </c>
      <c r="C611" s="4" t="s">
        <v>31</v>
      </c>
      <c r="D611" s="4" t="s">
        <v>32</v>
      </c>
      <c r="E611" s="4" t="s">
        <v>33</v>
      </c>
      <c r="F611" s="4" t="s">
        <v>37</v>
      </c>
      <c r="G611" s="4" t="s">
        <v>183</v>
      </c>
      <c r="H611" s="4" t="s">
        <v>27</v>
      </c>
      <c r="I611" s="4" t="s">
        <v>19</v>
      </c>
      <c r="J611" s="3">
        <v>6</v>
      </c>
      <c r="K611" s="6">
        <v>149760</v>
      </c>
      <c r="L611" s="6">
        <f t="shared" si="27"/>
        <v>104832</v>
      </c>
      <c r="M611" s="6">
        <v>44928</v>
      </c>
      <c r="N611" s="5" t="str">
        <f t="shared" si="28"/>
        <v>Jun</v>
      </c>
      <c r="O611" s="5" t="str">
        <f t="shared" si="29"/>
        <v xml:space="preserve"> 2024</v>
      </c>
    </row>
    <row r="612" spans="1:15" x14ac:dyDescent="0.35">
      <c r="A612" t="s">
        <v>1103</v>
      </c>
      <c r="B612" s="5" t="s">
        <v>165</v>
      </c>
      <c r="C612" s="4" t="s">
        <v>13</v>
      </c>
      <c r="D612" s="4" t="s">
        <v>118</v>
      </c>
      <c r="E612" s="4" t="s">
        <v>119</v>
      </c>
      <c r="F612" s="4" t="s">
        <v>67</v>
      </c>
      <c r="G612" s="4" t="s">
        <v>68</v>
      </c>
      <c r="H612" s="4" t="s">
        <v>72</v>
      </c>
      <c r="I612" s="4" t="s">
        <v>47</v>
      </c>
      <c r="J612" s="3">
        <v>3</v>
      </c>
      <c r="K612" s="6">
        <v>32475</v>
      </c>
      <c r="L612" s="6">
        <f t="shared" si="27"/>
        <v>22732.5</v>
      </c>
      <c r="M612" s="6">
        <v>9742.5</v>
      </c>
      <c r="N612" s="5" t="str">
        <f t="shared" si="28"/>
        <v>Jul</v>
      </c>
      <c r="O612" s="5" t="str">
        <f t="shared" si="29"/>
        <v xml:space="preserve"> 2024</v>
      </c>
    </row>
    <row r="613" spans="1:15" x14ac:dyDescent="0.35">
      <c r="A613" t="s">
        <v>1104</v>
      </c>
      <c r="B613" s="5" t="s">
        <v>1080</v>
      </c>
      <c r="C613" s="4" t="s">
        <v>31</v>
      </c>
      <c r="D613" s="4" t="s">
        <v>50</v>
      </c>
      <c r="E613" s="4" t="s">
        <v>51</v>
      </c>
      <c r="F613" s="4" t="s">
        <v>16</v>
      </c>
      <c r="G613" s="4" t="s">
        <v>122</v>
      </c>
      <c r="H613" s="4" t="s">
        <v>18</v>
      </c>
      <c r="I613" s="4" t="s">
        <v>19</v>
      </c>
      <c r="J613" s="3">
        <v>2</v>
      </c>
      <c r="K613" s="6">
        <v>55118</v>
      </c>
      <c r="L613" s="6">
        <f t="shared" si="27"/>
        <v>38582.6</v>
      </c>
      <c r="M613" s="6">
        <v>16535.400000000001</v>
      </c>
      <c r="N613" s="5" t="str">
        <f t="shared" si="28"/>
        <v>Nov</v>
      </c>
      <c r="O613" s="5" t="str">
        <f t="shared" si="29"/>
        <v xml:space="preserve"> 2023</v>
      </c>
    </row>
    <row r="614" spans="1:15" x14ac:dyDescent="0.35">
      <c r="A614" t="s">
        <v>1105</v>
      </c>
      <c r="B614" s="5" t="s">
        <v>1106</v>
      </c>
      <c r="C614" s="4" t="s">
        <v>13</v>
      </c>
      <c r="D614" s="4" t="s">
        <v>14</v>
      </c>
      <c r="E614" s="4" t="s">
        <v>15</v>
      </c>
      <c r="F614" s="4" t="s">
        <v>67</v>
      </c>
      <c r="G614" s="4" t="s">
        <v>180</v>
      </c>
      <c r="H614" s="4" t="s">
        <v>72</v>
      </c>
      <c r="I614" s="4" t="s">
        <v>39</v>
      </c>
      <c r="J614" s="3">
        <v>10</v>
      </c>
      <c r="K614" s="6">
        <v>294910</v>
      </c>
      <c r="L614" s="6">
        <f t="shared" si="27"/>
        <v>206437</v>
      </c>
      <c r="M614" s="6">
        <v>88473</v>
      </c>
      <c r="N614" s="5" t="str">
        <f t="shared" si="28"/>
        <v>Jun</v>
      </c>
      <c r="O614" s="5" t="str">
        <f t="shared" si="29"/>
        <v xml:space="preserve"> 2024</v>
      </c>
    </row>
    <row r="615" spans="1:15" x14ac:dyDescent="0.35">
      <c r="A615" t="s">
        <v>1107</v>
      </c>
      <c r="B615" s="5" t="s">
        <v>283</v>
      </c>
      <c r="C615" s="4" t="s">
        <v>13</v>
      </c>
      <c r="D615" s="4" t="s">
        <v>162</v>
      </c>
      <c r="E615" s="4" t="s">
        <v>163</v>
      </c>
      <c r="F615" s="4" t="s">
        <v>16</v>
      </c>
      <c r="G615" s="4" t="s">
        <v>17</v>
      </c>
      <c r="H615" s="4" t="s">
        <v>27</v>
      </c>
      <c r="I615" s="4" t="s">
        <v>47</v>
      </c>
      <c r="J615" s="3">
        <v>5</v>
      </c>
      <c r="K615" s="6">
        <v>92170</v>
      </c>
      <c r="L615" s="6">
        <f t="shared" si="27"/>
        <v>64518.999999999993</v>
      </c>
      <c r="M615" s="6">
        <v>27651.000000000007</v>
      </c>
      <c r="N615" s="5" t="str">
        <f t="shared" si="28"/>
        <v>Jun</v>
      </c>
      <c r="O615" s="5" t="str">
        <f t="shared" si="29"/>
        <v xml:space="preserve"> 2023</v>
      </c>
    </row>
    <row r="616" spans="1:15" x14ac:dyDescent="0.35">
      <c r="A616" t="s">
        <v>1108</v>
      </c>
      <c r="B616" s="5" t="s">
        <v>704</v>
      </c>
      <c r="C616" s="4" t="s">
        <v>13</v>
      </c>
      <c r="D616" s="4" t="s">
        <v>162</v>
      </c>
      <c r="E616" s="4" t="s">
        <v>163</v>
      </c>
      <c r="F616" s="4" t="s">
        <v>16</v>
      </c>
      <c r="G616" s="4" t="s">
        <v>122</v>
      </c>
      <c r="H616" s="4" t="s">
        <v>72</v>
      </c>
      <c r="I616" s="4" t="s">
        <v>19</v>
      </c>
      <c r="J616" s="3">
        <v>1</v>
      </c>
      <c r="K616" s="6">
        <v>47415</v>
      </c>
      <c r="L616" s="6">
        <f t="shared" si="27"/>
        <v>33190.5</v>
      </c>
      <c r="M616" s="6">
        <v>14224.5</v>
      </c>
      <c r="N616" s="5" t="str">
        <f t="shared" si="28"/>
        <v>Dec</v>
      </c>
      <c r="O616" s="5" t="str">
        <f t="shared" si="29"/>
        <v xml:space="preserve"> 2024</v>
      </c>
    </row>
    <row r="617" spans="1:15" x14ac:dyDescent="0.35">
      <c r="A617" t="s">
        <v>1109</v>
      </c>
      <c r="B617" s="5" t="s">
        <v>603</v>
      </c>
      <c r="C617" s="4" t="s">
        <v>13</v>
      </c>
      <c r="D617" s="4" t="s">
        <v>125</v>
      </c>
      <c r="E617" s="4" t="s">
        <v>126</v>
      </c>
      <c r="F617" s="4" t="s">
        <v>16</v>
      </c>
      <c r="G617" s="4" t="s">
        <v>42</v>
      </c>
      <c r="H617" s="4" t="s">
        <v>18</v>
      </c>
      <c r="I617" s="4" t="s">
        <v>60</v>
      </c>
      <c r="J617" s="3">
        <v>3</v>
      </c>
      <c r="K617" s="6">
        <v>123939</v>
      </c>
      <c r="L617" s="6">
        <f t="shared" si="27"/>
        <v>86757.299999999988</v>
      </c>
      <c r="M617" s="6">
        <v>37181.700000000012</v>
      </c>
      <c r="N617" s="5" t="str">
        <f t="shared" si="28"/>
        <v>Oct</v>
      </c>
      <c r="O617" s="5" t="str">
        <f t="shared" si="29"/>
        <v xml:space="preserve"> 2024</v>
      </c>
    </row>
    <row r="618" spans="1:15" x14ac:dyDescent="0.35">
      <c r="A618" t="s">
        <v>1110</v>
      </c>
      <c r="B618" s="5" t="s">
        <v>1111</v>
      </c>
      <c r="C618" s="4" t="s">
        <v>22</v>
      </c>
      <c r="D618" s="4" t="s">
        <v>90</v>
      </c>
      <c r="E618" s="4" t="s">
        <v>110</v>
      </c>
      <c r="F618" s="4" t="s">
        <v>67</v>
      </c>
      <c r="G618" s="4" t="s">
        <v>113</v>
      </c>
      <c r="H618" s="4" t="s">
        <v>72</v>
      </c>
      <c r="I618" s="4" t="s">
        <v>19</v>
      </c>
      <c r="J618" s="3">
        <v>5</v>
      </c>
      <c r="K618" s="6">
        <v>229705</v>
      </c>
      <c r="L618" s="6">
        <f t="shared" si="27"/>
        <v>160793.5</v>
      </c>
      <c r="M618" s="6">
        <v>68911.5</v>
      </c>
      <c r="N618" s="5" t="str">
        <f t="shared" si="28"/>
        <v>May</v>
      </c>
      <c r="O618" s="5" t="str">
        <f t="shared" si="29"/>
        <v xml:space="preserve"> 2023</v>
      </c>
    </row>
    <row r="619" spans="1:15" x14ac:dyDescent="0.35">
      <c r="A619" t="s">
        <v>1112</v>
      </c>
      <c r="B619" s="5" t="s">
        <v>265</v>
      </c>
      <c r="C619" s="4" t="s">
        <v>55</v>
      </c>
      <c r="D619" s="4" t="s">
        <v>82</v>
      </c>
      <c r="E619" s="4" t="s">
        <v>83</v>
      </c>
      <c r="F619" s="4" t="s">
        <v>25</v>
      </c>
      <c r="G619" s="4" t="s">
        <v>71</v>
      </c>
      <c r="H619" s="4" t="s">
        <v>72</v>
      </c>
      <c r="I619" s="4" t="s">
        <v>28</v>
      </c>
      <c r="J619" s="3">
        <v>7</v>
      </c>
      <c r="K619" s="6">
        <v>262171</v>
      </c>
      <c r="L619" s="6">
        <f t="shared" si="27"/>
        <v>183519.69999999998</v>
      </c>
      <c r="M619" s="6">
        <v>78651.300000000017</v>
      </c>
      <c r="N619" s="5" t="str">
        <f t="shared" si="28"/>
        <v>Apr</v>
      </c>
      <c r="O619" s="5" t="str">
        <f t="shared" si="29"/>
        <v xml:space="preserve"> 2024</v>
      </c>
    </row>
    <row r="620" spans="1:15" x14ac:dyDescent="0.35">
      <c r="A620" t="s">
        <v>1113</v>
      </c>
      <c r="B620" s="5" t="s">
        <v>699</v>
      </c>
      <c r="C620" s="4" t="s">
        <v>31</v>
      </c>
      <c r="D620" s="4" t="s">
        <v>32</v>
      </c>
      <c r="E620" s="4" t="s">
        <v>33</v>
      </c>
      <c r="F620" s="4" t="s">
        <v>67</v>
      </c>
      <c r="G620" s="4" t="s">
        <v>68</v>
      </c>
      <c r="H620" s="4" t="s">
        <v>18</v>
      </c>
      <c r="I620" s="4" t="s">
        <v>39</v>
      </c>
      <c r="J620" s="3">
        <v>4</v>
      </c>
      <c r="K620" s="6">
        <v>114396</v>
      </c>
      <c r="L620" s="6">
        <f t="shared" si="27"/>
        <v>80077.2</v>
      </c>
      <c r="M620" s="6">
        <v>34318.800000000003</v>
      </c>
      <c r="N620" s="5" t="str">
        <f t="shared" si="28"/>
        <v>Mar</v>
      </c>
      <c r="O620" s="5" t="str">
        <f t="shared" si="29"/>
        <v xml:space="preserve"> 2024</v>
      </c>
    </row>
    <row r="621" spans="1:15" x14ac:dyDescent="0.35">
      <c r="A621" t="s">
        <v>1114</v>
      </c>
      <c r="B621" s="5" t="s">
        <v>1115</v>
      </c>
      <c r="C621" s="4" t="s">
        <v>13</v>
      </c>
      <c r="D621" s="4" t="s">
        <v>125</v>
      </c>
      <c r="E621" s="4" t="s">
        <v>126</v>
      </c>
      <c r="F621" s="4" t="s">
        <v>37</v>
      </c>
      <c r="G621" s="4" t="s">
        <v>148</v>
      </c>
      <c r="H621" s="4" t="s">
        <v>27</v>
      </c>
      <c r="I621" s="4" t="s">
        <v>28</v>
      </c>
      <c r="J621" s="3">
        <v>1</v>
      </c>
      <c r="K621" s="6">
        <v>32427</v>
      </c>
      <c r="L621" s="6">
        <f t="shared" si="27"/>
        <v>22698.899999999998</v>
      </c>
      <c r="M621" s="6">
        <v>9728.1000000000022</v>
      </c>
      <c r="N621" s="5" t="str">
        <f t="shared" si="28"/>
        <v>Jul</v>
      </c>
      <c r="O621" s="5" t="str">
        <f t="shared" si="29"/>
        <v xml:space="preserve"> 2024</v>
      </c>
    </row>
    <row r="622" spans="1:15" x14ac:dyDescent="0.35">
      <c r="A622" t="s">
        <v>1116</v>
      </c>
      <c r="B622" s="5" t="s">
        <v>754</v>
      </c>
      <c r="C622" s="4" t="s">
        <v>55</v>
      </c>
      <c r="D622" s="4" t="s">
        <v>98</v>
      </c>
      <c r="E622" s="4" t="s">
        <v>99</v>
      </c>
      <c r="F622" s="4" t="s">
        <v>37</v>
      </c>
      <c r="G622" s="4" t="s">
        <v>148</v>
      </c>
      <c r="H622" s="4" t="s">
        <v>72</v>
      </c>
      <c r="I622" s="4" t="s">
        <v>28</v>
      </c>
      <c r="J622" s="3">
        <v>3</v>
      </c>
      <c r="K622" s="6">
        <v>149775</v>
      </c>
      <c r="L622" s="6">
        <f t="shared" si="27"/>
        <v>104842.5</v>
      </c>
      <c r="M622" s="6">
        <v>44932.5</v>
      </c>
      <c r="N622" s="5" t="str">
        <f t="shared" si="28"/>
        <v>Jan</v>
      </c>
      <c r="O622" s="5" t="str">
        <f t="shared" si="29"/>
        <v xml:space="preserve"> 2023</v>
      </c>
    </row>
    <row r="623" spans="1:15" x14ac:dyDescent="0.35">
      <c r="A623" t="s">
        <v>1117</v>
      </c>
      <c r="B623" s="5" t="s">
        <v>610</v>
      </c>
      <c r="C623" s="4" t="s">
        <v>22</v>
      </c>
      <c r="D623" s="4" t="s">
        <v>23</v>
      </c>
      <c r="E623" s="4" t="s">
        <v>24</v>
      </c>
      <c r="F623" s="4" t="s">
        <v>16</v>
      </c>
      <c r="G623" s="4" t="s">
        <v>122</v>
      </c>
      <c r="H623" s="4" t="s">
        <v>18</v>
      </c>
      <c r="I623" s="4" t="s">
        <v>47</v>
      </c>
      <c r="J623" s="3">
        <v>8</v>
      </c>
      <c r="K623" s="6">
        <v>314784</v>
      </c>
      <c r="L623" s="6">
        <f t="shared" si="27"/>
        <v>220348.79999999999</v>
      </c>
      <c r="M623" s="6">
        <v>94435.200000000012</v>
      </c>
      <c r="N623" s="5" t="str">
        <f t="shared" si="28"/>
        <v>Sep</v>
      </c>
      <c r="O623" s="5" t="str">
        <f t="shared" si="29"/>
        <v xml:space="preserve"> 2024</v>
      </c>
    </row>
    <row r="624" spans="1:15" x14ac:dyDescent="0.35">
      <c r="A624" t="s">
        <v>1118</v>
      </c>
      <c r="B624" s="5" t="s">
        <v>798</v>
      </c>
      <c r="C624" s="4" t="s">
        <v>31</v>
      </c>
      <c r="D624" s="4" t="s">
        <v>104</v>
      </c>
      <c r="E624" s="4" t="s">
        <v>105</v>
      </c>
      <c r="F624" s="4" t="s">
        <v>25</v>
      </c>
      <c r="G624" s="4" t="s">
        <v>71</v>
      </c>
      <c r="H624" s="4" t="s">
        <v>27</v>
      </c>
      <c r="I624" s="4" t="s">
        <v>60</v>
      </c>
      <c r="J624" s="3">
        <v>9</v>
      </c>
      <c r="K624" s="6">
        <v>369000</v>
      </c>
      <c r="L624" s="6">
        <f t="shared" si="27"/>
        <v>258299.99999999997</v>
      </c>
      <c r="M624" s="6">
        <v>110700.00000000003</v>
      </c>
      <c r="N624" s="5" t="str">
        <f t="shared" si="28"/>
        <v>Jul</v>
      </c>
      <c r="O624" s="5" t="str">
        <f t="shared" si="29"/>
        <v xml:space="preserve"> 2024</v>
      </c>
    </row>
    <row r="625" spans="1:15" x14ac:dyDescent="0.35">
      <c r="A625" t="s">
        <v>1119</v>
      </c>
      <c r="B625" s="5" t="s">
        <v>1120</v>
      </c>
      <c r="C625" s="4" t="s">
        <v>31</v>
      </c>
      <c r="D625" s="4" t="s">
        <v>32</v>
      </c>
      <c r="E625" s="4" t="s">
        <v>33</v>
      </c>
      <c r="F625" s="4" t="s">
        <v>16</v>
      </c>
      <c r="G625" s="4" t="s">
        <v>122</v>
      </c>
      <c r="H625" s="4" t="s">
        <v>18</v>
      </c>
      <c r="I625" s="4" t="s">
        <v>60</v>
      </c>
      <c r="J625" s="3">
        <v>1</v>
      </c>
      <c r="K625" s="6">
        <v>33949</v>
      </c>
      <c r="L625" s="6">
        <f t="shared" si="27"/>
        <v>23764.3</v>
      </c>
      <c r="M625" s="6">
        <v>10184.700000000001</v>
      </c>
      <c r="N625" s="5" t="str">
        <f t="shared" si="28"/>
        <v>May</v>
      </c>
      <c r="O625" s="5" t="str">
        <f t="shared" si="29"/>
        <v xml:space="preserve"> 2023</v>
      </c>
    </row>
    <row r="626" spans="1:15" x14ac:dyDescent="0.35">
      <c r="A626" t="s">
        <v>1121</v>
      </c>
      <c r="B626" s="5" t="s">
        <v>1122</v>
      </c>
      <c r="C626" s="4" t="s">
        <v>55</v>
      </c>
      <c r="D626" s="4" t="s">
        <v>56</v>
      </c>
      <c r="E626" s="4" t="s">
        <v>57</v>
      </c>
      <c r="F626" s="4" t="s">
        <v>67</v>
      </c>
      <c r="G626" s="4" t="s">
        <v>68</v>
      </c>
      <c r="H626" s="4" t="s">
        <v>18</v>
      </c>
      <c r="I626" s="4" t="s">
        <v>28</v>
      </c>
      <c r="J626" s="3">
        <v>5</v>
      </c>
      <c r="K626" s="6">
        <v>22565</v>
      </c>
      <c r="L626" s="6">
        <f t="shared" si="27"/>
        <v>15795.499999999998</v>
      </c>
      <c r="M626" s="6">
        <v>6769.5000000000018</v>
      </c>
      <c r="N626" s="5" t="str">
        <f t="shared" si="28"/>
        <v>Mar</v>
      </c>
      <c r="O626" s="5" t="str">
        <f t="shared" si="29"/>
        <v xml:space="preserve"> 2023</v>
      </c>
    </row>
    <row r="627" spans="1:15" x14ac:dyDescent="0.35">
      <c r="A627" t="s">
        <v>1123</v>
      </c>
      <c r="B627" s="5" t="s">
        <v>552</v>
      </c>
      <c r="C627" s="4" t="s">
        <v>31</v>
      </c>
      <c r="D627" s="4" t="s">
        <v>45</v>
      </c>
      <c r="E627" s="4" t="s">
        <v>46</v>
      </c>
      <c r="F627" s="4" t="s">
        <v>67</v>
      </c>
      <c r="G627" s="4" t="s">
        <v>134</v>
      </c>
      <c r="H627" s="4" t="s">
        <v>27</v>
      </c>
      <c r="I627" s="4" t="s">
        <v>19</v>
      </c>
      <c r="J627" s="3">
        <v>3</v>
      </c>
      <c r="K627" s="6">
        <v>87300</v>
      </c>
      <c r="L627" s="6">
        <f t="shared" si="27"/>
        <v>61109.999999999993</v>
      </c>
      <c r="M627" s="6">
        <v>26190.000000000007</v>
      </c>
      <c r="N627" s="5" t="str">
        <f t="shared" si="28"/>
        <v>May</v>
      </c>
      <c r="O627" s="5" t="str">
        <f t="shared" si="29"/>
        <v xml:space="preserve"> 2023</v>
      </c>
    </row>
    <row r="628" spans="1:15" x14ac:dyDescent="0.35">
      <c r="A628" t="s">
        <v>1124</v>
      </c>
      <c r="B628" s="5" t="s">
        <v>1125</v>
      </c>
      <c r="C628" s="4" t="s">
        <v>55</v>
      </c>
      <c r="D628" s="4" t="s">
        <v>82</v>
      </c>
      <c r="E628" s="4" t="s">
        <v>83</v>
      </c>
      <c r="F628" s="4" t="s">
        <v>37</v>
      </c>
      <c r="G628" s="4" t="s">
        <v>183</v>
      </c>
      <c r="H628" s="4" t="s">
        <v>27</v>
      </c>
      <c r="I628" s="4" t="s">
        <v>47</v>
      </c>
      <c r="J628" s="3">
        <v>6</v>
      </c>
      <c r="K628" s="6">
        <v>85572</v>
      </c>
      <c r="L628" s="6">
        <f t="shared" si="27"/>
        <v>59900.399999999994</v>
      </c>
      <c r="M628" s="6">
        <v>25671.600000000006</v>
      </c>
      <c r="N628" s="5" t="str">
        <f t="shared" si="28"/>
        <v>Mar</v>
      </c>
      <c r="O628" s="5" t="str">
        <f t="shared" si="29"/>
        <v xml:space="preserve"> 2023</v>
      </c>
    </row>
    <row r="629" spans="1:15" x14ac:dyDescent="0.35">
      <c r="A629" t="s">
        <v>1126</v>
      </c>
      <c r="B629" s="5" t="s">
        <v>491</v>
      </c>
      <c r="C629" s="4" t="s">
        <v>31</v>
      </c>
      <c r="D629" s="4" t="s">
        <v>104</v>
      </c>
      <c r="E629" s="4" t="s">
        <v>105</v>
      </c>
      <c r="F629" s="4" t="s">
        <v>67</v>
      </c>
      <c r="G629" s="4" t="s">
        <v>134</v>
      </c>
      <c r="H629" s="4" t="s">
        <v>18</v>
      </c>
      <c r="I629" s="4" t="s">
        <v>60</v>
      </c>
      <c r="J629" s="3">
        <v>1</v>
      </c>
      <c r="K629" s="6">
        <v>6533</v>
      </c>
      <c r="L629" s="6">
        <f t="shared" si="27"/>
        <v>4573.0999999999995</v>
      </c>
      <c r="M629" s="6">
        <v>1959.9000000000005</v>
      </c>
      <c r="N629" s="5" t="str">
        <f t="shared" si="28"/>
        <v>Mar</v>
      </c>
      <c r="O629" s="5" t="str">
        <f t="shared" si="29"/>
        <v xml:space="preserve"> 2024</v>
      </c>
    </row>
    <row r="630" spans="1:15" x14ac:dyDescent="0.35">
      <c r="A630" t="s">
        <v>1127</v>
      </c>
      <c r="B630" s="5" t="s">
        <v>1128</v>
      </c>
      <c r="C630" s="4" t="s">
        <v>13</v>
      </c>
      <c r="D630" s="4" t="s">
        <v>118</v>
      </c>
      <c r="E630" s="4" t="s">
        <v>119</v>
      </c>
      <c r="F630" s="4" t="s">
        <v>37</v>
      </c>
      <c r="G630" s="4" t="s">
        <v>148</v>
      </c>
      <c r="H630" s="4" t="s">
        <v>18</v>
      </c>
      <c r="I630" s="4" t="s">
        <v>39</v>
      </c>
      <c r="J630" s="3">
        <v>1</v>
      </c>
      <c r="K630" s="6">
        <v>2628</v>
      </c>
      <c r="L630" s="6">
        <f t="shared" si="27"/>
        <v>1839.6</v>
      </c>
      <c r="M630" s="6">
        <v>788.40000000000009</v>
      </c>
      <c r="N630" s="5" t="str">
        <f t="shared" si="28"/>
        <v>Feb</v>
      </c>
      <c r="O630" s="5" t="str">
        <f t="shared" si="29"/>
        <v xml:space="preserve"> 2023</v>
      </c>
    </row>
    <row r="631" spans="1:15" x14ac:dyDescent="0.35">
      <c r="A631" t="s">
        <v>1129</v>
      </c>
      <c r="B631" s="5" t="s">
        <v>1130</v>
      </c>
      <c r="C631" s="4" t="s">
        <v>55</v>
      </c>
      <c r="D631" s="4" t="s">
        <v>56</v>
      </c>
      <c r="E631" s="4" t="s">
        <v>57</v>
      </c>
      <c r="F631" s="4" t="s">
        <v>16</v>
      </c>
      <c r="G631" s="4" t="s">
        <v>42</v>
      </c>
      <c r="H631" s="4" t="s">
        <v>72</v>
      </c>
      <c r="I631" s="4" t="s">
        <v>39</v>
      </c>
      <c r="J631" s="3">
        <v>10</v>
      </c>
      <c r="K631" s="6">
        <v>385500</v>
      </c>
      <c r="L631" s="6">
        <f t="shared" si="27"/>
        <v>269850</v>
      </c>
      <c r="M631" s="6">
        <v>115650</v>
      </c>
      <c r="N631" s="5" t="str">
        <f t="shared" si="28"/>
        <v>Jun</v>
      </c>
      <c r="O631" s="5" t="str">
        <f t="shared" si="29"/>
        <v xml:space="preserve"> 2023</v>
      </c>
    </row>
    <row r="632" spans="1:15" x14ac:dyDescent="0.35">
      <c r="A632" t="s">
        <v>1131</v>
      </c>
      <c r="B632" s="5" t="s">
        <v>1132</v>
      </c>
      <c r="C632" s="4" t="s">
        <v>31</v>
      </c>
      <c r="D632" s="4" t="s">
        <v>45</v>
      </c>
      <c r="E632" s="4" t="s">
        <v>46</v>
      </c>
      <c r="F632" s="4" t="s">
        <v>37</v>
      </c>
      <c r="G632" s="4" t="s">
        <v>38</v>
      </c>
      <c r="H632" s="4" t="s">
        <v>18</v>
      </c>
      <c r="I632" s="4" t="s">
        <v>19</v>
      </c>
      <c r="J632" s="3">
        <v>10</v>
      </c>
      <c r="K632" s="6">
        <v>216300</v>
      </c>
      <c r="L632" s="6">
        <f t="shared" si="27"/>
        <v>151410</v>
      </c>
      <c r="M632" s="6">
        <v>64890</v>
      </c>
      <c r="N632" s="5" t="str">
        <f t="shared" si="28"/>
        <v>Aug</v>
      </c>
      <c r="O632" s="5" t="str">
        <f t="shared" si="29"/>
        <v xml:space="preserve"> 2023</v>
      </c>
    </row>
    <row r="633" spans="1:15" x14ac:dyDescent="0.35">
      <c r="A633" t="s">
        <v>1133</v>
      </c>
      <c r="B633" s="5" t="s">
        <v>95</v>
      </c>
      <c r="C633" s="4" t="s">
        <v>13</v>
      </c>
      <c r="D633" s="4" t="s">
        <v>162</v>
      </c>
      <c r="E633" s="4" t="s">
        <v>163</v>
      </c>
      <c r="F633" s="4" t="s">
        <v>16</v>
      </c>
      <c r="G633" s="4" t="s">
        <v>17</v>
      </c>
      <c r="H633" s="4" t="s">
        <v>18</v>
      </c>
      <c r="I633" s="4" t="s">
        <v>28</v>
      </c>
      <c r="J633" s="3">
        <v>10</v>
      </c>
      <c r="K633" s="6">
        <v>85850</v>
      </c>
      <c r="L633" s="6">
        <f t="shared" si="27"/>
        <v>60094.999999999993</v>
      </c>
      <c r="M633" s="6">
        <v>25755.000000000007</v>
      </c>
      <c r="N633" s="5" t="str">
        <f t="shared" si="28"/>
        <v>Jul</v>
      </c>
      <c r="O633" s="5" t="str">
        <f t="shared" si="29"/>
        <v xml:space="preserve"> 2024</v>
      </c>
    </row>
    <row r="634" spans="1:15" x14ac:dyDescent="0.35">
      <c r="A634" t="s">
        <v>1134</v>
      </c>
      <c r="B634" s="5" t="s">
        <v>684</v>
      </c>
      <c r="C634" s="4" t="s">
        <v>22</v>
      </c>
      <c r="D634" s="4" t="s">
        <v>90</v>
      </c>
      <c r="E634" s="4" t="s">
        <v>110</v>
      </c>
      <c r="F634" s="4" t="s">
        <v>25</v>
      </c>
      <c r="G634" s="4" t="s">
        <v>71</v>
      </c>
      <c r="H634" s="4" t="s">
        <v>18</v>
      </c>
      <c r="I634" s="4" t="s">
        <v>60</v>
      </c>
      <c r="J634" s="3">
        <v>4</v>
      </c>
      <c r="K634" s="6">
        <v>93728</v>
      </c>
      <c r="L634" s="6">
        <f t="shared" si="27"/>
        <v>65609.599999999991</v>
      </c>
      <c r="M634" s="6">
        <v>28118.400000000009</v>
      </c>
      <c r="N634" s="5" t="str">
        <f t="shared" si="28"/>
        <v>Aug</v>
      </c>
      <c r="O634" s="5" t="str">
        <f t="shared" si="29"/>
        <v xml:space="preserve"> 2024</v>
      </c>
    </row>
    <row r="635" spans="1:15" x14ac:dyDescent="0.35">
      <c r="A635" t="s">
        <v>1135</v>
      </c>
      <c r="B635" s="5" t="s">
        <v>1136</v>
      </c>
      <c r="C635" s="4" t="s">
        <v>13</v>
      </c>
      <c r="D635" s="4" t="s">
        <v>125</v>
      </c>
      <c r="E635" s="4" t="s">
        <v>126</v>
      </c>
      <c r="F635" s="4" t="s">
        <v>67</v>
      </c>
      <c r="G635" s="4" t="s">
        <v>180</v>
      </c>
      <c r="H635" s="4" t="s">
        <v>72</v>
      </c>
      <c r="I635" s="4" t="s">
        <v>28</v>
      </c>
      <c r="J635" s="3">
        <v>7</v>
      </c>
      <c r="K635" s="6">
        <v>295827</v>
      </c>
      <c r="L635" s="6">
        <f t="shared" si="27"/>
        <v>207078.9</v>
      </c>
      <c r="M635" s="6">
        <v>88748.1</v>
      </c>
      <c r="N635" s="5" t="str">
        <f t="shared" si="28"/>
        <v>Nov</v>
      </c>
      <c r="O635" s="5" t="str">
        <f t="shared" si="29"/>
        <v xml:space="preserve"> 2023</v>
      </c>
    </row>
    <row r="636" spans="1:15" x14ac:dyDescent="0.35">
      <c r="A636" t="s">
        <v>1137</v>
      </c>
      <c r="B636" s="5" t="s">
        <v>1071</v>
      </c>
      <c r="C636" s="4" t="s">
        <v>31</v>
      </c>
      <c r="D636" s="4" t="s">
        <v>45</v>
      </c>
      <c r="E636" s="4" t="s">
        <v>46</v>
      </c>
      <c r="F636" s="4" t="s">
        <v>25</v>
      </c>
      <c r="G636" s="4" t="s">
        <v>77</v>
      </c>
      <c r="H636" s="4" t="s">
        <v>27</v>
      </c>
      <c r="I636" s="4" t="s">
        <v>19</v>
      </c>
      <c r="J636" s="3">
        <v>7</v>
      </c>
      <c r="K636" s="6">
        <v>263424</v>
      </c>
      <c r="L636" s="6">
        <f t="shared" si="27"/>
        <v>184396.79999999999</v>
      </c>
      <c r="M636" s="6">
        <v>79027.200000000012</v>
      </c>
      <c r="N636" s="5" t="str">
        <f t="shared" si="28"/>
        <v>Mar</v>
      </c>
      <c r="O636" s="5" t="str">
        <f t="shared" si="29"/>
        <v xml:space="preserve"> 2024</v>
      </c>
    </row>
    <row r="637" spans="1:15" x14ac:dyDescent="0.35">
      <c r="A637" t="s">
        <v>1138</v>
      </c>
      <c r="B637" s="5" t="s">
        <v>1139</v>
      </c>
      <c r="C637" s="4" t="s">
        <v>13</v>
      </c>
      <c r="D637" s="4" t="s">
        <v>118</v>
      </c>
      <c r="E637" s="4" t="s">
        <v>119</v>
      </c>
      <c r="F637" s="4" t="s">
        <v>67</v>
      </c>
      <c r="G637" s="4" t="s">
        <v>134</v>
      </c>
      <c r="H637" s="4" t="s">
        <v>72</v>
      </c>
      <c r="I637" s="4" t="s">
        <v>19</v>
      </c>
      <c r="J637" s="3">
        <v>7</v>
      </c>
      <c r="K637" s="6">
        <v>303093</v>
      </c>
      <c r="L637" s="6">
        <f t="shared" si="27"/>
        <v>212165.09999999998</v>
      </c>
      <c r="M637" s="6">
        <v>90927.900000000023</v>
      </c>
      <c r="N637" s="5" t="str">
        <f t="shared" si="28"/>
        <v>Mar</v>
      </c>
      <c r="O637" s="5" t="str">
        <f t="shared" si="29"/>
        <v xml:space="preserve"> 2023</v>
      </c>
    </row>
    <row r="638" spans="1:15" x14ac:dyDescent="0.35">
      <c r="A638" t="s">
        <v>1140</v>
      </c>
      <c r="B638" s="5" t="s">
        <v>1141</v>
      </c>
      <c r="C638" s="4" t="s">
        <v>31</v>
      </c>
      <c r="D638" s="4" t="s">
        <v>45</v>
      </c>
      <c r="E638" s="4" t="s">
        <v>46</v>
      </c>
      <c r="F638" s="4" t="s">
        <v>16</v>
      </c>
      <c r="G638" s="4" t="s">
        <v>17</v>
      </c>
      <c r="H638" s="4" t="s">
        <v>18</v>
      </c>
      <c r="I638" s="4" t="s">
        <v>39</v>
      </c>
      <c r="J638" s="3">
        <v>8</v>
      </c>
      <c r="K638" s="6">
        <v>67184</v>
      </c>
      <c r="L638" s="6">
        <f t="shared" si="27"/>
        <v>47028.799999999996</v>
      </c>
      <c r="M638" s="6">
        <v>20155.200000000004</v>
      </c>
      <c r="N638" s="5" t="str">
        <f t="shared" si="28"/>
        <v>May</v>
      </c>
      <c r="O638" s="5" t="str">
        <f t="shared" si="29"/>
        <v xml:space="preserve"> 2024</v>
      </c>
    </row>
    <row r="639" spans="1:15" x14ac:dyDescent="0.35">
      <c r="A639" t="s">
        <v>1142</v>
      </c>
      <c r="B639" s="5" t="s">
        <v>1143</v>
      </c>
      <c r="C639" s="4" t="s">
        <v>55</v>
      </c>
      <c r="D639" s="4" t="s">
        <v>82</v>
      </c>
      <c r="E639" s="4" t="s">
        <v>83</v>
      </c>
      <c r="F639" s="4" t="s">
        <v>25</v>
      </c>
      <c r="G639" s="4" t="s">
        <v>77</v>
      </c>
      <c r="H639" s="4" t="s">
        <v>18</v>
      </c>
      <c r="I639" s="4" t="s">
        <v>47</v>
      </c>
      <c r="J639" s="3">
        <v>7</v>
      </c>
      <c r="K639" s="6">
        <v>263018</v>
      </c>
      <c r="L639" s="6">
        <f t="shared" si="27"/>
        <v>184112.59999999998</v>
      </c>
      <c r="M639" s="6">
        <v>78905.400000000023</v>
      </c>
      <c r="N639" s="5" t="str">
        <f t="shared" si="28"/>
        <v>Aug</v>
      </c>
      <c r="O639" s="5" t="str">
        <f t="shared" si="29"/>
        <v xml:space="preserve"> 2024</v>
      </c>
    </row>
    <row r="640" spans="1:15" x14ac:dyDescent="0.35">
      <c r="A640" t="s">
        <v>1144</v>
      </c>
      <c r="B640" s="5" t="s">
        <v>581</v>
      </c>
      <c r="C640" s="4" t="s">
        <v>22</v>
      </c>
      <c r="D640" s="4" t="s">
        <v>23</v>
      </c>
      <c r="E640" s="4" t="s">
        <v>24</v>
      </c>
      <c r="F640" s="4" t="s">
        <v>37</v>
      </c>
      <c r="G640" s="4" t="s">
        <v>186</v>
      </c>
      <c r="H640" s="4" t="s">
        <v>72</v>
      </c>
      <c r="I640" s="4" t="s">
        <v>39</v>
      </c>
      <c r="J640" s="3">
        <v>10</v>
      </c>
      <c r="K640" s="6">
        <v>198120</v>
      </c>
      <c r="L640" s="6">
        <f t="shared" si="27"/>
        <v>138684</v>
      </c>
      <c r="M640" s="6">
        <v>59436</v>
      </c>
      <c r="N640" s="5" t="str">
        <f t="shared" si="28"/>
        <v>Jan</v>
      </c>
      <c r="O640" s="5" t="str">
        <f t="shared" si="29"/>
        <v xml:space="preserve"> 2024</v>
      </c>
    </row>
    <row r="641" spans="1:15" x14ac:dyDescent="0.35">
      <c r="A641" t="s">
        <v>1145</v>
      </c>
      <c r="B641" s="5" t="s">
        <v>1146</v>
      </c>
      <c r="C641" s="4" t="s">
        <v>22</v>
      </c>
      <c r="D641" s="4" t="s">
        <v>90</v>
      </c>
      <c r="E641" s="4" t="s">
        <v>91</v>
      </c>
      <c r="F641" s="4" t="s">
        <v>37</v>
      </c>
      <c r="G641" s="4" t="s">
        <v>38</v>
      </c>
      <c r="H641" s="4" t="s">
        <v>72</v>
      </c>
      <c r="I641" s="4" t="s">
        <v>28</v>
      </c>
      <c r="J641" s="3">
        <v>6</v>
      </c>
      <c r="K641" s="6">
        <v>293052</v>
      </c>
      <c r="L641" s="6">
        <f t="shared" si="27"/>
        <v>205136.4</v>
      </c>
      <c r="M641" s="6">
        <v>87915.6</v>
      </c>
      <c r="N641" s="5" t="str">
        <f t="shared" si="28"/>
        <v>Jan</v>
      </c>
      <c r="O641" s="5" t="str">
        <f t="shared" si="29"/>
        <v xml:space="preserve"> 2023</v>
      </c>
    </row>
    <row r="642" spans="1:15" x14ac:dyDescent="0.35">
      <c r="A642" t="s">
        <v>1147</v>
      </c>
      <c r="B642" s="5" t="s">
        <v>1148</v>
      </c>
      <c r="C642" s="4" t="s">
        <v>13</v>
      </c>
      <c r="D642" s="4" t="s">
        <v>125</v>
      </c>
      <c r="E642" s="4" t="s">
        <v>126</v>
      </c>
      <c r="F642" s="4" t="s">
        <v>37</v>
      </c>
      <c r="G642" s="4" t="s">
        <v>183</v>
      </c>
      <c r="H642" s="4" t="s">
        <v>72</v>
      </c>
      <c r="I642" s="4" t="s">
        <v>60</v>
      </c>
      <c r="J642" s="3">
        <v>5</v>
      </c>
      <c r="K642" s="6">
        <v>223795</v>
      </c>
      <c r="L642" s="6">
        <f t="shared" ref="L642:L705" si="30">K642*0.7</f>
        <v>156656.5</v>
      </c>
      <c r="M642" s="6">
        <v>67138.5</v>
      </c>
      <c r="N642" s="5" t="str">
        <f t="shared" ref="N642:N705" si="31">TEXT(B642,"mmm")</f>
        <v>Apr</v>
      </c>
      <c r="O642" s="5" t="str">
        <f t="shared" ref="O642:O705" si="32">TEXT(B642," yyyy")</f>
        <v xml:space="preserve"> 2024</v>
      </c>
    </row>
    <row r="643" spans="1:15" x14ac:dyDescent="0.35">
      <c r="A643" t="s">
        <v>1149</v>
      </c>
      <c r="B643" s="5" t="s">
        <v>238</v>
      </c>
      <c r="C643" s="4" t="s">
        <v>13</v>
      </c>
      <c r="D643" s="4" t="s">
        <v>162</v>
      </c>
      <c r="E643" s="4" t="s">
        <v>163</v>
      </c>
      <c r="F643" s="4" t="s">
        <v>25</v>
      </c>
      <c r="G643" s="4" t="s">
        <v>77</v>
      </c>
      <c r="H643" s="4" t="s">
        <v>18</v>
      </c>
      <c r="I643" s="4" t="s">
        <v>60</v>
      </c>
      <c r="J643" s="3">
        <v>10</v>
      </c>
      <c r="K643" s="6">
        <v>321180</v>
      </c>
      <c r="L643" s="6">
        <f t="shared" si="30"/>
        <v>224826</v>
      </c>
      <c r="M643" s="6">
        <v>96354</v>
      </c>
      <c r="N643" s="5" t="str">
        <f t="shared" si="31"/>
        <v>Sep</v>
      </c>
      <c r="O643" s="5" t="str">
        <f t="shared" si="32"/>
        <v xml:space="preserve"> 2023</v>
      </c>
    </row>
    <row r="644" spans="1:15" x14ac:dyDescent="0.35">
      <c r="A644" t="s">
        <v>1150</v>
      </c>
      <c r="B644" s="5" t="s">
        <v>928</v>
      </c>
      <c r="C644" s="4" t="s">
        <v>22</v>
      </c>
      <c r="D644" s="4" t="s">
        <v>90</v>
      </c>
      <c r="E644" s="4" t="s">
        <v>110</v>
      </c>
      <c r="F644" s="4" t="s">
        <v>37</v>
      </c>
      <c r="G644" s="4" t="s">
        <v>148</v>
      </c>
      <c r="H644" s="4" t="s">
        <v>72</v>
      </c>
      <c r="I644" s="4" t="s">
        <v>47</v>
      </c>
      <c r="J644" s="3">
        <v>10</v>
      </c>
      <c r="K644" s="6">
        <v>287190</v>
      </c>
      <c r="L644" s="6">
        <f t="shared" si="30"/>
        <v>201033</v>
      </c>
      <c r="M644" s="6">
        <v>86157</v>
      </c>
      <c r="N644" s="5" t="str">
        <f t="shared" si="31"/>
        <v>Sep</v>
      </c>
      <c r="O644" s="5" t="str">
        <f t="shared" si="32"/>
        <v xml:space="preserve"> 2024</v>
      </c>
    </row>
    <row r="645" spans="1:15" x14ac:dyDescent="0.35">
      <c r="A645" t="s">
        <v>1151</v>
      </c>
      <c r="B645" s="5" t="s">
        <v>160</v>
      </c>
      <c r="C645" s="4" t="s">
        <v>31</v>
      </c>
      <c r="D645" s="4" t="s">
        <v>104</v>
      </c>
      <c r="E645" s="4" t="s">
        <v>105</v>
      </c>
      <c r="F645" s="4" t="s">
        <v>37</v>
      </c>
      <c r="G645" s="4" t="s">
        <v>186</v>
      </c>
      <c r="H645" s="4" t="s">
        <v>72</v>
      </c>
      <c r="I645" s="4" t="s">
        <v>39</v>
      </c>
      <c r="J645" s="3">
        <v>9</v>
      </c>
      <c r="K645" s="6">
        <v>326502</v>
      </c>
      <c r="L645" s="6">
        <f t="shared" si="30"/>
        <v>228551.4</v>
      </c>
      <c r="M645" s="6">
        <v>97950.6</v>
      </c>
      <c r="N645" s="5" t="str">
        <f t="shared" si="31"/>
        <v>Mar</v>
      </c>
      <c r="O645" s="5" t="str">
        <f t="shared" si="32"/>
        <v xml:space="preserve"> 2023</v>
      </c>
    </row>
    <row r="646" spans="1:15" x14ac:dyDescent="0.35">
      <c r="A646" t="s">
        <v>1152</v>
      </c>
      <c r="B646" s="5" t="s">
        <v>729</v>
      </c>
      <c r="C646" s="4" t="s">
        <v>22</v>
      </c>
      <c r="D646" s="4" t="s">
        <v>90</v>
      </c>
      <c r="E646" s="4" t="s">
        <v>91</v>
      </c>
      <c r="F646" s="4" t="s">
        <v>37</v>
      </c>
      <c r="G646" s="4" t="s">
        <v>38</v>
      </c>
      <c r="H646" s="4" t="s">
        <v>27</v>
      </c>
      <c r="I646" s="4" t="s">
        <v>39</v>
      </c>
      <c r="J646" s="3">
        <v>3</v>
      </c>
      <c r="K646" s="6">
        <v>12726</v>
      </c>
      <c r="L646" s="6">
        <f t="shared" si="30"/>
        <v>8908.1999999999989</v>
      </c>
      <c r="M646" s="6">
        <v>3817.8000000000011</v>
      </c>
      <c r="N646" s="5" t="str">
        <f t="shared" si="31"/>
        <v>Feb</v>
      </c>
      <c r="O646" s="5" t="str">
        <f t="shared" si="32"/>
        <v xml:space="preserve"> 2024</v>
      </c>
    </row>
    <row r="647" spans="1:15" x14ac:dyDescent="0.35">
      <c r="A647" t="s">
        <v>1153</v>
      </c>
      <c r="B647" s="5" t="s">
        <v>729</v>
      </c>
      <c r="C647" s="4" t="s">
        <v>55</v>
      </c>
      <c r="D647" s="4" t="s">
        <v>63</v>
      </c>
      <c r="E647" s="4" t="s">
        <v>64</v>
      </c>
      <c r="F647" s="4" t="s">
        <v>25</v>
      </c>
      <c r="G647" s="4" t="s">
        <v>26</v>
      </c>
      <c r="H647" s="4" t="s">
        <v>27</v>
      </c>
      <c r="I647" s="4" t="s">
        <v>39</v>
      </c>
      <c r="J647" s="3">
        <v>1</v>
      </c>
      <c r="K647" s="6">
        <v>32053</v>
      </c>
      <c r="L647" s="6">
        <f t="shared" si="30"/>
        <v>22437.1</v>
      </c>
      <c r="M647" s="6">
        <v>9615.9000000000015</v>
      </c>
      <c r="N647" s="5" t="str">
        <f t="shared" si="31"/>
        <v>Feb</v>
      </c>
      <c r="O647" s="5" t="str">
        <f t="shared" si="32"/>
        <v xml:space="preserve"> 2024</v>
      </c>
    </row>
    <row r="648" spans="1:15" x14ac:dyDescent="0.35">
      <c r="A648" t="s">
        <v>1154</v>
      </c>
      <c r="B648" s="5" t="s">
        <v>1155</v>
      </c>
      <c r="C648" s="4" t="s">
        <v>31</v>
      </c>
      <c r="D648" s="4" t="s">
        <v>50</v>
      </c>
      <c r="E648" s="4" t="s">
        <v>51</v>
      </c>
      <c r="F648" s="4" t="s">
        <v>25</v>
      </c>
      <c r="G648" s="4" t="s">
        <v>77</v>
      </c>
      <c r="H648" s="4" t="s">
        <v>18</v>
      </c>
      <c r="I648" s="4" t="s">
        <v>28</v>
      </c>
      <c r="J648" s="3">
        <v>10</v>
      </c>
      <c r="K648" s="6">
        <v>168770</v>
      </c>
      <c r="L648" s="6">
        <f t="shared" si="30"/>
        <v>118138.99999999999</v>
      </c>
      <c r="M648" s="6">
        <v>50631.000000000015</v>
      </c>
      <c r="N648" s="5" t="str">
        <f t="shared" si="31"/>
        <v>Mar</v>
      </c>
      <c r="O648" s="5" t="str">
        <f t="shared" si="32"/>
        <v xml:space="preserve"> 2023</v>
      </c>
    </row>
    <row r="649" spans="1:15" x14ac:dyDescent="0.35">
      <c r="A649" t="s">
        <v>1156</v>
      </c>
      <c r="B649" s="5" t="s">
        <v>1157</v>
      </c>
      <c r="C649" s="4" t="s">
        <v>13</v>
      </c>
      <c r="D649" s="4" t="s">
        <v>118</v>
      </c>
      <c r="E649" s="4" t="s">
        <v>119</v>
      </c>
      <c r="F649" s="4" t="s">
        <v>16</v>
      </c>
      <c r="G649" s="4" t="s">
        <v>17</v>
      </c>
      <c r="H649" s="4" t="s">
        <v>18</v>
      </c>
      <c r="I649" s="4" t="s">
        <v>47</v>
      </c>
      <c r="J649" s="3">
        <v>4</v>
      </c>
      <c r="K649" s="6">
        <v>32712</v>
      </c>
      <c r="L649" s="6">
        <f t="shared" si="30"/>
        <v>22898.399999999998</v>
      </c>
      <c r="M649" s="6">
        <v>9813.6000000000022</v>
      </c>
      <c r="N649" s="5" t="str">
        <f t="shared" si="31"/>
        <v>Mar</v>
      </c>
      <c r="O649" s="5" t="str">
        <f t="shared" si="32"/>
        <v xml:space="preserve"> 2024</v>
      </c>
    </row>
    <row r="650" spans="1:15" x14ac:dyDescent="0.35">
      <c r="A650" t="s">
        <v>1158</v>
      </c>
      <c r="B650" s="5" t="s">
        <v>1159</v>
      </c>
      <c r="C650" s="4" t="s">
        <v>31</v>
      </c>
      <c r="D650" s="4" t="s">
        <v>32</v>
      </c>
      <c r="E650" s="4" t="s">
        <v>33</v>
      </c>
      <c r="F650" s="4" t="s">
        <v>37</v>
      </c>
      <c r="G650" s="4" t="s">
        <v>38</v>
      </c>
      <c r="H650" s="4" t="s">
        <v>27</v>
      </c>
      <c r="I650" s="4" t="s">
        <v>39</v>
      </c>
      <c r="J650" s="3">
        <v>3</v>
      </c>
      <c r="K650" s="6">
        <v>58977</v>
      </c>
      <c r="L650" s="6">
        <f t="shared" si="30"/>
        <v>41283.899999999994</v>
      </c>
      <c r="M650" s="6">
        <v>17693.100000000006</v>
      </c>
      <c r="N650" s="5" t="str">
        <f t="shared" si="31"/>
        <v>Jul</v>
      </c>
      <c r="O650" s="5" t="str">
        <f t="shared" si="32"/>
        <v xml:space="preserve"> 2024</v>
      </c>
    </row>
    <row r="651" spans="1:15" x14ac:dyDescent="0.35">
      <c r="A651" t="s">
        <v>1160</v>
      </c>
      <c r="B651" s="5" t="s">
        <v>392</v>
      </c>
      <c r="C651" s="4" t="s">
        <v>55</v>
      </c>
      <c r="D651" s="4" t="s">
        <v>56</v>
      </c>
      <c r="E651" s="4" t="s">
        <v>57</v>
      </c>
      <c r="F651" s="4" t="s">
        <v>16</v>
      </c>
      <c r="G651" s="4" t="s">
        <v>34</v>
      </c>
      <c r="H651" s="4" t="s">
        <v>18</v>
      </c>
      <c r="I651" s="4" t="s">
        <v>39</v>
      </c>
      <c r="J651" s="3">
        <v>8</v>
      </c>
      <c r="K651" s="6">
        <v>97312</v>
      </c>
      <c r="L651" s="6">
        <f t="shared" si="30"/>
        <v>68118.399999999994</v>
      </c>
      <c r="M651" s="6">
        <v>29193.600000000006</v>
      </c>
      <c r="N651" s="5" t="str">
        <f t="shared" si="31"/>
        <v>Jan</v>
      </c>
      <c r="O651" s="5" t="str">
        <f t="shared" si="32"/>
        <v xml:space="preserve"> 2024</v>
      </c>
    </row>
    <row r="652" spans="1:15" x14ac:dyDescent="0.35">
      <c r="A652" t="s">
        <v>1161</v>
      </c>
      <c r="B652" s="5" t="s">
        <v>1162</v>
      </c>
      <c r="C652" s="4" t="s">
        <v>55</v>
      </c>
      <c r="D652" s="4" t="s">
        <v>82</v>
      </c>
      <c r="E652" s="4" t="s">
        <v>83</v>
      </c>
      <c r="F652" s="4" t="s">
        <v>16</v>
      </c>
      <c r="G652" s="4" t="s">
        <v>42</v>
      </c>
      <c r="H652" s="4" t="s">
        <v>27</v>
      </c>
      <c r="I652" s="4" t="s">
        <v>39</v>
      </c>
      <c r="J652" s="3">
        <v>7</v>
      </c>
      <c r="K652" s="6">
        <v>154315</v>
      </c>
      <c r="L652" s="6">
        <f t="shared" si="30"/>
        <v>108020.5</v>
      </c>
      <c r="M652" s="6">
        <v>46294.5</v>
      </c>
      <c r="N652" s="5" t="str">
        <f t="shared" si="31"/>
        <v>Jan</v>
      </c>
      <c r="O652" s="5" t="str">
        <f t="shared" si="32"/>
        <v xml:space="preserve"> 2023</v>
      </c>
    </row>
    <row r="653" spans="1:15" x14ac:dyDescent="0.35">
      <c r="A653" t="s">
        <v>1163</v>
      </c>
      <c r="B653" s="5" t="s">
        <v>727</v>
      </c>
      <c r="C653" s="4" t="s">
        <v>31</v>
      </c>
      <c r="D653" s="4" t="s">
        <v>45</v>
      </c>
      <c r="E653" s="4" t="s">
        <v>46</v>
      </c>
      <c r="F653" s="4" t="s">
        <v>37</v>
      </c>
      <c r="G653" s="4" t="s">
        <v>183</v>
      </c>
      <c r="H653" s="4" t="s">
        <v>18</v>
      </c>
      <c r="I653" s="4" t="s">
        <v>39</v>
      </c>
      <c r="J653" s="3">
        <v>6</v>
      </c>
      <c r="K653" s="6">
        <v>19908</v>
      </c>
      <c r="L653" s="6">
        <f t="shared" si="30"/>
        <v>13935.599999999999</v>
      </c>
      <c r="M653" s="6">
        <v>5972.4000000000015</v>
      </c>
      <c r="N653" s="5" t="str">
        <f t="shared" si="31"/>
        <v>Apr</v>
      </c>
      <c r="O653" s="5" t="str">
        <f t="shared" si="32"/>
        <v xml:space="preserve"> 2023</v>
      </c>
    </row>
    <row r="654" spans="1:15" x14ac:dyDescent="0.35">
      <c r="A654" t="s">
        <v>1164</v>
      </c>
      <c r="B654" s="5" t="s">
        <v>1165</v>
      </c>
      <c r="C654" s="4" t="s">
        <v>13</v>
      </c>
      <c r="D654" s="4" t="s">
        <v>118</v>
      </c>
      <c r="E654" s="4" t="s">
        <v>119</v>
      </c>
      <c r="F654" s="4" t="s">
        <v>25</v>
      </c>
      <c r="G654" s="4" t="s">
        <v>71</v>
      </c>
      <c r="H654" s="4" t="s">
        <v>27</v>
      </c>
      <c r="I654" s="4" t="s">
        <v>39</v>
      </c>
      <c r="J654" s="3">
        <v>1</v>
      </c>
      <c r="K654" s="6">
        <v>46390</v>
      </c>
      <c r="L654" s="6">
        <f t="shared" si="30"/>
        <v>32472.999999999996</v>
      </c>
      <c r="M654" s="6">
        <v>13917.000000000004</v>
      </c>
      <c r="N654" s="5" t="str">
        <f t="shared" si="31"/>
        <v>Aug</v>
      </c>
      <c r="O654" s="5" t="str">
        <f t="shared" si="32"/>
        <v xml:space="preserve"> 2023</v>
      </c>
    </row>
    <row r="655" spans="1:15" x14ac:dyDescent="0.35">
      <c r="A655" t="s">
        <v>1166</v>
      </c>
      <c r="B655" s="5" t="s">
        <v>1167</v>
      </c>
      <c r="C655" s="4" t="s">
        <v>55</v>
      </c>
      <c r="D655" s="4" t="s">
        <v>56</v>
      </c>
      <c r="E655" s="4" t="s">
        <v>57</v>
      </c>
      <c r="F655" s="4" t="s">
        <v>16</v>
      </c>
      <c r="G655" s="4" t="s">
        <v>17</v>
      </c>
      <c r="H655" s="4" t="s">
        <v>18</v>
      </c>
      <c r="I655" s="4" t="s">
        <v>39</v>
      </c>
      <c r="J655" s="3">
        <v>1</v>
      </c>
      <c r="K655" s="6">
        <v>7987</v>
      </c>
      <c r="L655" s="6">
        <f t="shared" si="30"/>
        <v>5590.9</v>
      </c>
      <c r="M655" s="6">
        <v>2396.1000000000004</v>
      </c>
      <c r="N655" s="5" t="str">
        <f t="shared" si="31"/>
        <v>Feb</v>
      </c>
      <c r="O655" s="5" t="str">
        <f t="shared" si="32"/>
        <v xml:space="preserve"> 2023</v>
      </c>
    </row>
    <row r="656" spans="1:15" x14ac:dyDescent="0.35">
      <c r="A656" t="s">
        <v>1168</v>
      </c>
      <c r="B656" s="5" t="s">
        <v>744</v>
      </c>
      <c r="C656" s="4" t="s">
        <v>31</v>
      </c>
      <c r="D656" s="4" t="s">
        <v>50</v>
      </c>
      <c r="E656" s="4" t="s">
        <v>51</v>
      </c>
      <c r="F656" s="4" t="s">
        <v>25</v>
      </c>
      <c r="G656" s="4" t="s">
        <v>71</v>
      </c>
      <c r="H656" s="4" t="s">
        <v>18</v>
      </c>
      <c r="I656" s="4" t="s">
        <v>19</v>
      </c>
      <c r="J656" s="3">
        <v>4</v>
      </c>
      <c r="K656" s="6">
        <v>173008</v>
      </c>
      <c r="L656" s="6">
        <f t="shared" si="30"/>
        <v>121105.59999999999</v>
      </c>
      <c r="M656" s="6">
        <v>51902.400000000009</v>
      </c>
      <c r="N656" s="5" t="str">
        <f t="shared" si="31"/>
        <v>Jun</v>
      </c>
      <c r="O656" s="5" t="str">
        <f t="shared" si="32"/>
        <v xml:space="preserve"> 2023</v>
      </c>
    </row>
    <row r="657" spans="1:15" x14ac:dyDescent="0.35">
      <c r="A657" t="s">
        <v>1169</v>
      </c>
      <c r="B657" s="5" t="s">
        <v>124</v>
      </c>
      <c r="C657" s="4" t="s">
        <v>22</v>
      </c>
      <c r="D657" s="4" t="s">
        <v>23</v>
      </c>
      <c r="E657" s="4" t="s">
        <v>24</v>
      </c>
      <c r="F657" s="4" t="s">
        <v>25</v>
      </c>
      <c r="G657" s="4" t="s">
        <v>77</v>
      </c>
      <c r="H657" s="4" t="s">
        <v>27</v>
      </c>
      <c r="I657" s="4" t="s">
        <v>28</v>
      </c>
      <c r="J657" s="3">
        <v>5</v>
      </c>
      <c r="K657" s="6">
        <v>213540</v>
      </c>
      <c r="L657" s="6">
        <f t="shared" si="30"/>
        <v>149478</v>
      </c>
      <c r="M657" s="6">
        <v>64062</v>
      </c>
      <c r="N657" s="5" t="str">
        <f t="shared" si="31"/>
        <v>Nov</v>
      </c>
      <c r="O657" s="5" t="str">
        <f t="shared" si="32"/>
        <v xml:space="preserve"> 2024</v>
      </c>
    </row>
    <row r="658" spans="1:15" x14ac:dyDescent="0.35">
      <c r="A658" t="s">
        <v>1170</v>
      </c>
      <c r="B658" s="5" t="s">
        <v>748</v>
      </c>
      <c r="C658" s="4" t="s">
        <v>13</v>
      </c>
      <c r="D658" s="4" t="s">
        <v>162</v>
      </c>
      <c r="E658" s="4" t="s">
        <v>163</v>
      </c>
      <c r="F658" s="4" t="s">
        <v>67</v>
      </c>
      <c r="G658" s="4" t="s">
        <v>113</v>
      </c>
      <c r="H658" s="4" t="s">
        <v>18</v>
      </c>
      <c r="I658" s="4" t="s">
        <v>47</v>
      </c>
      <c r="J658" s="3">
        <v>6</v>
      </c>
      <c r="K658" s="6">
        <v>51192</v>
      </c>
      <c r="L658" s="6">
        <f t="shared" si="30"/>
        <v>35834.399999999994</v>
      </c>
      <c r="M658" s="6">
        <v>15357.600000000006</v>
      </c>
      <c r="N658" s="5" t="str">
        <f t="shared" si="31"/>
        <v>Jun</v>
      </c>
      <c r="O658" s="5" t="str">
        <f t="shared" si="32"/>
        <v xml:space="preserve"> 2023</v>
      </c>
    </row>
    <row r="659" spans="1:15" x14ac:dyDescent="0.35">
      <c r="A659" t="s">
        <v>1171</v>
      </c>
      <c r="B659" s="5" t="s">
        <v>1021</v>
      </c>
      <c r="C659" s="4" t="s">
        <v>55</v>
      </c>
      <c r="D659" s="4" t="s">
        <v>82</v>
      </c>
      <c r="E659" s="4" t="s">
        <v>83</v>
      </c>
      <c r="F659" s="4" t="s">
        <v>25</v>
      </c>
      <c r="G659" s="4" t="s">
        <v>77</v>
      </c>
      <c r="H659" s="4" t="s">
        <v>18</v>
      </c>
      <c r="I659" s="4" t="s">
        <v>39</v>
      </c>
      <c r="J659" s="3">
        <v>7</v>
      </c>
      <c r="K659" s="6">
        <v>231497</v>
      </c>
      <c r="L659" s="6">
        <f t="shared" si="30"/>
        <v>162047.9</v>
      </c>
      <c r="M659" s="6">
        <v>69449.100000000006</v>
      </c>
      <c r="N659" s="5" t="str">
        <f t="shared" si="31"/>
        <v>Oct</v>
      </c>
      <c r="O659" s="5" t="str">
        <f t="shared" si="32"/>
        <v xml:space="preserve"> 2024</v>
      </c>
    </row>
    <row r="660" spans="1:15" x14ac:dyDescent="0.35">
      <c r="A660" t="s">
        <v>1172</v>
      </c>
      <c r="B660" s="5" t="s">
        <v>1173</v>
      </c>
      <c r="C660" s="4" t="s">
        <v>55</v>
      </c>
      <c r="D660" s="4" t="s">
        <v>82</v>
      </c>
      <c r="E660" s="4" t="s">
        <v>83</v>
      </c>
      <c r="F660" s="4" t="s">
        <v>25</v>
      </c>
      <c r="G660" s="4" t="s">
        <v>26</v>
      </c>
      <c r="H660" s="4" t="s">
        <v>72</v>
      </c>
      <c r="I660" s="4" t="s">
        <v>19</v>
      </c>
      <c r="J660" s="3">
        <v>6</v>
      </c>
      <c r="K660" s="6">
        <v>14238</v>
      </c>
      <c r="L660" s="6">
        <f t="shared" si="30"/>
        <v>9966.5999999999985</v>
      </c>
      <c r="M660" s="6">
        <v>4271.4000000000015</v>
      </c>
      <c r="N660" s="5" t="str">
        <f t="shared" si="31"/>
        <v>Apr</v>
      </c>
      <c r="O660" s="5" t="str">
        <f t="shared" si="32"/>
        <v xml:space="preserve"> 2024</v>
      </c>
    </row>
    <row r="661" spans="1:15" x14ac:dyDescent="0.35">
      <c r="A661" t="s">
        <v>1174</v>
      </c>
      <c r="B661" s="5" t="s">
        <v>874</v>
      </c>
      <c r="C661" s="4" t="s">
        <v>31</v>
      </c>
      <c r="D661" s="4" t="s">
        <v>104</v>
      </c>
      <c r="E661" s="4" t="s">
        <v>105</v>
      </c>
      <c r="F661" s="4" t="s">
        <v>67</v>
      </c>
      <c r="G661" s="4" t="s">
        <v>68</v>
      </c>
      <c r="H661" s="4" t="s">
        <v>27</v>
      </c>
      <c r="I661" s="4" t="s">
        <v>60</v>
      </c>
      <c r="J661" s="3">
        <v>8</v>
      </c>
      <c r="K661" s="6">
        <v>94440</v>
      </c>
      <c r="L661" s="6">
        <f t="shared" si="30"/>
        <v>66108</v>
      </c>
      <c r="M661" s="6">
        <v>28332</v>
      </c>
      <c r="N661" s="5" t="str">
        <f t="shared" si="31"/>
        <v>Jul</v>
      </c>
      <c r="O661" s="5" t="str">
        <f t="shared" si="32"/>
        <v xml:space="preserve"> 2024</v>
      </c>
    </row>
    <row r="662" spans="1:15" x14ac:dyDescent="0.35">
      <c r="A662" t="s">
        <v>1175</v>
      </c>
      <c r="B662" s="5" t="s">
        <v>804</v>
      </c>
      <c r="C662" s="4" t="s">
        <v>55</v>
      </c>
      <c r="D662" s="4" t="s">
        <v>63</v>
      </c>
      <c r="E662" s="4" t="s">
        <v>64</v>
      </c>
      <c r="F662" s="4" t="s">
        <v>37</v>
      </c>
      <c r="G662" s="4" t="s">
        <v>148</v>
      </c>
      <c r="H662" s="4" t="s">
        <v>27</v>
      </c>
      <c r="I662" s="4" t="s">
        <v>60</v>
      </c>
      <c r="J662" s="3">
        <v>8</v>
      </c>
      <c r="K662" s="6">
        <v>75904</v>
      </c>
      <c r="L662" s="6">
        <f t="shared" si="30"/>
        <v>53132.799999999996</v>
      </c>
      <c r="M662" s="6">
        <v>22771.200000000004</v>
      </c>
      <c r="N662" s="5" t="str">
        <f t="shared" si="31"/>
        <v>Dec</v>
      </c>
      <c r="O662" s="5" t="str">
        <f t="shared" si="32"/>
        <v xml:space="preserve"> 2023</v>
      </c>
    </row>
    <row r="663" spans="1:15" x14ac:dyDescent="0.35">
      <c r="A663" t="s">
        <v>1176</v>
      </c>
      <c r="B663" s="5" t="s">
        <v>686</v>
      </c>
      <c r="C663" s="4" t="s">
        <v>13</v>
      </c>
      <c r="D663" s="4" t="s">
        <v>14</v>
      </c>
      <c r="E663" s="4" t="s">
        <v>15</v>
      </c>
      <c r="F663" s="4" t="s">
        <v>16</v>
      </c>
      <c r="G663" s="4" t="s">
        <v>122</v>
      </c>
      <c r="H663" s="4" t="s">
        <v>18</v>
      </c>
      <c r="I663" s="4" t="s">
        <v>39</v>
      </c>
      <c r="J663" s="3">
        <v>1</v>
      </c>
      <c r="K663" s="6">
        <v>28715</v>
      </c>
      <c r="L663" s="6">
        <f t="shared" si="30"/>
        <v>20100.5</v>
      </c>
      <c r="M663" s="6">
        <v>8614.5</v>
      </c>
      <c r="N663" s="5" t="str">
        <f t="shared" si="31"/>
        <v>Apr</v>
      </c>
      <c r="O663" s="5" t="str">
        <f t="shared" si="32"/>
        <v xml:space="preserve"> 2024</v>
      </c>
    </row>
    <row r="664" spans="1:15" x14ac:dyDescent="0.35">
      <c r="A664" t="s">
        <v>1177</v>
      </c>
      <c r="B664" s="5" t="s">
        <v>514</v>
      </c>
      <c r="C664" s="4" t="s">
        <v>22</v>
      </c>
      <c r="D664" s="4" t="s">
        <v>90</v>
      </c>
      <c r="E664" s="4" t="s">
        <v>110</v>
      </c>
      <c r="F664" s="4" t="s">
        <v>25</v>
      </c>
      <c r="G664" s="4" t="s">
        <v>71</v>
      </c>
      <c r="H664" s="4" t="s">
        <v>18</v>
      </c>
      <c r="I664" s="4" t="s">
        <v>28</v>
      </c>
      <c r="J664" s="3">
        <v>9</v>
      </c>
      <c r="K664" s="6">
        <v>57501</v>
      </c>
      <c r="L664" s="6">
        <f t="shared" si="30"/>
        <v>40250.699999999997</v>
      </c>
      <c r="M664" s="6">
        <v>17250.300000000003</v>
      </c>
      <c r="N664" s="5" t="str">
        <f t="shared" si="31"/>
        <v>Nov</v>
      </c>
      <c r="O664" s="5" t="str">
        <f t="shared" si="32"/>
        <v xml:space="preserve"> 2023</v>
      </c>
    </row>
    <row r="665" spans="1:15" x14ac:dyDescent="0.35">
      <c r="A665" t="s">
        <v>1178</v>
      </c>
      <c r="B665" s="5" t="s">
        <v>142</v>
      </c>
      <c r="C665" s="4" t="s">
        <v>55</v>
      </c>
      <c r="D665" s="4" t="s">
        <v>82</v>
      </c>
      <c r="E665" s="4" t="s">
        <v>83</v>
      </c>
      <c r="F665" s="4" t="s">
        <v>67</v>
      </c>
      <c r="G665" s="4" t="s">
        <v>68</v>
      </c>
      <c r="H665" s="4" t="s">
        <v>18</v>
      </c>
      <c r="I665" s="4" t="s">
        <v>19</v>
      </c>
      <c r="J665" s="3">
        <v>8</v>
      </c>
      <c r="K665" s="6">
        <v>55448</v>
      </c>
      <c r="L665" s="6">
        <f t="shared" si="30"/>
        <v>38813.599999999999</v>
      </c>
      <c r="M665" s="6">
        <v>16634.400000000001</v>
      </c>
      <c r="N665" s="5" t="str">
        <f t="shared" si="31"/>
        <v>Apr</v>
      </c>
      <c r="O665" s="5" t="str">
        <f t="shared" si="32"/>
        <v xml:space="preserve"> 2023</v>
      </c>
    </row>
    <row r="666" spans="1:15" x14ac:dyDescent="0.35">
      <c r="A666" t="s">
        <v>1179</v>
      </c>
      <c r="B666" s="5" t="s">
        <v>1180</v>
      </c>
      <c r="C666" s="4" t="s">
        <v>31</v>
      </c>
      <c r="D666" s="4" t="s">
        <v>45</v>
      </c>
      <c r="E666" s="4" t="s">
        <v>46</v>
      </c>
      <c r="F666" s="4" t="s">
        <v>25</v>
      </c>
      <c r="G666" s="4" t="s">
        <v>77</v>
      </c>
      <c r="H666" s="4" t="s">
        <v>72</v>
      </c>
      <c r="I666" s="4" t="s">
        <v>28</v>
      </c>
      <c r="J666" s="3">
        <v>9</v>
      </c>
      <c r="K666" s="6">
        <v>296073</v>
      </c>
      <c r="L666" s="6">
        <f t="shared" si="30"/>
        <v>207251.09999999998</v>
      </c>
      <c r="M666" s="6">
        <v>88821.900000000023</v>
      </c>
      <c r="N666" s="5" t="str">
        <f t="shared" si="31"/>
        <v>Oct</v>
      </c>
      <c r="O666" s="5" t="str">
        <f t="shared" si="32"/>
        <v xml:space="preserve"> 2023</v>
      </c>
    </row>
    <row r="667" spans="1:15" x14ac:dyDescent="0.35">
      <c r="A667" t="s">
        <v>1181</v>
      </c>
      <c r="B667" s="5" t="s">
        <v>136</v>
      </c>
      <c r="C667" s="4" t="s">
        <v>31</v>
      </c>
      <c r="D667" s="4" t="s">
        <v>104</v>
      </c>
      <c r="E667" s="4" t="s">
        <v>105</v>
      </c>
      <c r="F667" s="4" t="s">
        <v>16</v>
      </c>
      <c r="G667" s="4" t="s">
        <v>17</v>
      </c>
      <c r="H667" s="4" t="s">
        <v>72</v>
      </c>
      <c r="I667" s="4" t="s">
        <v>19</v>
      </c>
      <c r="J667" s="3">
        <v>9</v>
      </c>
      <c r="K667" s="6">
        <v>399438</v>
      </c>
      <c r="L667" s="6">
        <f t="shared" si="30"/>
        <v>279606.59999999998</v>
      </c>
      <c r="M667" s="6">
        <v>119831.40000000002</v>
      </c>
      <c r="N667" s="5" t="str">
        <f t="shared" si="31"/>
        <v>May</v>
      </c>
      <c r="O667" s="5" t="str">
        <f t="shared" si="32"/>
        <v xml:space="preserve"> 2023</v>
      </c>
    </row>
    <row r="668" spans="1:15" x14ac:dyDescent="0.35">
      <c r="A668" t="s">
        <v>1182</v>
      </c>
      <c r="B668" s="5" t="s">
        <v>324</v>
      </c>
      <c r="C668" s="4" t="s">
        <v>55</v>
      </c>
      <c r="D668" s="4" t="s">
        <v>56</v>
      </c>
      <c r="E668" s="4" t="s">
        <v>57</v>
      </c>
      <c r="F668" s="4" t="s">
        <v>25</v>
      </c>
      <c r="G668" s="4" t="s">
        <v>71</v>
      </c>
      <c r="H668" s="4" t="s">
        <v>18</v>
      </c>
      <c r="I668" s="4" t="s">
        <v>28</v>
      </c>
      <c r="J668" s="3">
        <v>10</v>
      </c>
      <c r="K668" s="6">
        <v>117840</v>
      </c>
      <c r="L668" s="6">
        <f t="shared" si="30"/>
        <v>82488</v>
      </c>
      <c r="M668" s="6">
        <v>35352</v>
      </c>
      <c r="N668" s="5" t="str">
        <f t="shared" si="31"/>
        <v>Jan</v>
      </c>
      <c r="O668" s="5" t="str">
        <f t="shared" si="32"/>
        <v xml:space="preserve"> 2024</v>
      </c>
    </row>
    <row r="669" spans="1:15" x14ac:dyDescent="0.35">
      <c r="A669" t="s">
        <v>1183</v>
      </c>
      <c r="B669" s="5" t="s">
        <v>1184</v>
      </c>
      <c r="C669" s="4" t="s">
        <v>31</v>
      </c>
      <c r="D669" s="4" t="s">
        <v>104</v>
      </c>
      <c r="E669" s="4" t="s">
        <v>105</v>
      </c>
      <c r="F669" s="4" t="s">
        <v>25</v>
      </c>
      <c r="G669" s="4" t="s">
        <v>26</v>
      </c>
      <c r="H669" s="4" t="s">
        <v>72</v>
      </c>
      <c r="I669" s="4" t="s">
        <v>47</v>
      </c>
      <c r="J669" s="3">
        <v>6</v>
      </c>
      <c r="K669" s="6">
        <v>100326</v>
      </c>
      <c r="L669" s="6">
        <f t="shared" si="30"/>
        <v>70228.2</v>
      </c>
      <c r="M669" s="6">
        <v>30097.800000000003</v>
      </c>
      <c r="N669" s="5" t="str">
        <f t="shared" si="31"/>
        <v>Nov</v>
      </c>
      <c r="O669" s="5" t="str">
        <f t="shared" si="32"/>
        <v xml:space="preserve"> 2023</v>
      </c>
    </row>
    <row r="670" spans="1:15" x14ac:dyDescent="0.35">
      <c r="A670" t="s">
        <v>1185</v>
      </c>
      <c r="B670" s="5" t="s">
        <v>560</v>
      </c>
      <c r="C670" s="4" t="s">
        <v>31</v>
      </c>
      <c r="D670" s="4" t="s">
        <v>45</v>
      </c>
      <c r="E670" s="4" t="s">
        <v>46</v>
      </c>
      <c r="F670" s="4" t="s">
        <v>37</v>
      </c>
      <c r="G670" s="4" t="s">
        <v>38</v>
      </c>
      <c r="H670" s="4" t="s">
        <v>27</v>
      </c>
      <c r="I670" s="4" t="s">
        <v>39</v>
      </c>
      <c r="J670" s="3">
        <v>2</v>
      </c>
      <c r="K670" s="6">
        <v>22048</v>
      </c>
      <c r="L670" s="6">
        <f t="shared" si="30"/>
        <v>15433.599999999999</v>
      </c>
      <c r="M670" s="6">
        <v>6614.4000000000015</v>
      </c>
      <c r="N670" s="5" t="str">
        <f t="shared" si="31"/>
        <v>Nov</v>
      </c>
      <c r="O670" s="5" t="str">
        <f t="shared" si="32"/>
        <v xml:space="preserve"> 2023</v>
      </c>
    </row>
    <row r="671" spans="1:15" x14ac:dyDescent="0.35">
      <c r="A671" t="s">
        <v>1186</v>
      </c>
      <c r="B671" s="5" t="s">
        <v>1187</v>
      </c>
      <c r="C671" s="4" t="s">
        <v>55</v>
      </c>
      <c r="D671" s="4" t="s">
        <v>98</v>
      </c>
      <c r="E671" s="4" t="s">
        <v>99</v>
      </c>
      <c r="F671" s="4" t="s">
        <v>16</v>
      </c>
      <c r="G671" s="4" t="s">
        <v>122</v>
      </c>
      <c r="H671" s="4" t="s">
        <v>27</v>
      </c>
      <c r="I671" s="4" t="s">
        <v>28</v>
      </c>
      <c r="J671" s="3">
        <v>1</v>
      </c>
      <c r="K671" s="6">
        <v>18749</v>
      </c>
      <c r="L671" s="6">
        <f t="shared" si="30"/>
        <v>13124.3</v>
      </c>
      <c r="M671" s="6">
        <v>5624.7000000000007</v>
      </c>
      <c r="N671" s="5" t="str">
        <f t="shared" si="31"/>
        <v>Feb</v>
      </c>
      <c r="O671" s="5" t="str">
        <f t="shared" si="32"/>
        <v xml:space="preserve"> 2023</v>
      </c>
    </row>
    <row r="672" spans="1:15" x14ac:dyDescent="0.35">
      <c r="A672" t="s">
        <v>1188</v>
      </c>
      <c r="B672" s="5" t="s">
        <v>667</v>
      </c>
      <c r="C672" s="4" t="s">
        <v>22</v>
      </c>
      <c r="D672" s="4" t="s">
        <v>90</v>
      </c>
      <c r="E672" s="4" t="s">
        <v>91</v>
      </c>
      <c r="F672" s="4" t="s">
        <v>25</v>
      </c>
      <c r="G672" s="4" t="s">
        <v>71</v>
      </c>
      <c r="H672" s="4" t="s">
        <v>27</v>
      </c>
      <c r="I672" s="4" t="s">
        <v>39</v>
      </c>
      <c r="J672" s="3">
        <v>5</v>
      </c>
      <c r="K672" s="6">
        <v>186395</v>
      </c>
      <c r="L672" s="6">
        <f t="shared" si="30"/>
        <v>130476.49999999999</v>
      </c>
      <c r="M672" s="6">
        <v>55918.500000000015</v>
      </c>
      <c r="N672" s="5" t="str">
        <f t="shared" si="31"/>
        <v>Apr</v>
      </c>
      <c r="O672" s="5" t="str">
        <f t="shared" si="32"/>
        <v xml:space="preserve"> 2023</v>
      </c>
    </row>
    <row r="673" spans="1:15" x14ac:dyDescent="0.35">
      <c r="A673" t="s">
        <v>1189</v>
      </c>
      <c r="B673" s="5" t="s">
        <v>283</v>
      </c>
      <c r="C673" s="4" t="s">
        <v>13</v>
      </c>
      <c r="D673" s="4" t="s">
        <v>162</v>
      </c>
      <c r="E673" s="4" t="s">
        <v>163</v>
      </c>
      <c r="F673" s="4" t="s">
        <v>16</v>
      </c>
      <c r="G673" s="4" t="s">
        <v>17</v>
      </c>
      <c r="H673" s="4" t="s">
        <v>72</v>
      </c>
      <c r="I673" s="4" t="s">
        <v>39</v>
      </c>
      <c r="J673" s="3">
        <v>6</v>
      </c>
      <c r="K673" s="6">
        <v>206148</v>
      </c>
      <c r="L673" s="6">
        <f t="shared" si="30"/>
        <v>144303.59999999998</v>
      </c>
      <c r="M673" s="6">
        <v>61844.400000000023</v>
      </c>
      <c r="N673" s="5" t="str">
        <f t="shared" si="31"/>
        <v>Jun</v>
      </c>
      <c r="O673" s="5" t="str">
        <f t="shared" si="32"/>
        <v xml:space="preserve"> 2023</v>
      </c>
    </row>
    <row r="674" spans="1:15" x14ac:dyDescent="0.35">
      <c r="A674" t="s">
        <v>1190</v>
      </c>
      <c r="B674" s="5" t="s">
        <v>76</v>
      </c>
      <c r="C674" s="4" t="s">
        <v>31</v>
      </c>
      <c r="D674" s="4" t="s">
        <v>45</v>
      </c>
      <c r="E674" s="4" t="s">
        <v>46</v>
      </c>
      <c r="F674" s="4" t="s">
        <v>37</v>
      </c>
      <c r="G674" s="4" t="s">
        <v>38</v>
      </c>
      <c r="H674" s="4" t="s">
        <v>18</v>
      </c>
      <c r="I674" s="4" t="s">
        <v>39</v>
      </c>
      <c r="J674" s="3">
        <v>9</v>
      </c>
      <c r="K674" s="6">
        <v>12528</v>
      </c>
      <c r="L674" s="6">
        <f t="shared" si="30"/>
        <v>8769.5999999999985</v>
      </c>
      <c r="M674" s="6">
        <v>3758.4000000000015</v>
      </c>
      <c r="N674" s="5" t="str">
        <f t="shared" si="31"/>
        <v>Nov</v>
      </c>
      <c r="O674" s="5" t="str">
        <f t="shared" si="32"/>
        <v xml:space="preserve"> 2024</v>
      </c>
    </row>
    <row r="675" spans="1:15" x14ac:dyDescent="0.35">
      <c r="A675" t="s">
        <v>1191</v>
      </c>
      <c r="B675" s="5" t="s">
        <v>1192</v>
      </c>
      <c r="C675" s="4" t="s">
        <v>31</v>
      </c>
      <c r="D675" s="4" t="s">
        <v>45</v>
      </c>
      <c r="E675" s="4" t="s">
        <v>46</v>
      </c>
      <c r="F675" s="4" t="s">
        <v>16</v>
      </c>
      <c r="G675" s="4" t="s">
        <v>42</v>
      </c>
      <c r="H675" s="4" t="s">
        <v>72</v>
      </c>
      <c r="I675" s="4" t="s">
        <v>39</v>
      </c>
      <c r="J675" s="3">
        <v>10</v>
      </c>
      <c r="K675" s="6">
        <v>232100</v>
      </c>
      <c r="L675" s="6">
        <f t="shared" si="30"/>
        <v>162470</v>
      </c>
      <c r="M675" s="6">
        <v>69630</v>
      </c>
      <c r="N675" s="5" t="str">
        <f t="shared" si="31"/>
        <v>Jun</v>
      </c>
      <c r="O675" s="5" t="str">
        <f t="shared" si="32"/>
        <v xml:space="preserve"> 2024</v>
      </c>
    </row>
    <row r="676" spans="1:15" x14ac:dyDescent="0.35">
      <c r="A676" t="s">
        <v>1193</v>
      </c>
      <c r="B676" s="5" t="s">
        <v>1194</v>
      </c>
      <c r="C676" s="4" t="s">
        <v>22</v>
      </c>
      <c r="D676" s="4" t="s">
        <v>90</v>
      </c>
      <c r="E676" s="4" t="s">
        <v>91</v>
      </c>
      <c r="F676" s="4" t="s">
        <v>25</v>
      </c>
      <c r="G676" s="4" t="s">
        <v>71</v>
      </c>
      <c r="H676" s="4" t="s">
        <v>72</v>
      </c>
      <c r="I676" s="4" t="s">
        <v>60</v>
      </c>
      <c r="J676" s="3">
        <v>6</v>
      </c>
      <c r="K676" s="6">
        <v>298278</v>
      </c>
      <c r="L676" s="6">
        <f t="shared" si="30"/>
        <v>208794.59999999998</v>
      </c>
      <c r="M676" s="6">
        <v>89483.400000000023</v>
      </c>
      <c r="N676" s="5" t="str">
        <f t="shared" si="31"/>
        <v>May</v>
      </c>
      <c r="O676" s="5" t="str">
        <f t="shared" si="32"/>
        <v xml:space="preserve"> 2024</v>
      </c>
    </row>
    <row r="677" spans="1:15" x14ac:dyDescent="0.35">
      <c r="A677" t="s">
        <v>1195</v>
      </c>
      <c r="B677" s="5" t="s">
        <v>1196</v>
      </c>
      <c r="C677" s="4" t="s">
        <v>13</v>
      </c>
      <c r="D677" s="4" t="s">
        <v>162</v>
      </c>
      <c r="E677" s="4" t="s">
        <v>163</v>
      </c>
      <c r="F677" s="4" t="s">
        <v>16</v>
      </c>
      <c r="G677" s="4" t="s">
        <v>42</v>
      </c>
      <c r="H677" s="4" t="s">
        <v>27</v>
      </c>
      <c r="I677" s="4" t="s">
        <v>60</v>
      </c>
      <c r="J677" s="3">
        <v>2</v>
      </c>
      <c r="K677" s="6">
        <v>52570</v>
      </c>
      <c r="L677" s="6">
        <f t="shared" si="30"/>
        <v>36799</v>
      </c>
      <c r="M677" s="6">
        <v>15771</v>
      </c>
      <c r="N677" s="5" t="str">
        <f t="shared" si="31"/>
        <v>Nov</v>
      </c>
      <c r="O677" s="5" t="str">
        <f t="shared" si="32"/>
        <v xml:space="preserve"> 2023</v>
      </c>
    </row>
    <row r="678" spans="1:15" x14ac:dyDescent="0.35">
      <c r="A678" t="s">
        <v>1197</v>
      </c>
      <c r="B678" s="5" t="s">
        <v>963</v>
      </c>
      <c r="C678" s="4" t="s">
        <v>22</v>
      </c>
      <c r="D678" s="4" t="s">
        <v>23</v>
      </c>
      <c r="E678" s="4" t="s">
        <v>24</v>
      </c>
      <c r="F678" s="4" t="s">
        <v>67</v>
      </c>
      <c r="G678" s="4" t="s">
        <v>113</v>
      </c>
      <c r="H678" s="4" t="s">
        <v>72</v>
      </c>
      <c r="I678" s="4" t="s">
        <v>39</v>
      </c>
      <c r="J678" s="3">
        <v>2</v>
      </c>
      <c r="K678" s="6">
        <v>9846</v>
      </c>
      <c r="L678" s="6">
        <f t="shared" si="30"/>
        <v>6892.2</v>
      </c>
      <c r="M678" s="6">
        <v>2953.8</v>
      </c>
      <c r="N678" s="5" t="str">
        <f t="shared" si="31"/>
        <v>Sep</v>
      </c>
      <c r="O678" s="5" t="str">
        <f t="shared" si="32"/>
        <v xml:space="preserve"> 2023</v>
      </c>
    </row>
    <row r="679" spans="1:15" x14ac:dyDescent="0.35">
      <c r="A679" t="s">
        <v>1198</v>
      </c>
      <c r="B679" s="5" t="s">
        <v>548</v>
      </c>
      <c r="C679" s="4" t="s">
        <v>31</v>
      </c>
      <c r="D679" s="4" t="s">
        <v>45</v>
      </c>
      <c r="E679" s="4" t="s">
        <v>46</v>
      </c>
      <c r="F679" s="4" t="s">
        <v>67</v>
      </c>
      <c r="G679" s="4" t="s">
        <v>180</v>
      </c>
      <c r="H679" s="4" t="s">
        <v>27</v>
      </c>
      <c r="I679" s="4" t="s">
        <v>39</v>
      </c>
      <c r="J679" s="3">
        <v>4</v>
      </c>
      <c r="K679" s="6">
        <v>12416</v>
      </c>
      <c r="L679" s="6">
        <f t="shared" si="30"/>
        <v>8691.1999999999989</v>
      </c>
      <c r="M679" s="6">
        <v>3724.8000000000011</v>
      </c>
      <c r="N679" s="5" t="str">
        <f t="shared" si="31"/>
        <v>Nov</v>
      </c>
      <c r="O679" s="5" t="str">
        <f t="shared" si="32"/>
        <v xml:space="preserve"> 2023</v>
      </c>
    </row>
    <row r="680" spans="1:15" x14ac:dyDescent="0.35">
      <c r="A680" t="s">
        <v>1199</v>
      </c>
      <c r="B680" s="5" t="s">
        <v>1200</v>
      </c>
      <c r="C680" s="4" t="s">
        <v>31</v>
      </c>
      <c r="D680" s="4" t="s">
        <v>32</v>
      </c>
      <c r="E680" s="4" t="s">
        <v>33</v>
      </c>
      <c r="F680" s="4" t="s">
        <v>16</v>
      </c>
      <c r="G680" s="4" t="s">
        <v>34</v>
      </c>
      <c r="H680" s="4" t="s">
        <v>18</v>
      </c>
      <c r="I680" s="4" t="s">
        <v>60</v>
      </c>
      <c r="J680" s="3">
        <v>9</v>
      </c>
      <c r="K680" s="6">
        <v>202437</v>
      </c>
      <c r="L680" s="6">
        <f t="shared" si="30"/>
        <v>141705.9</v>
      </c>
      <c r="M680" s="6">
        <v>60731.100000000006</v>
      </c>
      <c r="N680" s="5" t="str">
        <f t="shared" si="31"/>
        <v>Jul</v>
      </c>
      <c r="O680" s="5" t="str">
        <f t="shared" si="32"/>
        <v xml:space="preserve"> 2024</v>
      </c>
    </row>
    <row r="681" spans="1:15" x14ac:dyDescent="0.35">
      <c r="A681" t="s">
        <v>1201</v>
      </c>
      <c r="B681" s="5" t="s">
        <v>1202</v>
      </c>
      <c r="C681" s="4" t="s">
        <v>22</v>
      </c>
      <c r="D681" s="4" t="s">
        <v>86</v>
      </c>
      <c r="E681" s="4" t="s">
        <v>87</v>
      </c>
      <c r="F681" s="4" t="s">
        <v>37</v>
      </c>
      <c r="G681" s="4" t="s">
        <v>186</v>
      </c>
      <c r="H681" s="4" t="s">
        <v>18</v>
      </c>
      <c r="I681" s="4" t="s">
        <v>19</v>
      </c>
      <c r="J681" s="3">
        <v>9</v>
      </c>
      <c r="K681" s="6">
        <v>137466</v>
      </c>
      <c r="L681" s="6">
        <f t="shared" si="30"/>
        <v>96226.2</v>
      </c>
      <c r="M681" s="6">
        <v>41239.800000000003</v>
      </c>
      <c r="N681" s="5" t="str">
        <f t="shared" si="31"/>
        <v>Sep</v>
      </c>
      <c r="O681" s="5" t="str">
        <f t="shared" si="32"/>
        <v xml:space="preserve"> 2024</v>
      </c>
    </row>
    <row r="682" spans="1:15" x14ac:dyDescent="0.35">
      <c r="A682" t="s">
        <v>1203</v>
      </c>
      <c r="B682" s="5" t="s">
        <v>1204</v>
      </c>
      <c r="C682" s="4" t="s">
        <v>22</v>
      </c>
      <c r="D682" s="4" t="s">
        <v>90</v>
      </c>
      <c r="E682" s="4" t="s">
        <v>110</v>
      </c>
      <c r="F682" s="4" t="s">
        <v>37</v>
      </c>
      <c r="G682" s="4" t="s">
        <v>38</v>
      </c>
      <c r="H682" s="4" t="s">
        <v>18</v>
      </c>
      <c r="I682" s="4" t="s">
        <v>60</v>
      </c>
      <c r="J682" s="3">
        <v>4</v>
      </c>
      <c r="K682" s="6">
        <v>36780</v>
      </c>
      <c r="L682" s="6">
        <f t="shared" si="30"/>
        <v>25746</v>
      </c>
      <c r="M682" s="6">
        <v>11034</v>
      </c>
      <c r="N682" s="5" t="str">
        <f t="shared" si="31"/>
        <v>Aug</v>
      </c>
      <c r="O682" s="5" t="str">
        <f t="shared" si="32"/>
        <v xml:space="preserve"> 2024</v>
      </c>
    </row>
    <row r="683" spans="1:15" x14ac:dyDescent="0.35">
      <c r="A683" t="s">
        <v>1205</v>
      </c>
      <c r="B683" s="5" t="s">
        <v>1206</v>
      </c>
      <c r="C683" s="4" t="s">
        <v>55</v>
      </c>
      <c r="D683" s="4" t="s">
        <v>98</v>
      </c>
      <c r="E683" s="4" t="s">
        <v>99</v>
      </c>
      <c r="F683" s="4" t="s">
        <v>67</v>
      </c>
      <c r="G683" s="4" t="s">
        <v>134</v>
      </c>
      <c r="H683" s="4" t="s">
        <v>27</v>
      </c>
      <c r="I683" s="4" t="s">
        <v>39</v>
      </c>
      <c r="J683" s="3">
        <v>10</v>
      </c>
      <c r="K683" s="6">
        <v>153380</v>
      </c>
      <c r="L683" s="6">
        <f t="shared" si="30"/>
        <v>107366</v>
      </c>
      <c r="M683" s="6">
        <v>46014</v>
      </c>
      <c r="N683" s="5" t="str">
        <f t="shared" si="31"/>
        <v>Feb</v>
      </c>
      <c r="O683" s="5" t="str">
        <f t="shared" si="32"/>
        <v xml:space="preserve"> 2024</v>
      </c>
    </row>
    <row r="684" spans="1:15" x14ac:dyDescent="0.35">
      <c r="A684" t="s">
        <v>1207</v>
      </c>
      <c r="B684" s="5" t="s">
        <v>322</v>
      </c>
      <c r="C684" s="4" t="s">
        <v>13</v>
      </c>
      <c r="D684" s="4" t="s">
        <v>118</v>
      </c>
      <c r="E684" s="4" t="s">
        <v>119</v>
      </c>
      <c r="F684" s="4" t="s">
        <v>37</v>
      </c>
      <c r="G684" s="4" t="s">
        <v>183</v>
      </c>
      <c r="H684" s="4" t="s">
        <v>27</v>
      </c>
      <c r="I684" s="4" t="s">
        <v>47</v>
      </c>
      <c r="J684" s="3">
        <v>2</v>
      </c>
      <c r="K684" s="6">
        <v>41260</v>
      </c>
      <c r="L684" s="6">
        <f t="shared" si="30"/>
        <v>28881.999999999996</v>
      </c>
      <c r="M684" s="6">
        <v>12378.000000000004</v>
      </c>
      <c r="N684" s="5" t="str">
        <f t="shared" si="31"/>
        <v>Apr</v>
      </c>
      <c r="O684" s="5" t="str">
        <f t="shared" si="32"/>
        <v xml:space="preserve"> 2024</v>
      </c>
    </row>
    <row r="685" spans="1:15" x14ac:dyDescent="0.35">
      <c r="A685" t="s">
        <v>1208</v>
      </c>
      <c r="B685" s="5" t="s">
        <v>874</v>
      </c>
      <c r="C685" s="4" t="s">
        <v>22</v>
      </c>
      <c r="D685" s="4" t="s">
        <v>90</v>
      </c>
      <c r="E685" s="4" t="s">
        <v>110</v>
      </c>
      <c r="F685" s="4" t="s">
        <v>16</v>
      </c>
      <c r="G685" s="4" t="s">
        <v>34</v>
      </c>
      <c r="H685" s="4" t="s">
        <v>72</v>
      </c>
      <c r="I685" s="4" t="s">
        <v>39</v>
      </c>
      <c r="J685" s="3">
        <v>7</v>
      </c>
      <c r="K685" s="6">
        <v>159306</v>
      </c>
      <c r="L685" s="6">
        <f t="shared" si="30"/>
        <v>111514.2</v>
      </c>
      <c r="M685" s="6">
        <v>47791.8</v>
      </c>
      <c r="N685" s="5" t="str">
        <f t="shared" si="31"/>
        <v>Jul</v>
      </c>
      <c r="O685" s="5" t="str">
        <f t="shared" si="32"/>
        <v xml:space="preserve"> 2024</v>
      </c>
    </row>
    <row r="686" spans="1:15" x14ac:dyDescent="0.35">
      <c r="A686" t="s">
        <v>1209</v>
      </c>
      <c r="B686" s="5" t="s">
        <v>475</v>
      </c>
      <c r="C686" s="4" t="s">
        <v>31</v>
      </c>
      <c r="D686" s="4" t="s">
        <v>32</v>
      </c>
      <c r="E686" s="4" t="s">
        <v>33</v>
      </c>
      <c r="F686" s="4" t="s">
        <v>25</v>
      </c>
      <c r="G686" s="4" t="s">
        <v>26</v>
      </c>
      <c r="H686" s="4" t="s">
        <v>18</v>
      </c>
      <c r="I686" s="4" t="s">
        <v>39</v>
      </c>
      <c r="J686" s="3">
        <v>3</v>
      </c>
      <c r="K686" s="6">
        <v>41838</v>
      </c>
      <c r="L686" s="6">
        <f t="shared" si="30"/>
        <v>29286.6</v>
      </c>
      <c r="M686" s="6">
        <v>12551.400000000001</v>
      </c>
      <c r="N686" s="5" t="str">
        <f t="shared" si="31"/>
        <v>Jun</v>
      </c>
      <c r="O686" s="5" t="str">
        <f t="shared" si="32"/>
        <v xml:space="preserve"> 2023</v>
      </c>
    </row>
    <row r="687" spans="1:15" x14ac:dyDescent="0.35">
      <c r="A687" t="s">
        <v>1210</v>
      </c>
      <c r="B687" s="5" t="s">
        <v>343</v>
      </c>
      <c r="C687" s="4" t="s">
        <v>22</v>
      </c>
      <c r="D687" s="4" t="s">
        <v>90</v>
      </c>
      <c r="E687" s="4" t="s">
        <v>110</v>
      </c>
      <c r="F687" s="4" t="s">
        <v>25</v>
      </c>
      <c r="G687" s="4" t="s">
        <v>71</v>
      </c>
      <c r="H687" s="4" t="s">
        <v>27</v>
      </c>
      <c r="I687" s="4" t="s">
        <v>39</v>
      </c>
      <c r="J687" s="3">
        <v>6</v>
      </c>
      <c r="K687" s="6">
        <v>161022</v>
      </c>
      <c r="L687" s="6">
        <f t="shared" si="30"/>
        <v>112715.4</v>
      </c>
      <c r="M687" s="6">
        <v>48306.600000000006</v>
      </c>
      <c r="N687" s="5" t="str">
        <f t="shared" si="31"/>
        <v>Mar</v>
      </c>
      <c r="O687" s="5" t="str">
        <f t="shared" si="32"/>
        <v xml:space="preserve"> 2024</v>
      </c>
    </row>
    <row r="688" spans="1:15" x14ac:dyDescent="0.35">
      <c r="A688" t="s">
        <v>1211</v>
      </c>
      <c r="B688" s="5" t="s">
        <v>457</v>
      </c>
      <c r="C688" s="4" t="s">
        <v>22</v>
      </c>
      <c r="D688" s="4" t="s">
        <v>23</v>
      </c>
      <c r="E688" s="4" t="s">
        <v>24</v>
      </c>
      <c r="F688" s="4" t="s">
        <v>37</v>
      </c>
      <c r="G688" s="4" t="s">
        <v>186</v>
      </c>
      <c r="H688" s="4" t="s">
        <v>18</v>
      </c>
      <c r="I688" s="4" t="s">
        <v>19</v>
      </c>
      <c r="J688" s="3">
        <v>9</v>
      </c>
      <c r="K688" s="6">
        <v>346581</v>
      </c>
      <c r="L688" s="6">
        <f t="shared" si="30"/>
        <v>242606.69999999998</v>
      </c>
      <c r="M688" s="6">
        <v>103974.30000000002</v>
      </c>
      <c r="N688" s="5" t="str">
        <f t="shared" si="31"/>
        <v>Apr</v>
      </c>
      <c r="O688" s="5" t="str">
        <f t="shared" si="32"/>
        <v xml:space="preserve"> 2024</v>
      </c>
    </row>
    <row r="689" spans="1:15" x14ac:dyDescent="0.35">
      <c r="A689" t="s">
        <v>1212</v>
      </c>
      <c r="B689" s="5" t="s">
        <v>1213</v>
      </c>
      <c r="C689" s="4" t="s">
        <v>13</v>
      </c>
      <c r="D689" s="4" t="s">
        <v>14</v>
      </c>
      <c r="E689" s="4" t="s">
        <v>15</v>
      </c>
      <c r="F689" s="4" t="s">
        <v>16</v>
      </c>
      <c r="G689" s="4" t="s">
        <v>122</v>
      </c>
      <c r="H689" s="4" t="s">
        <v>18</v>
      </c>
      <c r="I689" s="4" t="s">
        <v>47</v>
      </c>
      <c r="J689" s="3">
        <v>9</v>
      </c>
      <c r="K689" s="6">
        <v>309834</v>
      </c>
      <c r="L689" s="6">
        <f t="shared" si="30"/>
        <v>216883.8</v>
      </c>
      <c r="M689" s="6">
        <v>92950.200000000012</v>
      </c>
      <c r="N689" s="5" t="str">
        <f t="shared" si="31"/>
        <v>Jan</v>
      </c>
      <c r="O689" s="5" t="str">
        <f t="shared" si="32"/>
        <v xml:space="preserve"> 2024</v>
      </c>
    </row>
    <row r="690" spans="1:15" x14ac:dyDescent="0.35">
      <c r="A690" t="s">
        <v>1214</v>
      </c>
      <c r="B690" s="5" t="s">
        <v>1215</v>
      </c>
      <c r="C690" s="4" t="s">
        <v>55</v>
      </c>
      <c r="D690" s="4" t="s">
        <v>56</v>
      </c>
      <c r="E690" s="4" t="s">
        <v>57</v>
      </c>
      <c r="F690" s="4" t="s">
        <v>67</v>
      </c>
      <c r="G690" s="4" t="s">
        <v>113</v>
      </c>
      <c r="H690" s="4" t="s">
        <v>18</v>
      </c>
      <c r="I690" s="4" t="s">
        <v>28</v>
      </c>
      <c r="J690" s="3">
        <v>8</v>
      </c>
      <c r="K690" s="6">
        <v>397744</v>
      </c>
      <c r="L690" s="6">
        <f t="shared" si="30"/>
        <v>278420.8</v>
      </c>
      <c r="M690" s="6">
        <v>119323.20000000001</v>
      </c>
      <c r="N690" s="5" t="str">
        <f t="shared" si="31"/>
        <v>Jan</v>
      </c>
      <c r="O690" s="5" t="str">
        <f t="shared" si="32"/>
        <v xml:space="preserve"> 2023</v>
      </c>
    </row>
    <row r="691" spans="1:15" x14ac:dyDescent="0.35">
      <c r="A691" t="s">
        <v>1216</v>
      </c>
      <c r="B691" s="5" t="s">
        <v>1217</v>
      </c>
      <c r="C691" s="4" t="s">
        <v>13</v>
      </c>
      <c r="D691" s="4" t="s">
        <v>118</v>
      </c>
      <c r="E691" s="4" t="s">
        <v>119</v>
      </c>
      <c r="F691" s="4" t="s">
        <v>25</v>
      </c>
      <c r="G691" s="4" t="s">
        <v>77</v>
      </c>
      <c r="H691" s="4" t="s">
        <v>18</v>
      </c>
      <c r="I691" s="4" t="s">
        <v>39</v>
      </c>
      <c r="J691" s="3">
        <v>7</v>
      </c>
      <c r="K691" s="6">
        <v>244286</v>
      </c>
      <c r="L691" s="6">
        <f t="shared" si="30"/>
        <v>171000.19999999998</v>
      </c>
      <c r="M691" s="6">
        <v>73285.800000000017</v>
      </c>
      <c r="N691" s="5" t="str">
        <f t="shared" si="31"/>
        <v>Aug</v>
      </c>
      <c r="O691" s="5" t="str">
        <f t="shared" si="32"/>
        <v xml:space="preserve"> 2023</v>
      </c>
    </row>
    <row r="692" spans="1:15" x14ac:dyDescent="0.35">
      <c r="A692" t="s">
        <v>1218</v>
      </c>
      <c r="B692" s="5" t="s">
        <v>154</v>
      </c>
      <c r="C692" s="4" t="s">
        <v>22</v>
      </c>
      <c r="D692" s="4" t="s">
        <v>90</v>
      </c>
      <c r="E692" s="4" t="s">
        <v>110</v>
      </c>
      <c r="F692" s="4" t="s">
        <v>37</v>
      </c>
      <c r="G692" s="4" t="s">
        <v>148</v>
      </c>
      <c r="H692" s="4" t="s">
        <v>18</v>
      </c>
      <c r="I692" s="4" t="s">
        <v>19</v>
      </c>
      <c r="J692" s="3">
        <v>7</v>
      </c>
      <c r="K692" s="6">
        <v>220087</v>
      </c>
      <c r="L692" s="6">
        <f t="shared" si="30"/>
        <v>154060.9</v>
      </c>
      <c r="M692" s="6">
        <v>66026.100000000006</v>
      </c>
      <c r="N692" s="5" t="str">
        <f t="shared" si="31"/>
        <v>Jul</v>
      </c>
      <c r="O692" s="5" t="str">
        <f t="shared" si="32"/>
        <v xml:space="preserve"> 2024</v>
      </c>
    </row>
    <row r="693" spans="1:15" x14ac:dyDescent="0.35">
      <c r="A693" t="s">
        <v>1219</v>
      </c>
      <c r="B693" s="5" t="s">
        <v>121</v>
      </c>
      <c r="C693" s="4" t="s">
        <v>55</v>
      </c>
      <c r="D693" s="4" t="s">
        <v>56</v>
      </c>
      <c r="E693" s="4" t="s">
        <v>57</v>
      </c>
      <c r="F693" s="4" t="s">
        <v>37</v>
      </c>
      <c r="G693" s="4" t="s">
        <v>38</v>
      </c>
      <c r="H693" s="4" t="s">
        <v>18</v>
      </c>
      <c r="I693" s="4" t="s">
        <v>28</v>
      </c>
      <c r="J693" s="3">
        <v>4</v>
      </c>
      <c r="K693" s="6">
        <v>143996</v>
      </c>
      <c r="L693" s="6">
        <f t="shared" si="30"/>
        <v>100797.2</v>
      </c>
      <c r="M693" s="6">
        <v>43198.8</v>
      </c>
      <c r="N693" s="5" t="str">
        <f t="shared" si="31"/>
        <v>Oct</v>
      </c>
      <c r="O693" s="5" t="str">
        <f t="shared" si="32"/>
        <v xml:space="preserve"> 2023</v>
      </c>
    </row>
    <row r="694" spans="1:15" x14ac:dyDescent="0.35">
      <c r="A694" t="s">
        <v>1220</v>
      </c>
      <c r="B694" s="5" t="s">
        <v>1221</v>
      </c>
      <c r="C694" s="4" t="s">
        <v>55</v>
      </c>
      <c r="D694" s="4" t="s">
        <v>63</v>
      </c>
      <c r="E694" s="4" t="s">
        <v>64</v>
      </c>
      <c r="F694" s="4" t="s">
        <v>37</v>
      </c>
      <c r="G694" s="4" t="s">
        <v>183</v>
      </c>
      <c r="H694" s="4" t="s">
        <v>18</v>
      </c>
      <c r="I694" s="4" t="s">
        <v>39</v>
      </c>
      <c r="J694" s="3">
        <v>8</v>
      </c>
      <c r="K694" s="6">
        <v>116440</v>
      </c>
      <c r="L694" s="6">
        <f t="shared" si="30"/>
        <v>81508</v>
      </c>
      <c r="M694" s="6">
        <v>34932</v>
      </c>
      <c r="N694" s="5" t="str">
        <f t="shared" si="31"/>
        <v>Jun</v>
      </c>
      <c r="O694" s="5" t="str">
        <f t="shared" si="32"/>
        <v xml:space="preserve"> 2024</v>
      </c>
    </row>
    <row r="695" spans="1:15" x14ac:dyDescent="0.35">
      <c r="A695" t="s">
        <v>1222</v>
      </c>
      <c r="B695" s="5" t="s">
        <v>552</v>
      </c>
      <c r="C695" s="4" t="s">
        <v>22</v>
      </c>
      <c r="D695" s="4" t="s">
        <v>23</v>
      </c>
      <c r="E695" s="4" t="s">
        <v>24</v>
      </c>
      <c r="F695" s="4" t="s">
        <v>37</v>
      </c>
      <c r="G695" s="4" t="s">
        <v>183</v>
      </c>
      <c r="H695" s="4" t="s">
        <v>27</v>
      </c>
      <c r="I695" s="4" t="s">
        <v>39</v>
      </c>
      <c r="J695" s="3">
        <v>8</v>
      </c>
      <c r="K695" s="6">
        <v>307520</v>
      </c>
      <c r="L695" s="6">
        <f t="shared" si="30"/>
        <v>215264</v>
      </c>
      <c r="M695" s="6">
        <v>92256</v>
      </c>
      <c r="N695" s="5" t="str">
        <f t="shared" si="31"/>
        <v>May</v>
      </c>
      <c r="O695" s="5" t="str">
        <f t="shared" si="32"/>
        <v xml:space="preserve"> 2023</v>
      </c>
    </row>
    <row r="696" spans="1:15" x14ac:dyDescent="0.35">
      <c r="A696" t="s">
        <v>1223</v>
      </c>
      <c r="B696" s="5" t="s">
        <v>667</v>
      </c>
      <c r="C696" s="4" t="s">
        <v>13</v>
      </c>
      <c r="D696" s="4" t="s">
        <v>125</v>
      </c>
      <c r="E696" s="4" t="s">
        <v>126</v>
      </c>
      <c r="F696" s="4" t="s">
        <v>37</v>
      </c>
      <c r="G696" s="4" t="s">
        <v>183</v>
      </c>
      <c r="H696" s="4" t="s">
        <v>72</v>
      </c>
      <c r="I696" s="4" t="s">
        <v>19</v>
      </c>
      <c r="J696" s="3">
        <v>7</v>
      </c>
      <c r="K696" s="6">
        <v>339150</v>
      </c>
      <c r="L696" s="6">
        <f t="shared" si="30"/>
        <v>237404.99999999997</v>
      </c>
      <c r="M696" s="6">
        <v>101745.00000000003</v>
      </c>
      <c r="N696" s="5" t="str">
        <f t="shared" si="31"/>
        <v>Apr</v>
      </c>
      <c r="O696" s="5" t="str">
        <f t="shared" si="32"/>
        <v xml:space="preserve"> 2023</v>
      </c>
    </row>
    <row r="697" spans="1:15" x14ac:dyDescent="0.35">
      <c r="A697" t="s">
        <v>1224</v>
      </c>
      <c r="B697" s="5" t="s">
        <v>243</v>
      </c>
      <c r="C697" s="4" t="s">
        <v>31</v>
      </c>
      <c r="D697" s="4" t="s">
        <v>45</v>
      </c>
      <c r="E697" s="4" t="s">
        <v>46</v>
      </c>
      <c r="F697" s="4" t="s">
        <v>37</v>
      </c>
      <c r="G697" s="4" t="s">
        <v>148</v>
      </c>
      <c r="H697" s="4" t="s">
        <v>72</v>
      </c>
      <c r="I697" s="4" t="s">
        <v>39</v>
      </c>
      <c r="J697" s="3">
        <v>4</v>
      </c>
      <c r="K697" s="6">
        <v>179960</v>
      </c>
      <c r="L697" s="6">
        <f t="shared" si="30"/>
        <v>125971.99999999999</v>
      </c>
      <c r="M697" s="6">
        <v>53988.000000000015</v>
      </c>
      <c r="N697" s="5" t="str">
        <f t="shared" si="31"/>
        <v>Jan</v>
      </c>
      <c r="O697" s="5" t="str">
        <f t="shared" si="32"/>
        <v xml:space="preserve"> 2024</v>
      </c>
    </row>
    <row r="698" spans="1:15" x14ac:dyDescent="0.35">
      <c r="A698" t="s">
        <v>1225</v>
      </c>
      <c r="B698" s="5" t="s">
        <v>420</v>
      </c>
      <c r="C698" s="4" t="s">
        <v>22</v>
      </c>
      <c r="D698" s="4" t="s">
        <v>90</v>
      </c>
      <c r="E698" s="4" t="s">
        <v>91</v>
      </c>
      <c r="F698" s="4" t="s">
        <v>25</v>
      </c>
      <c r="G698" s="4" t="s">
        <v>26</v>
      </c>
      <c r="H698" s="4" t="s">
        <v>27</v>
      </c>
      <c r="I698" s="4" t="s">
        <v>60</v>
      </c>
      <c r="J698" s="3">
        <v>3</v>
      </c>
      <c r="K698" s="6">
        <v>74589</v>
      </c>
      <c r="L698" s="6">
        <f t="shared" si="30"/>
        <v>52212.299999999996</v>
      </c>
      <c r="M698" s="6">
        <v>22376.700000000004</v>
      </c>
      <c r="N698" s="5" t="str">
        <f t="shared" si="31"/>
        <v>Feb</v>
      </c>
      <c r="O698" s="5" t="str">
        <f t="shared" si="32"/>
        <v xml:space="preserve"> 2024</v>
      </c>
    </row>
    <row r="699" spans="1:15" x14ac:dyDescent="0.35">
      <c r="A699" t="s">
        <v>1226</v>
      </c>
      <c r="B699" s="5" t="s">
        <v>357</v>
      </c>
      <c r="C699" s="4" t="s">
        <v>55</v>
      </c>
      <c r="D699" s="4" t="s">
        <v>56</v>
      </c>
      <c r="E699" s="4" t="s">
        <v>57</v>
      </c>
      <c r="F699" s="4" t="s">
        <v>25</v>
      </c>
      <c r="G699" s="4" t="s">
        <v>77</v>
      </c>
      <c r="H699" s="4" t="s">
        <v>72</v>
      </c>
      <c r="I699" s="4" t="s">
        <v>39</v>
      </c>
      <c r="J699" s="3">
        <v>7</v>
      </c>
      <c r="K699" s="6">
        <v>213171</v>
      </c>
      <c r="L699" s="6">
        <f t="shared" si="30"/>
        <v>149219.69999999998</v>
      </c>
      <c r="M699" s="6">
        <v>63951.300000000017</v>
      </c>
      <c r="N699" s="5" t="str">
        <f t="shared" si="31"/>
        <v>Aug</v>
      </c>
      <c r="O699" s="5" t="str">
        <f t="shared" si="32"/>
        <v xml:space="preserve"> 2024</v>
      </c>
    </row>
    <row r="700" spans="1:15" x14ac:dyDescent="0.35">
      <c r="A700" t="s">
        <v>1227</v>
      </c>
      <c r="B700" s="5" t="s">
        <v>457</v>
      </c>
      <c r="C700" s="4" t="s">
        <v>13</v>
      </c>
      <c r="D700" s="4" t="s">
        <v>14</v>
      </c>
      <c r="E700" s="4" t="s">
        <v>15</v>
      </c>
      <c r="F700" s="4" t="s">
        <v>67</v>
      </c>
      <c r="G700" s="4" t="s">
        <v>113</v>
      </c>
      <c r="H700" s="4" t="s">
        <v>72</v>
      </c>
      <c r="I700" s="4" t="s">
        <v>19</v>
      </c>
      <c r="J700" s="3">
        <v>3</v>
      </c>
      <c r="K700" s="6">
        <v>55662</v>
      </c>
      <c r="L700" s="6">
        <f t="shared" si="30"/>
        <v>38963.399999999994</v>
      </c>
      <c r="M700" s="6">
        <v>16698.600000000006</v>
      </c>
      <c r="N700" s="5" t="str">
        <f t="shared" si="31"/>
        <v>Apr</v>
      </c>
      <c r="O700" s="5" t="str">
        <f t="shared" si="32"/>
        <v xml:space="preserve"> 2024</v>
      </c>
    </row>
    <row r="701" spans="1:15" x14ac:dyDescent="0.35">
      <c r="A701" t="s">
        <v>1228</v>
      </c>
      <c r="B701" s="5" t="s">
        <v>1229</v>
      </c>
      <c r="C701" s="4" t="s">
        <v>22</v>
      </c>
      <c r="D701" s="4" t="s">
        <v>90</v>
      </c>
      <c r="E701" s="4" t="s">
        <v>91</v>
      </c>
      <c r="F701" s="4" t="s">
        <v>16</v>
      </c>
      <c r="G701" s="4" t="s">
        <v>42</v>
      </c>
      <c r="H701" s="4" t="s">
        <v>18</v>
      </c>
      <c r="I701" s="4" t="s">
        <v>28</v>
      </c>
      <c r="J701" s="3">
        <v>6</v>
      </c>
      <c r="K701" s="6">
        <v>207984</v>
      </c>
      <c r="L701" s="6">
        <f t="shared" si="30"/>
        <v>145588.79999999999</v>
      </c>
      <c r="M701" s="6">
        <v>62395.200000000012</v>
      </c>
      <c r="N701" s="5" t="str">
        <f t="shared" si="31"/>
        <v>May</v>
      </c>
      <c r="O701" s="5" t="str">
        <f t="shared" si="32"/>
        <v xml:space="preserve"> 2023</v>
      </c>
    </row>
    <row r="702" spans="1:15" x14ac:dyDescent="0.35">
      <c r="A702" t="s">
        <v>1230</v>
      </c>
      <c r="B702" s="5" t="s">
        <v>152</v>
      </c>
      <c r="C702" s="4" t="s">
        <v>13</v>
      </c>
      <c r="D702" s="4" t="s">
        <v>162</v>
      </c>
      <c r="E702" s="4" t="s">
        <v>163</v>
      </c>
      <c r="F702" s="4" t="s">
        <v>37</v>
      </c>
      <c r="G702" s="4" t="s">
        <v>38</v>
      </c>
      <c r="H702" s="4" t="s">
        <v>72</v>
      </c>
      <c r="I702" s="4" t="s">
        <v>60</v>
      </c>
      <c r="J702" s="3">
        <v>5</v>
      </c>
      <c r="K702" s="6">
        <v>113505</v>
      </c>
      <c r="L702" s="6">
        <f t="shared" si="30"/>
        <v>79453.5</v>
      </c>
      <c r="M702" s="6">
        <v>34051.5</v>
      </c>
      <c r="N702" s="5" t="str">
        <f t="shared" si="31"/>
        <v>Jul</v>
      </c>
      <c r="O702" s="5" t="str">
        <f t="shared" si="32"/>
        <v xml:space="preserve"> 2024</v>
      </c>
    </row>
    <row r="703" spans="1:15" x14ac:dyDescent="0.35">
      <c r="A703" t="s">
        <v>1231</v>
      </c>
      <c r="B703" s="5" t="s">
        <v>97</v>
      </c>
      <c r="C703" s="4" t="s">
        <v>55</v>
      </c>
      <c r="D703" s="4" t="s">
        <v>63</v>
      </c>
      <c r="E703" s="4" t="s">
        <v>64</v>
      </c>
      <c r="F703" s="4" t="s">
        <v>25</v>
      </c>
      <c r="G703" s="4" t="s">
        <v>52</v>
      </c>
      <c r="H703" s="4" t="s">
        <v>27</v>
      </c>
      <c r="I703" s="4" t="s">
        <v>47</v>
      </c>
      <c r="J703" s="3">
        <v>7</v>
      </c>
      <c r="K703" s="6">
        <v>255815</v>
      </c>
      <c r="L703" s="6">
        <f t="shared" si="30"/>
        <v>179070.5</v>
      </c>
      <c r="M703" s="6">
        <v>76744.5</v>
      </c>
      <c r="N703" s="5" t="str">
        <f t="shared" si="31"/>
        <v>Aug</v>
      </c>
      <c r="O703" s="5" t="str">
        <f t="shared" si="32"/>
        <v xml:space="preserve"> 2024</v>
      </c>
    </row>
    <row r="704" spans="1:15" x14ac:dyDescent="0.35">
      <c r="A704" t="s">
        <v>1232</v>
      </c>
      <c r="B704" s="5" t="s">
        <v>62</v>
      </c>
      <c r="C704" s="4" t="s">
        <v>55</v>
      </c>
      <c r="D704" s="4" t="s">
        <v>98</v>
      </c>
      <c r="E704" s="4" t="s">
        <v>99</v>
      </c>
      <c r="F704" s="4" t="s">
        <v>25</v>
      </c>
      <c r="G704" s="4" t="s">
        <v>77</v>
      </c>
      <c r="H704" s="4" t="s">
        <v>72</v>
      </c>
      <c r="I704" s="4" t="s">
        <v>47</v>
      </c>
      <c r="J704" s="3">
        <v>7</v>
      </c>
      <c r="K704" s="6">
        <v>135464</v>
      </c>
      <c r="L704" s="6">
        <f t="shared" si="30"/>
        <v>94824.799999999988</v>
      </c>
      <c r="M704" s="6">
        <v>40639.200000000012</v>
      </c>
      <c r="N704" s="5" t="str">
        <f t="shared" si="31"/>
        <v>Mar</v>
      </c>
      <c r="O704" s="5" t="str">
        <f t="shared" si="32"/>
        <v xml:space="preserve"> 2023</v>
      </c>
    </row>
    <row r="705" spans="1:15" x14ac:dyDescent="0.35">
      <c r="A705" t="s">
        <v>1233</v>
      </c>
      <c r="B705" s="5" t="s">
        <v>1234</v>
      </c>
      <c r="C705" s="4" t="s">
        <v>22</v>
      </c>
      <c r="D705" s="4" t="s">
        <v>90</v>
      </c>
      <c r="E705" s="4" t="s">
        <v>91</v>
      </c>
      <c r="F705" s="4" t="s">
        <v>16</v>
      </c>
      <c r="G705" s="4" t="s">
        <v>42</v>
      </c>
      <c r="H705" s="4" t="s">
        <v>27</v>
      </c>
      <c r="I705" s="4" t="s">
        <v>19</v>
      </c>
      <c r="J705" s="3">
        <v>3</v>
      </c>
      <c r="K705" s="6">
        <v>103149</v>
      </c>
      <c r="L705" s="6">
        <f t="shared" si="30"/>
        <v>72204.299999999988</v>
      </c>
      <c r="M705" s="6">
        <v>30944.700000000012</v>
      </c>
      <c r="N705" s="5" t="str">
        <f t="shared" si="31"/>
        <v>Oct</v>
      </c>
      <c r="O705" s="5" t="str">
        <f t="shared" si="32"/>
        <v xml:space="preserve"> 2024</v>
      </c>
    </row>
    <row r="706" spans="1:15" x14ac:dyDescent="0.35">
      <c r="A706" t="s">
        <v>1235</v>
      </c>
      <c r="B706" s="5" t="s">
        <v>1236</v>
      </c>
      <c r="C706" s="4" t="s">
        <v>13</v>
      </c>
      <c r="D706" s="4" t="s">
        <v>14</v>
      </c>
      <c r="E706" s="4" t="s">
        <v>15</v>
      </c>
      <c r="F706" s="4" t="s">
        <v>25</v>
      </c>
      <c r="G706" s="4" t="s">
        <v>71</v>
      </c>
      <c r="H706" s="4" t="s">
        <v>72</v>
      </c>
      <c r="I706" s="4" t="s">
        <v>39</v>
      </c>
      <c r="J706" s="3">
        <v>4</v>
      </c>
      <c r="K706" s="6">
        <v>138952</v>
      </c>
      <c r="L706" s="6">
        <f t="shared" ref="L706:L769" si="33">K706*0.7</f>
        <v>97266.4</v>
      </c>
      <c r="M706" s="6">
        <v>41685.600000000006</v>
      </c>
      <c r="N706" s="5" t="str">
        <f t="shared" ref="N706:N769" si="34">TEXT(B706,"mmm")</f>
        <v>May</v>
      </c>
      <c r="O706" s="5" t="str">
        <f t="shared" ref="O706:O769" si="35">TEXT(B706," yyyy")</f>
        <v xml:space="preserve"> 2024</v>
      </c>
    </row>
    <row r="707" spans="1:15" x14ac:dyDescent="0.35">
      <c r="A707" t="s">
        <v>1237</v>
      </c>
      <c r="B707" s="5" t="s">
        <v>331</v>
      </c>
      <c r="C707" s="4" t="s">
        <v>13</v>
      </c>
      <c r="D707" s="4" t="s">
        <v>118</v>
      </c>
      <c r="E707" s="4" t="s">
        <v>119</v>
      </c>
      <c r="F707" s="4" t="s">
        <v>37</v>
      </c>
      <c r="G707" s="4" t="s">
        <v>148</v>
      </c>
      <c r="H707" s="4" t="s">
        <v>18</v>
      </c>
      <c r="I707" s="4" t="s">
        <v>28</v>
      </c>
      <c r="J707" s="3">
        <v>7</v>
      </c>
      <c r="K707" s="6">
        <v>235592</v>
      </c>
      <c r="L707" s="6">
        <f t="shared" si="33"/>
        <v>164914.4</v>
      </c>
      <c r="M707" s="6">
        <v>70677.600000000006</v>
      </c>
      <c r="N707" s="5" t="str">
        <f t="shared" si="34"/>
        <v>May</v>
      </c>
      <c r="O707" s="5" t="str">
        <f t="shared" si="35"/>
        <v xml:space="preserve"> 2024</v>
      </c>
    </row>
    <row r="708" spans="1:15" x14ac:dyDescent="0.35">
      <c r="A708" t="s">
        <v>1238</v>
      </c>
      <c r="B708" s="5" t="s">
        <v>1239</v>
      </c>
      <c r="C708" s="4" t="s">
        <v>31</v>
      </c>
      <c r="D708" s="4" t="s">
        <v>45</v>
      </c>
      <c r="E708" s="4" t="s">
        <v>46</v>
      </c>
      <c r="F708" s="4" t="s">
        <v>16</v>
      </c>
      <c r="G708" s="4" t="s">
        <v>17</v>
      </c>
      <c r="H708" s="4" t="s">
        <v>27</v>
      </c>
      <c r="I708" s="4" t="s">
        <v>47</v>
      </c>
      <c r="J708" s="3">
        <v>8</v>
      </c>
      <c r="K708" s="6">
        <v>123944</v>
      </c>
      <c r="L708" s="6">
        <f t="shared" si="33"/>
        <v>86760.799999999988</v>
      </c>
      <c r="M708" s="6">
        <v>37183.200000000012</v>
      </c>
      <c r="N708" s="5" t="str">
        <f t="shared" si="34"/>
        <v>May</v>
      </c>
      <c r="O708" s="5" t="str">
        <f t="shared" si="35"/>
        <v xml:space="preserve"> 2023</v>
      </c>
    </row>
    <row r="709" spans="1:15" x14ac:dyDescent="0.35">
      <c r="A709" t="s">
        <v>1240</v>
      </c>
      <c r="B709" s="5" t="s">
        <v>473</v>
      </c>
      <c r="C709" s="4" t="s">
        <v>13</v>
      </c>
      <c r="D709" s="4" t="s">
        <v>125</v>
      </c>
      <c r="E709" s="4" t="s">
        <v>126</v>
      </c>
      <c r="F709" s="4" t="s">
        <v>37</v>
      </c>
      <c r="G709" s="4" t="s">
        <v>186</v>
      </c>
      <c r="H709" s="4" t="s">
        <v>18</v>
      </c>
      <c r="I709" s="4" t="s">
        <v>60</v>
      </c>
      <c r="J709" s="3">
        <v>4</v>
      </c>
      <c r="K709" s="6">
        <v>193380</v>
      </c>
      <c r="L709" s="6">
        <f t="shared" si="33"/>
        <v>135366</v>
      </c>
      <c r="M709" s="6">
        <v>58014</v>
      </c>
      <c r="N709" s="5" t="str">
        <f t="shared" si="34"/>
        <v>Mar</v>
      </c>
      <c r="O709" s="5" t="str">
        <f t="shared" si="35"/>
        <v xml:space="preserve"> 2023</v>
      </c>
    </row>
    <row r="710" spans="1:15" x14ac:dyDescent="0.35">
      <c r="A710" t="s">
        <v>1241</v>
      </c>
      <c r="B710" s="5" t="s">
        <v>236</v>
      </c>
      <c r="C710" s="4" t="s">
        <v>31</v>
      </c>
      <c r="D710" s="4" t="s">
        <v>45</v>
      </c>
      <c r="E710" s="4" t="s">
        <v>46</v>
      </c>
      <c r="F710" s="4" t="s">
        <v>25</v>
      </c>
      <c r="G710" s="4" t="s">
        <v>26</v>
      </c>
      <c r="H710" s="4" t="s">
        <v>18</v>
      </c>
      <c r="I710" s="4" t="s">
        <v>47</v>
      </c>
      <c r="J710" s="3">
        <v>6</v>
      </c>
      <c r="K710" s="6">
        <v>51930</v>
      </c>
      <c r="L710" s="6">
        <f t="shared" si="33"/>
        <v>36351</v>
      </c>
      <c r="M710" s="6">
        <v>15579</v>
      </c>
      <c r="N710" s="5" t="str">
        <f t="shared" si="34"/>
        <v>Jul</v>
      </c>
      <c r="O710" s="5" t="str">
        <f t="shared" si="35"/>
        <v xml:space="preserve"> 2023</v>
      </c>
    </row>
    <row r="711" spans="1:15" x14ac:dyDescent="0.35">
      <c r="A711" t="s">
        <v>1242</v>
      </c>
      <c r="B711" s="5" t="s">
        <v>865</v>
      </c>
      <c r="C711" s="4" t="s">
        <v>13</v>
      </c>
      <c r="D711" s="4" t="s">
        <v>125</v>
      </c>
      <c r="E711" s="4" t="s">
        <v>126</v>
      </c>
      <c r="F711" s="4" t="s">
        <v>37</v>
      </c>
      <c r="G711" s="4" t="s">
        <v>38</v>
      </c>
      <c r="H711" s="4" t="s">
        <v>27</v>
      </c>
      <c r="I711" s="4" t="s">
        <v>39</v>
      </c>
      <c r="J711" s="3">
        <v>3</v>
      </c>
      <c r="K711" s="6">
        <v>14748</v>
      </c>
      <c r="L711" s="6">
        <f t="shared" si="33"/>
        <v>10323.599999999999</v>
      </c>
      <c r="M711" s="6">
        <v>4424.4000000000015</v>
      </c>
      <c r="N711" s="5" t="str">
        <f t="shared" si="34"/>
        <v>Sep</v>
      </c>
      <c r="O711" s="5" t="str">
        <f t="shared" si="35"/>
        <v xml:space="preserve"> 2023</v>
      </c>
    </row>
    <row r="712" spans="1:15" x14ac:dyDescent="0.35">
      <c r="A712" t="s">
        <v>1243</v>
      </c>
      <c r="B712" s="5" t="s">
        <v>1244</v>
      </c>
      <c r="C712" s="4" t="s">
        <v>22</v>
      </c>
      <c r="D712" s="4" t="s">
        <v>23</v>
      </c>
      <c r="E712" s="4" t="s">
        <v>24</v>
      </c>
      <c r="F712" s="4" t="s">
        <v>25</v>
      </c>
      <c r="G712" s="4" t="s">
        <v>52</v>
      </c>
      <c r="H712" s="4" t="s">
        <v>72</v>
      </c>
      <c r="I712" s="4" t="s">
        <v>47</v>
      </c>
      <c r="J712" s="3">
        <v>5</v>
      </c>
      <c r="K712" s="6">
        <v>242975</v>
      </c>
      <c r="L712" s="6">
        <f t="shared" si="33"/>
        <v>170082.5</v>
      </c>
      <c r="M712" s="6">
        <v>72892.5</v>
      </c>
      <c r="N712" s="5" t="str">
        <f t="shared" si="34"/>
        <v>Jan</v>
      </c>
      <c r="O712" s="5" t="str">
        <f t="shared" si="35"/>
        <v xml:space="preserve"> 2024</v>
      </c>
    </row>
    <row r="713" spans="1:15" x14ac:dyDescent="0.35">
      <c r="A713" t="s">
        <v>1245</v>
      </c>
      <c r="B713" s="5" t="s">
        <v>273</v>
      </c>
      <c r="C713" s="4" t="s">
        <v>31</v>
      </c>
      <c r="D713" s="4" t="s">
        <v>50</v>
      </c>
      <c r="E713" s="4" t="s">
        <v>51</v>
      </c>
      <c r="F713" s="4" t="s">
        <v>16</v>
      </c>
      <c r="G713" s="4" t="s">
        <v>34</v>
      </c>
      <c r="H713" s="4" t="s">
        <v>72</v>
      </c>
      <c r="I713" s="4" t="s">
        <v>28</v>
      </c>
      <c r="J713" s="3">
        <v>2</v>
      </c>
      <c r="K713" s="6">
        <v>51442</v>
      </c>
      <c r="L713" s="6">
        <f t="shared" si="33"/>
        <v>36009.399999999994</v>
      </c>
      <c r="M713" s="6">
        <v>15432.600000000006</v>
      </c>
      <c r="N713" s="5" t="str">
        <f t="shared" si="34"/>
        <v>Oct</v>
      </c>
      <c r="O713" s="5" t="str">
        <f t="shared" si="35"/>
        <v xml:space="preserve"> 2023</v>
      </c>
    </row>
    <row r="714" spans="1:15" x14ac:dyDescent="0.35">
      <c r="A714" t="s">
        <v>1246</v>
      </c>
      <c r="B714" s="5" t="s">
        <v>1247</v>
      </c>
      <c r="C714" s="4" t="s">
        <v>31</v>
      </c>
      <c r="D714" s="4" t="s">
        <v>45</v>
      </c>
      <c r="E714" s="4" t="s">
        <v>46</v>
      </c>
      <c r="F714" s="4" t="s">
        <v>67</v>
      </c>
      <c r="G714" s="4" t="s">
        <v>68</v>
      </c>
      <c r="H714" s="4" t="s">
        <v>18</v>
      </c>
      <c r="I714" s="4" t="s">
        <v>19</v>
      </c>
      <c r="J714" s="3">
        <v>8</v>
      </c>
      <c r="K714" s="6">
        <v>255288</v>
      </c>
      <c r="L714" s="6">
        <f t="shared" si="33"/>
        <v>178701.59999999998</v>
      </c>
      <c r="M714" s="6">
        <v>76586.400000000023</v>
      </c>
      <c r="N714" s="5" t="str">
        <f t="shared" si="34"/>
        <v>Apr</v>
      </c>
      <c r="O714" s="5" t="str">
        <f t="shared" si="35"/>
        <v xml:space="preserve"> 2023</v>
      </c>
    </row>
    <row r="715" spans="1:15" x14ac:dyDescent="0.35">
      <c r="A715" t="s">
        <v>1248</v>
      </c>
      <c r="B715" s="5" t="s">
        <v>145</v>
      </c>
      <c r="C715" s="4" t="s">
        <v>55</v>
      </c>
      <c r="D715" s="4" t="s">
        <v>98</v>
      </c>
      <c r="E715" s="4" t="s">
        <v>99</v>
      </c>
      <c r="F715" s="4" t="s">
        <v>25</v>
      </c>
      <c r="G715" s="4" t="s">
        <v>52</v>
      </c>
      <c r="H715" s="4" t="s">
        <v>72</v>
      </c>
      <c r="I715" s="4" t="s">
        <v>60</v>
      </c>
      <c r="J715" s="3">
        <v>6</v>
      </c>
      <c r="K715" s="6">
        <v>40872</v>
      </c>
      <c r="L715" s="6">
        <f t="shared" si="33"/>
        <v>28610.399999999998</v>
      </c>
      <c r="M715" s="6">
        <v>12261.600000000002</v>
      </c>
      <c r="N715" s="5" t="str">
        <f t="shared" si="34"/>
        <v>Jun</v>
      </c>
      <c r="O715" s="5" t="str">
        <f t="shared" si="35"/>
        <v xml:space="preserve"> 2024</v>
      </c>
    </row>
    <row r="716" spans="1:15" x14ac:dyDescent="0.35">
      <c r="A716" t="s">
        <v>1249</v>
      </c>
      <c r="B716" s="5" t="s">
        <v>1250</v>
      </c>
      <c r="C716" s="4" t="s">
        <v>22</v>
      </c>
      <c r="D716" s="4" t="s">
        <v>90</v>
      </c>
      <c r="E716" s="4" t="s">
        <v>91</v>
      </c>
      <c r="F716" s="4" t="s">
        <v>37</v>
      </c>
      <c r="G716" s="4" t="s">
        <v>186</v>
      </c>
      <c r="H716" s="4" t="s">
        <v>27</v>
      </c>
      <c r="I716" s="4" t="s">
        <v>39</v>
      </c>
      <c r="J716" s="3">
        <v>2</v>
      </c>
      <c r="K716" s="6">
        <v>29656</v>
      </c>
      <c r="L716" s="6">
        <f t="shared" si="33"/>
        <v>20759.199999999997</v>
      </c>
      <c r="M716" s="6">
        <v>8896.8000000000029</v>
      </c>
      <c r="N716" s="5" t="str">
        <f t="shared" si="34"/>
        <v>Sep</v>
      </c>
      <c r="O716" s="5" t="str">
        <f t="shared" si="35"/>
        <v xml:space="preserve"> 2023</v>
      </c>
    </row>
    <row r="717" spans="1:15" x14ac:dyDescent="0.35">
      <c r="A717" t="s">
        <v>1251</v>
      </c>
      <c r="B717" s="5" t="s">
        <v>1252</v>
      </c>
      <c r="C717" s="4" t="s">
        <v>55</v>
      </c>
      <c r="D717" s="4" t="s">
        <v>82</v>
      </c>
      <c r="E717" s="4" t="s">
        <v>83</v>
      </c>
      <c r="F717" s="4" t="s">
        <v>25</v>
      </c>
      <c r="G717" s="4" t="s">
        <v>77</v>
      </c>
      <c r="H717" s="4" t="s">
        <v>18</v>
      </c>
      <c r="I717" s="4" t="s">
        <v>39</v>
      </c>
      <c r="J717" s="3">
        <v>4</v>
      </c>
      <c r="K717" s="6">
        <v>54664</v>
      </c>
      <c r="L717" s="6">
        <f t="shared" si="33"/>
        <v>38264.799999999996</v>
      </c>
      <c r="M717" s="6">
        <v>16399.200000000004</v>
      </c>
      <c r="N717" s="5" t="str">
        <f t="shared" si="34"/>
        <v>Nov</v>
      </c>
      <c r="O717" s="5" t="str">
        <f t="shared" si="35"/>
        <v xml:space="preserve"> 2024</v>
      </c>
    </row>
    <row r="718" spans="1:15" x14ac:dyDescent="0.35">
      <c r="A718" t="s">
        <v>1253</v>
      </c>
      <c r="B718" s="5" t="s">
        <v>1254</v>
      </c>
      <c r="C718" s="4" t="s">
        <v>31</v>
      </c>
      <c r="D718" s="4" t="s">
        <v>45</v>
      </c>
      <c r="E718" s="4" t="s">
        <v>46</v>
      </c>
      <c r="F718" s="4" t="s">
        <v>37</v>
      </c>
      <c r="G718" s="4" t="s">
        <v>186</v>
      </c>
      <c r="H718" s="4" t="s">
        <v>18</v>
      </c>
      <c r="I718" s="4" t="s">
        <v>60</v>
      </c>
      <c r="J718" s="3">
        <v>5</v>
      </c>
      <c r="K718" s="6">
        <v>122305</v>
      </c>
      <c r="L718" s="6">
        <f t="shared" si="33"/>
        <v>85613.5</v>
      </c>
      <c r="M718" s="6">
        <v>36691.5</v>
      </c>
      <c r="N718" s="5" t="str">
        <f t="shared" si="34"/>
        <v>Feb</v>
      </c>
      <c r="O718" s="5" t="str">
        <f t="shared" si="35"/>
        <v xml:space="preserve"> 2023</v>
      </c>
    </row>
    <row r="719" spans="1:15" x14ac:dyDescent="0.35">
      <c r="A719" t="s">
        <v>1255</v>
      </c>
      <c r="B719" s="5" t="s">
        <v>593</v>
      </c>
      <c r="C719" s="4" t="s">
        <v>13</v>
      </c>
      <c r="D719" s="4" t="s">
        <v>14</v>
      </c>
      <c r="E719" s="4" t="s">
        <v>15</v>
      </c>
      <c r="F719" s="4" t="s">
        <v>37</v>
      </c>
      <c r="G719" s="4" t="s">
        <v>148</v>
      </c>
      <c r="H719" s="4" t="s">
        <v>27</v>
      </c>
      <c r="I719" s="4" t="s">
        <v>60</v>
      </c>
      <c r="J719" s="3">
        <v>6</v>
      </c>
      <c r="K719" s="6">
        <v>182910</v>
      </c>
      <c r="L719" s="6">
        <f t="shared" si="33"/>
        <v>128036.99999999999</v>
      </c>
      <c r="M719" s="6">
        <v>54873.000000000015</v>
      </c>
      <c r="N719" s="5" t="str">
        <f t="shared" si="34"/>
        <v>Dec</v>
      </c>
      <c r="O719" s="5" t="str">
        <f t="shared" si="35"/>
        <v xml:space="preserve"> 2023</v>
      </c>
    </row>
    <row r="720" spans="1:15" x14ac:dyDescent="0.35">
      <c r="A720" t="s">
        <v>1256</v>
      </c>
      <c r="B720" s="5" t="s">
        <v>750</v>
      </c>
      <c r="C720" s="4" t="s">
        <v>55</v>
      </c>
      <c r="D720" s="4" t="s">
        <v>82</v>
      </c>
      <c r="E720" s="4" t="s">
        <v>83</v>
      </c>
      <c r="F720" s="4" t="s">
        <v>25</v>
      </c>
      <c r="G720" s="4" t="s">
        <v>71</v>
      </c>
      <c r="H720" s="4" t="s">
        <v>18</v>
      </c>
      <c r="I720" s="4" t="s">
        <v>39</v>
      </c>
      <c r="J720" s="3">
        <v>4</v>
      </c>
      <c r="K720" s="6">
        <v>196368</v>
      </c>
      <c r="L720" s="6">
        <f t="shared" si="33"/>
        <v>137457.60000000001</v>
      </c>
      <c r="M720" s="6">
        <v>58910.399999999994</v>
      </c>
      <c r="N720" s="5" t="str">
        <f t="shared" si="34"/>
        <v>Nov</v>
      </c>
      <c r="O720" s="5" t="str">
        <f t="shared" si="35"/>
        <v xml:space="preserve"> 2023</v>
      </c>
    </row>
    <row r="721" spans="1:15" x14ac:dyDescent="0.35">
      <c r="A721" t="s">
        <v>1257</v>
      </c>
      <c r="B721" s="5" t="s">
        <v>1084</v>
      </c>
      <c r="C721" s="4" t="s">
        <v>13</v>
      </c>
      <c r="D721" s="4" t="s">
        <v>162</v>
      </c>
      <c r="E721" s="4" t="s">
        <v>163</v>
      </c>
      <c r="F721" s="4" t="s">
        <v>25</v>
      </c>
      <c r="G721" s="4" t="s">
        <v>52</v>
      </c>
      <c r="H721" s="4" t="s">
        <v>18</v>
      </c>
      <c r="I721" s="4" t="s">
        <v>60</v>
      </c>
      <c r="J721" s="3">
        <v>4</v>
      </c>
      <c r="K721" s="6">
        <v>93504</v>
      </c>
      <c r="L721" s="6">
        <f t="shared" si="33"/>
        <v>65452.799999999996</v>
      </c>
      <c r="M721" s="6">
        <v>28051.200000000004</v>
      </c>
      <c r="N721" s="5" t="str">
        <f t="shared" si="34"/>
        <v>Dec</v>
      </c>
      <c r="O721" s="5" t="str">
        <f t="shared" si="35"/>
        <v xml:space="preserve"> 2023</v>
      </c>
    </row>
    <row r="722" spans="1:15" x14ac:dyDescent="0.35">
      <c r="A722" t="s">
        <v>1258</v>
      </c>
      <c r="B722" s="5" t="s">
        <v>62</v>
      </c>
      <c r="C722" s="4" t="s">
        <v>13</v>
      </c>
      <c r="D722" s="4" t="s">
        <v>14</v>
      </c>
      <c r="E722" s="4" t="s">
        <v>15</v>
      </c>
      <c r="F722" s="4" t="s">
        <v>37</v>
      </c>
      <c r="G722" s="4" t="s">
        <v>183</v>
      </c>
      <c r="H722" s="4" t="s">
        <v>27</v>
      </c>
      <c r="I722" s="4" t="s">
        <v>19</v>
      </c>
      <c r="J722" s="3">
        <v>1</v>
      </c>
      <c r="K722" s="6">
        <v>7863</v>
      </c>
      <c r="L722" s="6">
        <f t="shared" si="33"/>
        <v>5504.0999999999995</v>
      </c>
      <c r="M722" s="6">
        <v>2358.9000000000005</v>
      </c>
      <c r="N722" s="5" t="str">
        <f t="shared" si="34"/>
        <v>Mar</v>
      </c>
      <c r="O722" s="5" t="str">
        <f t="shared" si="35"/>
        <v xml:space="preserve"> 2023</v>
      </c>
    </row>
    <row r="723" spans="1:15" x14ac:dyDescent="0.35">
      <c r="A723" t="s">
        <v>1259</v>
      </c>
      <c r="B723" s="5" t="s">
        <v>1260</v>
      </c>
      <c r="C723" s="4" t="s">
        <v>31</v>
      </c>
      <c r="D723" s="4" t="s">
        <v>104</v>
      </c>
      <c r="E723" s="4" t="s">
        <v>105</v>
      </c>
      <c r="F723" s="4" t="s">
        <v>67</v>
      </c>
      <c r="G723" s="4" t="s">
        <v>68</v>
      </c>
      <c r="H723" s="4" t="s">
        <v>72</v>
      </c>
      <c r="I723" s="4" t="s">
        <v>39</v>
      </c>
      <c r="J723" s="3">
        <v>9</v>
      </c>
      <c r="K723" s="6">
        <v>403488</v>
      </c>
      <c r="L723" s="6">
        <f t="shared" si="33"/>
        <v>282441.59999999998</v>
      </c>
      <c r="M723" s="6">
        <v>121046.40000000002</v>
      </c>
      <c r="N723" s="5" t="str">
        <f t="shared" si="34"/>
        <v>May</v>
      </c>
      <c r="O723" s="5" t="str">
        <f t="shared" si="35"/>
        <v xml:space="preserve"> 2023</v>
      </c>
    </row>
    <row r="724" spans="1:15" x14ac:dyDescent="0.35">
      <c r="A724" t="s">
        <v>1261</v>
      </c>
      <c r="B724" s="5" t="s">
        <v>345</v>
      </c>
      <c r="C724" s="4" t="s">
        <v>13</v>
      </c>
      <c r="D724" s="4" t="s">
        <v>162</v>
      </c>
      <c r="E724" s="4" t="s">
        <v>163</v>
      </c>
      <c r="F724" s="4" t="s">
        <v>25</v>
      </c>
      <c r="G724" s="4" t="s">
        <v>71</v>
      </c>
      <c r="H724" s="4" t="s">
        <v>27</v>
      </c>
      <c r="I724" s="4" t="s">
        <v>19</v>
      </c>
      <c r="J724" s="3">
        <v>2</v>
      </c>
      <c r="K724" s="6">
        <v>82882</v>
      </c>
      <c r="L724" s="6">
        <f t="shared" si="33"/>
        <v>58017.399999999994</v>
      </c>
      <c r="M724" s="6">
        <v>24864.600000000006</v>
      </c>
      <c r="N724" s="5" t="str">
        <f t="shared" si="34"/>
        <v>Dec</v>
      </c>
      <c r="O724" s="5" t="str">
        <f t="shared" si="35"/>
        <v xml:space="preserve"> 2023</v>
      </c>
    </row>
    <row r="725" spans="1:15" x14ac:dyDescent="0.35">
      <c r="A725" t="s">
        <v>1262</v>
      </c>
      <c r="B725" s="5" t="s">
        <v>1073</v>
      </c>
      <c r="C725" s="4" t="s">
        <v>55</v>
      </c>
      <c r="D725" s="4" t="s">
        <v>98</v>
      </c>
      <c r="E725" s="4" t="s">
        <v>99</v>
      </c>
      <c r="F725" s="4" t="s">
        <v>67</v>
      </c>
      <c r="G725" s="4" t="s">
        <v>180</v>
      </c>
      <c r="H725" s="4" t="s">
        <v>18</v>
      </c>
      <c r="I725" s="4" t="s">
        <v>39</v>
      </c>
      <c r="J725" s="3">
        <v>4</v>
      </c>
      <c r="K725" s="6">
        <v>150372</v>
      </c>
      <c r="L725" s="6">
        <f t="shared" si="33"/>
        <v>105260.4</v>
      </c>
      <c r="M725" s="6">
        <v>45111.600000000006</v>
      </c>
      <c r="N725" s="5" t="str">
        <f t="shared" si="34"/>
        <v>Jun</v>
      </c>
      <c r="O725" s="5" t="str">
        <f t="shared" si="35"/>
        <v xml:space="preserve"> 2024</v>
      </c>
    </row>
    <row r="726" spans="1:15" x14ac:dyDescent="0.35">
      <c r="A726" t="s">
        <v>1263</v>
      </c>
      <c r="B726" s="5" t="s">
        <v>1264</v>
      </c>
      <c r="C726" s="4" t="s">
        <v>31</v>
      </c>
      <c r="D726" s="4" t="s">
        <v>50</v>
      </c>
      <c r="E726" s="4" t="s">
        <v>51</v>
      </c>
      <c r="F726" s="4" t="s">
        <v>37</v>
      </c>
      <c r="G726" s="4" t="s">
        <v>186</v>
      </c>
      <c r="H726" s="4" t="s">
        <v>18</v>
      </c>
      <c r="I726" s="4" t="s">
        <v>19</v>
      </c>
      <c r="J726" s="3">
        <v>10</v>
      </c>
      <c r="K726" s="6">
        <v>417560</v>
      </c>
      <c r="L726" s="6">
        <f t="shared" si="33"/>
        <v>292292</v>
      </c>
      <c r="M726" s="6">
        <v>125268</v>
      </c>
      <c r="N726" s="5" t="str">
        <f t="shared" si="34"/>
        <v>Apr</v>
      </c>
      <c r="O726" s="5" t="str">
        <f t="shared" si="35"/>
        <v xml:space="preserve"> 2024</v>
      </c>
    </row>
    <row r="727" spans="1:15" x14ac:dyDescent="0.35">
      <c r="A727" t="s">
        <v>1265</v>
      </c>
      <c r="B727" s="5" t="s">
        <v>1266</v>
      </c>
      <c r="C727" s="4" t="s">
        <v>13</v>
      </c>
      <c r="D727" s="4" t="s">
        <v>14</v>
      </c>
      <c r="E727" s="4" t="s">
        <v>15</v>
      </c>
      <c r="F727" s="4" t="s">
        <v>37</v>
      </c>
      <c r="G727" s="4" t="s">
        <v>183</v>
      </c>
      <c r="H727" s="4" t="s">
        <v>27</v>
      </c>
      <c r="I727" s="4" t="s">
        <v>47</v>
      </c>
      <c r="J727" s="3">
        <v>3</v>
      </c>
      <c r="K727" s="6">
        <v>57462</v>
      </c>
      <c r="L727" s="6">
        <f t="shared" si="33"/>
        <v>40223.399999999994</v>
      </c>
      <c r="M727" s="6">
        <v>17238.600000000006</v>
      </c>
      <c r="N727" s="5" t="str">
        <f t="shared" si="34"/>
        <v>Feb</v>
      </c>
      <c r="O727" s="5" t="str">
        <f t="shared" si="35"/>
        <v xml:space="preserve"> 2023</v>
      </c>
    </row>
    <row r="728" spans="1:15" x14ac:dyDescent="0.35">
      <c r="A728" t="s">
        <v>1267</v>
      </c>
      <c r="B728" s="5" t="s">
        <v>1196</v>
      </c>
      <c r="C728" s="4" t="s">
        <v>55</v>
      </c>
      <c r="D728" s="4" t="s">
        <v>98</v>
      </c>
      <c r="E728" s="4" t="s">
        <v>99</v>
      </c>
      <c r="F728" s="4" t="s">
        <v>25</v>
      </c>
      <c r="G728" s="4" t="s">
        <v>26</v>
      </c>
      <c r="H728" s="4" t="s">
        <v>18</v>
      </c>
      <c r="I728" s="4" t="s">
        <v>47</v>
      </c>
      <c r="J728" s="3">
        <v>6</v>
      </c>
      <c r="K728" s="6">
        <v>44568</v>
      </c>
      <c r="L728" s="6">
        <f t="shared" si="33"/>
        <v>31197.599999999999</v>
      </c>
      <c r="M728" s="6">
        <v>13370.400000000001</v>
      </c>
      <c r="N728" s="5" t="str">
        <f t="shared" si="34"/>
        <v>Nov</v>
      </c>
      <c r="O728" s="5" t="str">
        <f t="shared" si="35"/>
        <v xml:space="preserve"> 2023</v>
      </c>
    </row>
    <row r="729" spans="1:15" x14ac:dyDescent="0.35">
      <c r="A729" t="s">
        <v>1268</v>
      </c>
      <c r="B729" s="5" t="s">
        <v>872</v>
      </c>
      <c r="C729" s="4" t="s">
        <v>31</v>
      </c>
      <c r="D729" s="4" t="s">
        <v>45</v>
      </c>
      <c r="E729" s="4" t="s">
        <v>46</v>
      </c>
      <c r="F729" s="4" t="s">
        <v>37</v>
      </c>
      <c r="G729" s="4" t="s">
        <v>183</v>
      </c>
      <c r="H729" s="4" t="s">
        <v>27</v>
      </c>
      <c r="I729" s="4" t="s">
        <v>19</v>
      </c>
      <c r="J729" s="3">
        <v>9</v>
      </c>
      <c r="K729" s="6">
        <v>241524</v>
      </c>
      <c r="L729" s="6">
        <f t="shared" si="33"/>
        <v>169066.8</v>
      </c>
      <c r="M729" s="6">
        <v>72457.200000000012</v>
      </c>
      <c r="N729" s="5" t="str">
        <f t="shared" si="34"/>
        <v>Jul</v>
      </c>
      <c r="O729" s="5" t="str">
        <f t="shared" si="35"/>
        <v xml:space="preserve"> 2024</v>
      </c>
    </row>
    <row r="730" spans="1:15" x14ac:dyDescent="0.35">
      <c r="A730" t="s">
        <v>1269</v>
      </c>
      <c r="B730" s="5" t="s">
        <v>1270</v>
      </c>
      <c r="C730" s="4" t="s">
        <v>55</v>
      </c>
      <c r="D730" s="4" t="s">
        <v>63</v>
      </c>
      <c r="E730" s="4" t="s">
        <v>64</v>
      </c>
      <c r="F730" s="4" t="s">
        <v>37</v>
      </c>
      <c r="G730" s="4" t="s">
        <v>148</v>
      </c>
      <c r="H730" s="4" t="s">
        <v>18</v>
      </c>
      <c r="I730" s="4" t="s">
        <v>60</v>
      </c>
      <c r="J730" s="3">
        <v>8</v>
      </c>
      <c r="K730" s="6">
        <v>363968</v>
      </c>
      <c r="L730" s="6">
        <f t="shared" si="33"/>
        <v>254777.59999999998</v>
      </c>
      <c r="M730" s="6">
        <v>109190.40000000002</v>
      </c>
      <c r="N730" s="5" t="str">
        <f t="shared" si="34"/>
        <v>Feb</v>
      </c>
      <c r="O730" s="5" t="str">
        <f t="shared" si="35"/>
        <v xml:space="preserve"> 2023</v>
      </c>
    </row>
    <row r="731" spans="1:15" x14ac:dyDescent="0.35">
      <c r="A731" t="s">
        <v>1271</v>
      </c>
      <c r="B731" s="5" t="s">
        <v>636</v>
      </c>
      <c r="C731" s="4" t="s">
        <v>22</v>
      </c>
      <c r="D731" s="4" t="s">
        <v>90</v>
      </c>
      <c r="E731" s="4" t="s">
        <v>110</v>
      </c>
      <c r="F731" s="4" t="s">
        <v>67</v>
      </c>
      <c r="G731" s="4" t="s">
        <v>180</v>
      </c>
      <c r="H731" s="4" t="s">
        <v>18</v>
      </c>
      <c r="I731" s="4" t="s">
        <v>28</v>
      </c>
      <c r="J731" s="3">
        <v>9</v>
      </c>
      <c r="K731" s="6">
        <v>221355</v>
      </c>
      <c r="L731" s="6">
        <f t="shared" si="33"/>
        <v>154948.5</v>
      </c>
      <c r="M731" s="6">
        <v>66406.5</v>
      </c>
      <c r="N731" s="5" t="str">
        <f t="shared" si="34"/>
        <v>May</v>
      </c>
      <c r="O731" s="5" t="str">
        <f t="shared" si="35"/>
        <v xml:space="preserve"> 2023</v>
      </c>
    </row>
    <row r="732" spans="1:15" x14ac:dyDescent="0.35">
      <c r="A732" t="s">
        <v>1272</v>
      </c>
      <c r="B732" s="5" t="s">
        <v>209</v>
      </c>
      <c r="C732" s="4" t="s">
        <v>31</v>
      </c>
      <c r="D732" s="4" t="s">
        <v>32</v>
      </c>
      <c r="E732" s="4" t="s">
        <v>33</v>
      </c>
      <c r="F732" s="4" t="s">
        <v>16</v>
      </c>
      <c r="G732" s="4" t="s">
        <v>42</v>
      </c>
      <c r="H732" s="4" t="s">
        <v>72</v>
      </c>
      <c r="I732" s="4" t="s">
        <v>19</v>
      </c>
      <c r="J732" s="3">
        <v>7</v>
      </c>
      <c r="K732" s="6">
        <v>289422</v>
      </c>
      <c r="L732" s="6">
        <f t="shared" si="33"/>
        <v>202595.4</v>
      </c>
      <c r="M732" s="6">
        <v>86826.6</v>
      </c>
      <c r="N732" s="5" t="str">
        <f t="shared" si="34"/>
        <v>Oct</v>
      </c>
      <c r="O732" s="5" t="str">
        <f t="shared" si="35"/>
        <v xml:space="preserve"> 2024</v>
      </c>
    </row>
    <row r="733" spans="1:15" x14ac:dyDescent="0.35">
      <c r="A733" t="s">
        <v>1273</v>
      </c>
      <c r="B733" s="5" t="s">
        <v>133</v>
      </c>
      <c r="C733" s="4" t="s">
        <v>31</v>
      </c>
      <c r="D733" s="4" t="s">
        <v>45</v>
      </c>
      <c r="E733" s="4" t="s">
        <v>46</v>
      </c>
      <c r="F733" s="4" t="s">
        <v>37</v>
      </c>
      <c r="G733" s="4" t="s">
        <v>186</v>
      </c>
      <c r="H733" s="4" t="s">
        <v>27</v>
      </c>
      <c r="I733" s="4" t="s">
        <v>19</v>
      </c>
      <c r="J733" s="3">
        <v>6</v>
      </c>
      <c r="K733" s="6">
        <v>122322</v>
      </c>
      <c r="L733" s="6">
        <f t="shared" si="33"/>
        <v>85625.4</v>
      </c>
      <c r="M733" s="6">
        <v>36696.600000000006</v>
      </c>
      <c r="N733" s="5" t="str">
        <f t="shared" si="34"/>
        <v>Jun</v>
      </c>
      <c r="O733" s="5" t="str">
        <f t="shared" si="35"/>
        <v xml:space="preserve"> 2023</v>
      </c>
    </row>
    <row r="734" spans="1:15" x14ac:dyDescent="0.35">
      <c r="A734" t="s">
        <v>1274</v>
      </c>
      <c r="B734" s="5" t="s">
        <v>1236</v>
      </c>
      <c r="C734" s="4" t="s">
        <v>55</v>
      </c>
      <c r="D734" s="4" t="s">
        <v>63</v>
      </c>
      <c r="E734" s="4" t="s">
        <v>64</v>
      </c>
      <c r="F734" s="4" t="s">
        <v>67</v>
      </c>
      <c r="G734" s="4" t="s">
        <v>68</v>
      </c>
      <c r="H734" s="4" t="s">
        <v>72</v>
      </c>
      <c r="I734" s="4" t="s">
        <v>39</v>
      </c>
      <c r="J734" s="3">
        <v>10</v>
      </c>
      <c r="K734" s="6">
        <v>262470</v>
      </c>
      <c r="L734" s="6">
        <f t="shared" si="33"/>
        <v>183729</v>
      </c>
      <c r="M734" s="6">
        <v>78741</v>
      </c>
      <c r="N734" s="5" t="str">
        <f t="shared" si="34"/>
        <v>May</v>
      </c>
      <c r="O734" s="5" t="str">
        <f t="shared" si="35"/>
        <v xml:space="preserve"> 2024</v>
      </c>
    </row>
    <row r="735" spans="1:15" x14ac:dyDescent="0.35">
      <c r="A735" t="s">
        <v>1275</v>
      </c>
      <c r="B735" s="5" t="s">
        <v>715</v>
      </c>
      <c r="C735" s="4" t="s">
        <v>55</v>
      </c>
      <c r="D735" s="4" t="s">
        <v>56</v>
      </c>
      <c r="E735" s="4" t="s">
        <v>57</v>
      </c>
      <c r="F735" s="4" t="s">
        <v>67</v>
      </c>
      <c r="G735" s="4" t="s">
        <v>134</v>
      </c>
      <c r="H735" s="4" t="s">
        <v>72</v>
      </c>
      <c r="I735" s="4" t="s">
        <v>47</v>
      </c>
      <c r="J735" s="3">
        <v>9</v>
      </c>
      <c r="K735" s="6">
        <v>274671</v>
      </c>
      <c r="L735" s="6">
        <f t="shared" si="33"/>
        <v>192269.69999999998</v>
      </c>
      <c r="M735" s="6">
        <v>82401.300000000017</v>
      </c>
      <c r="N735" s="5" t="str">
        <f t="shared" si="34"/>
        <v>Jul</v>
      </c>
      <c r="O735" s="5" t="str">
        <f t="shared" si="35"/>
        <v xml:space="preserve"> 2024</v>
      </c>
    </row>
    <row r="736" spans="1:15" x14ac:dyDescent="0.35">
      <c r="A736" t="s">
        <v>1276</v>
      </c>
      <c r="B736" s="5" t="s">
        <v>1277</v>
      </c>
      <c r="C736" s="4" t="s">
        <v>31</v>
      </c>
      <c r="D736" s="4" t="s">
        <v>32</v>
      </c>
      <c r="E736" s="4" t="s">
        <v>33</v>
      </c>
      <c r="F736" s="4" t="s">
        <v>37</v>
      </c>
      <c r="G736" s="4" t="s">
        <v>38</v>
      </c>
      <c r="H736" s="4" t="s">
        <v>27</v>
      </c>
      <c r="I736" s="4" t="s">
        <v>47</v>
      </c>
      <c r="J736" s="3">
        <v>6</v>
      </c>
      <c r="K736" s="6">
        <v>55236</v>
      </c>
      <c r="L736" s="6">
        <f t="shared" si="33"/>
        <v>38665.199999999997</v>
      </c>
      <c r="M736" s="6">
        <v>16570.800000000003</v>
      </c>
      <c r="N736" s="5" t="str">
        <f t="shared" si="34"/>
        <v>Aug</v>
      </c>
      <c r="O736" s="5" t="str">
        <f t="shared" si="35"/>
        <v xml:space="preserve"> 2024</v>
      </c>
    </row>
    <row r="737" spans="1:15" x14ac:dyDescent="0.35">
      <c r="A737" t="s">
        <v>1278</v>
      </c>
      <c r="B737" s="5" t="s">
        <v>482</v>
      </c>
      <c r="C737" s="4" t="s">
        <v>55</v>
      </c>
      <c r="D737" s="4" t="s">
        <v>63</v>
      </c>
      <c r="E737" s="4" t="s">
        <v>64</v>
      </c>
      <c r="F737" s="4" t="s">
        <v>16</v>
      </c>
      <c r="G737" s="4" t="s">
        <v>34</v>
      </c>
      <c r="H737" s="4" t="s">
        <v>72</v>
      </c>
      <c r="I737" s="4" t="s">
        <v>47</v>
      </c>
      <c r="J737" s="3">
        <v>3</v>
      </c>
      <c r="K737" s="6">
        <v>40557</v>
      </c>
      <c r="L737" s="6">
        <f t="shared" si="33"/>
        <v>28389.899999999998</v>
      </c>
      <c r="M737" s="6">
        <v>12167.100000000002</v>
      </c>
      <c r="N737" s="5" t="str">
        <f t="shared" si="34"/>
        <v>Sep</v>
      </c>
      <c r="O737" s="5" t="str">
        <f t="shared" si="35"/>
        <v xml:space="preserve"> 2024</v>
      </c>
    </row>
    <row r="738" spans="1:15" x14ac:dyDescent="0.35">
      <c r="A738" t="s">
        <v>1279</v>
      </c>
      <c r="B738" s="5" t="s">
        <v>1162</v>
      </c>
      <c r="C738" s="4" t="s">
        <v>13</v>
      </c>
      <c r="D738" s="4" t="s">
        <v>118</v>
      </c>
      <c r="E738" s="4" t="s">
        <v>119</v>
      </c>
      <c r="F738" s="4" t="s">
        <v>67</v>
      </c>
      <c r="G738" s="4" t="s">
        <v>134</v>
      </c>
      <c r="H738" s="4" t="s">
        <v>18</v>
      </c>
      <c r="I738" s="4" t="s">
        <v>60</v>
      </c>
      <c r="J738" s="3">
        <v>4</v>
      </c>
      <c r="K738" s="6">
        <v>146060</v>
      </c>
      <c r="L738" s="6">
        <f t="shared" si="33"/>
        <v>102242</v>
      </c>
      <c r="M738" s="6">
        <v>43818</v>
      </c>
      <c r="N738" s="5" t="str">
        <f t="shared" si="34"/>
        <v>Jan</v>
      </c>
      <c r="O738" s="5" t="str">
        <f t="shared" si="35"/>
        <v xml:space="preserve"> 2023</v>
      </c>
    </row>
    <row r="739" spans="1:15" x14ac:dyDescent="0.35">
      <c r="A739" t="s">
        <v>1280</v>
      </c>
      <c r="B739" s="5" t="s">
        <v>1281</v>
      </c>
      <c r="C739" s="4" t="s">
        <v>22</v>
      </c>
      <c r="D739" s="4" t="s">
        <v>23</v>
      </c>
      <c r="E739" s="4" t="s">
        <v>24</v>
      </c>
      <c r="F739" s="4" t="s">
        <v>25</v>
      </c>
      <c r="G739" s="4" t="s">
        <v>26</v>
      </c>
      <c r="H739" s="4" t="s">
        <v>72</v>
      </c>
      <c r="I739" s="4" t="s">
        <v>47</v>
      </c>
      <c r="J739" s="3">
        <v>5</v>
      </c>
      <c r="K739" s="6">
        <v>37530</v>
      </c>
      <c r="L739" s="6">
        <f t="shared" si="33"/>
        <v>26271</v>
      </c>
      <c r="M739" s="6">
        <v>11259</v>
      </c>
      <c r="N739" s="5" t="str">
        <f t="shared" si="34"/>
        <v>Feb</v>
      </c>
      <c r="O739" s="5" t="str">
        <f t="shared" si="35"/>
        <v xml:space="preserve"> 2024</v>
      </c>
    </row>
    <row r="740" spans="1:15" x14ac:dyDescent="0.35">
      <c r="A740" t="s">
        <v>1282</v>
      </c>
      <c r="B740" s="5" t="s">
        <v>1192</v>
      </c>
      <c r="C740" s="4" t="s">
        <v>55</v>
      </c>
      <c r="D740" s="4" t="s">
        <v>56</v>
      </c>
      <c r="E740" s="4" t="s">
        <v>57</v>
      </c>
      <c r="F740" s="4" t="s">
        <v>16</v>
      </c>
      <c r="G740" s="4" t="s">
        <v>17</v>
      </c>
      <c r="H740" s="4" t="s">
        <v>18</v>
      </c>
      <c r="I740" s="4" t="s">
        <v>60</v>
      </c>
      <c r="J740" s="3">
        <v>3</v>
      </c>
      <c r="K740" s="6">
        <v>19104</v>
      </c>
      <c r="L740" s="6">
        <f t="shared" si="33"/>
        <v>13372.8</v>
      </c>
      <c r="M740" s="6">
        <v>5731.2000000000007</v>
      </c>
      <c r="N740" s="5" t="str">
        <f t="shared" si="34"/>
        <v>Jun</v>
      </c>
      <c r="O740" s="5" t="str">
        <f t="shared" si="35"/>
        <v xml:space="preserve"> 2024</v>
      </c>
    </row>
    <row r="741" spans="1:15" x14ac:dyDescent="0.35">
      <c r="A741" t="s">
        <v>1283</v>
      </c>
      <c r="B741" s="5" t="s">
        <v>171</v>
      </c>
      <c r="C741" s="4" t="s">
        <v>55</v>
      </c>
      <c r="D741" s="4" t="s">
        <v>63</v>
      </c>
      <c r="E741" s="4" t="s">
        <v>64</v>
      </c>
      <c r="F741" s="4" t="s">
        <v>37</v>
      </c>
      <c r="G741" s="4" t="s">
        <v>183</v>
      </c>
      <c r="H741" s="4" t="s">
        <v>72</v>
      </c>
      <c r="I741" s="4" t="s">
        <v>47</v>
      </c>
      <c r="J741" s="3">
        <v>4</v>
      </c>
      <c r="K741" s="6">
        <v>10444</v>
      </c>
      <c r="L741" s="6">
        <f t="shared" si="33"/>
        <v>7310.7999999999993</v>
      </c>
      <c r="M741" s="6">
        <v>3133.2000000000007</v>
      </c>
      <c r="N741" s="5" t="str">
        <f t="shared" si="34"/>
        <v>Mar</v>
      </c>
      <c r="O741" s="5" t="str">
        <f t="shared" si="35"/>
        <v xml:space="preserve"> 2023</v>
      </c>
    </row>
    <row r="742" spans="1:15" x14ac:dyDescent="0.35">
      <c r="A742" t="s">
        <v>1284</v>
      </c>
      <c r="B742" s="5" t="s">
        <v>331</v>
      </c>
      <c r="C742" s="4" t="s">
        <v>22</v>
      </c>
      <c r="D742" s="4" t="s">
        <v>90</v>
      </c>
      <c r="E742" s="4" t="s">
        <v>110</v>
      </c>
      <c r="F742" s="4" t="s">
        <v>67</v>
      </c>
      <c r="G742" s="4" t="s">
        <v>68</v>
      </c>
      <c r="H742" s="4" t="s">
        <v>18</v>
      </c>
      <c r="I742" s="4" t="s">
        <v>19</v>
      </c>
      <c r="J742" s="3">
        <v>10</v>
      </c>
      <c r="K742" s="6">
        <v>362240</v>
      </c>
      <c r="L742" s="6">
        <f t="shared" si="33"/>
        <v>253567.99999999997</v>
      </c>
      <c r="M742" s="6">
        <v>108672.00000000003</v>
      </c>
      <c r="N742" s="5" t="str">
        <f t="shared" si="34"/>
        <v>May</v>
      </c>
      <c r="O742" s="5" t="str">
        <f t="shared" si="35"/>
        <v xml:space="preserve"> 2024</v>
      </c>
    </row>
    <row r="743" spans="1:15" x14ac:dyDescent="0.35">
      <c r="A743" t="s">
        <v>1285</v>
      </c>
      <c r="B743" s="5" t="s">
        <v>645</v>
      </c>
      <c r="C743" s="4" t="s">
        <v>55</v>
      </c>
      <c r="D743" s="4" t="s">
        <v>63</v>
      </c>
      <c r="E743" s="4" t="s">
        <v>64</v>
      </c>
      <c r="F743" s="4" t="s">
        <v>25</v>
      </c>
      <c r="G743" s="4" t="s">
        <v>26</v>
      </c>
      <c r="H743" s="4" t="s">
        <v>27</v>
      </c>
      <c r="I743" s="4" t="s">
        <v>60</v>
      </c>
      <c r="J743" s="3">
        <v>4</v>
      </c>
      <c r="K743" s="6">
        <v>147264</v>
      </c>
      <c r="L743" s="6">
        <f t="shared" si="33"/>
        <v>103084.79999999999</v>
      </c>
      <c r="M743" s="6">
        <v>44179.200000000012</v>
      </c>
      <c r="N743" s="5" t="str">
        <f t="shared" si="34"/>
        <v>Aug</v>
      </c>
      <c r="O743" s="5" t="str">
        <f t="shared" si="35"/>
        <v xml:space="preserve"> 2023</v>
      </c>
    </row>
    <row r="744" spans="1:15" x14ac:dyDescent="0.35">
      <c r="A744" t="s">
        <v>1286</v>
      </c>
      <c r="B744" s="5" t="s">
        <v>1287</v>
      </c>
      <c r="C744" s="4" t="s">
        <v>22</v>
      </c>
      <c r="D744" s="4" t="s">
        <v>86</v>
      </c>
      <c r="E744" s="4" t="s">
        <v>87</v>
      </c>
      <c r="F744" s="4" t="s">
        <v>16</v>
      </c>
      <c r="G744" s="4" t="s">
        <v>34</v>
      </c>
      <c r="H744" s="4" t="s">
        <v>72</v>
      </c>
      <c r="I744" s="4" t="s">
        <v>28</v>
      </c>
      <c r="J744" s="3">
        <v>9</v>
      </c>
      <c r="K744" s="6">
        <v>174888</v>
      </c>
      <c r="L744" s="6">
        <f t="shared" si="33"/>
        <v>122421.59999999999</v>
      </c>
      <c r="M744" s="6">
        <v>52466.400000000009</v>
      </c>
      <c r="N744" s="5" t="str">
        <f t="shared" si="34"/>
        <v>Apr</v>
      </c>
      <c r="O744" s="5" t="str">
        <f t="shared" si="35"/>
        <v xml:space="preserve"> 2023</v>
      </c>
    </row>
    <row r="745" spans="1:15" x14ac:dyDescent="0.35">
      <c r="A745" t="s">
        <v>1288</v>
      </c>
      <c r="B745" s="5" t="s">
        <v>93</v>
      </c>
      <c r="C745" s="4" t="s">
        <v>31</v>
      </c>
      <c r="D745" s="4" t="s">
        <v>50</v>
      </c>
      <c r="E745" s="4" t="s">
        <v>51</v>
      </c>
      <c r="F745" s="4" t="s">
        <v>67</v>
      </c>
      <c r="G745" s="4" t="s">
        <v>68</v>
      </c>
      <c r="H745" s="4" t="s">
        <v>27</v>
      </c>
      <c r="I745" s="4" t="s">
        <v>47</v>
      </c>
      <c r="J745" s="3">
        <v>9</v>
      </c>
      <c r="K745" s="6">
        <v>384255</v>
      </c>
      <c r="L745" s="6">
        <f t="shared" si="33"/>
        <v>268978.5</v>
      </c>
      <c r="M745" s="6">
        <v>115276.5</v>
      </c>
      <c r="N745" s="5" t="str">
        <f t="shared" si="34"/>
        <v>Nov</v>
      </c>
      <c r="O745" s="5" t="str">
        <f t="shared" si="35"/>
        <v xml:space="preserve"> 2023</v>
      </c>
    </row>
    <row r="746" spans="1:15" x14ac:dyDescent="0.35">
      <c r="A746" t="s">
        <v>1289</v>
      </c>
      <c r="B746" s="5" t="s">
        <v>1290</v>
      </c>
      <c r="C746" s="4" t="s">
        <v>22</v>
      </c>
      <c r="D746" s="4" t="s">
        <v>23</v>
      </c>
      <c r="E746" s="4" t="s">
        <v>24</v>
      </c>
      <c r="F746" s="4" t="s">
        <v>67</v>
      </c>
      <c r="G746" s="4" t="s">
        <v>68</v>
      </c>
      <c r="H746" s="4" t="s">
        <v>18</v>
      </c>
      <c r="I746" s="4" t="s">
        <v>19</v>
      </c>
      <c r="J746" s="3">
        <v>7</v>
      </c>
      <c r="K746" s="6">
        <v>141967</v>
      </c>
      <c r="L746" s="6">
        <f t="shared" si="33"/>
        <v>99376.9</v>
      </c>
      <c r="M746" s="6">
        <v>42590.100000000006</v>
      </c>
      <c r="N746" s="5" t="str">
        <f t="shared" si="34"/>
        <v>Aug</v>
      </c>
      <c r="O746" s="5" t="str">
        <f t="shared" si="35"/>
        <v xml:space="preserve"> 2024</v>
      </c>
    </row>
    <row r="747" spans="1:15" x14ac:dyDescent="0.35">
      <c r="A747" t="s">
        <v>1291</v>
      </c>
      <c r="B747" s="5" t="s">
        <v>1292</v>
      </c>
      <c r="C747" s="4" t="s">
        <v>55</v>
      </c>
      <c r="D747" s="4" t="s">
        <v>82</v>
      </c>
      <c r="E747" s="4" t="s">
        <v>83</v>
      </c>
      <c r="F747" s="4" t="s">
        <v>25</v>
      </c>
      <c r="G747" s="4" t="s">
        <v>71</v>
      </c>
      <c r="H747" s="4" t="s">
        <v>27</v>
      </c>
      <c r="I747" s="4" t="s">
        <v>19</v>
      </c>
      <c r="J747" s="3">
        <v>8</v>
      </c>
      <c r="K747" s="6">
        <v>299416</v>
      </c>
      <c r="L747" s="6">
        <f t="shared" si="33"/>
        <v>209591.19999999998</v>
      </c>
      <c r="M747" s="6">
        <v>89824.800000000017</v>
      </c>
      <c r="N747" s="5" t="str">
        <f t="shared" si="34"/>
        <v>Sep</v>
      </c>
      <c r="O747" s="5" t="str">
        <f t="shared" si="35"/>
        <v xml:space="preserve"> 2023</v>
      </c>
    </row>
    <row r="748" spans="1:15" x14ac:dyDescent="0.35">
      <c r="A748" t="s">
        <v>1293</v>
      </c>
      <c r="B748" s="5" t="s">
        <v>988</v>
      </c>
      <c r="C748" s="4" t="s">
        <v>22</v>
      </c>
      <c r="D748" s="4" t="s">
        <v>90</v>
      </c>
      <c r="E748" s="4" t="s">
        <v>110</v>
      </c>
      <c r="F748" s="4" t="s">
        <v>16</v>
      </c>
      <c r="G748" s="4" t="s">
        <v>42</v>
      </c>
      <c r="H748" s="4" t="s">
        <v>18</v>
      </c>
      <c r="I748" s="4" t="s">
        <v>47</v>
      </c>
      <c r="J748" s="3">
        <v>8</v>
      </c>
      <c r="K748" s="6">
        <v>128592</v>
      </c>
      <c r="L748" s="6">
        <f t="shared" si="33"/>
        <v>90014.399999999994</v>
      </c>
      <c r="M748" s="6">
        <v>38577.600000000006</v>
      </c>
      <c r="N748" s="5" t="str">
        <f t="shared" si="34"/>
        <v>Apr</v>
      </c>
      <c r="O748" s="5" t="str">
        <f t="shared" si="35"/>
        <v xml:space="preserve"> 2023</v>
      </c>
    </row>
    <row r="749" spans="1:15" x14ac:dyDescent="0.35">
      <c r="A749" t="s">
        <v>1294</v>
      </c>
      <c r="B749" s="5" t="s">
        <v>664</v>
      </c>
      <c r="C749" s="4" t="s">
        <v>31</v>
      </c>
      <c r="D749" s="4" t="s">
        <v>104</v>
      </c>
      <c r="E749" s="4" t="s">
        <v>105</v>
      </c>
      <c r="F749" s="4" t="s">
        <v>67</v>
      </c>
      <c r="G749" s="4" t="s">
        <v>68</v>
      </c>
      <c r="H749" s="4" t="s">
        <v>72</v>
      </c>
      <c r="I749" s="4" t="s">
        <v>19</v>
      </c>
      <c r="J749" s="3">
        <v>1</v>
      </c>
      <c r="K749" s="6">
        <v>4272</v>
      </c>
      <c r="L749" s="6">
        <f t="shared" si="33"/>
        <v>2990.3999999999996</v>
      </c>
      <c r="M749" s="6">
        <v>1281.6000000000004</v>
      </c>
      <c r="N749" s="5" t="str">
        <f t="shared" si="34"/>
        <v>Jan</v>
      </c>
      <c r="O749" s="5" t="str">
        <f t="shared" si="35"/>
        <v xml:space="preserve"> 2024</v>
      </c>
    </row>
    <row r="750" spans="1:15" x14ac:dyDescent="0.35">
      <c r="A750" t="s">
        <v>1295</v>
      </c>
      <c r="B750" s="5" t="s">
        <v>827</v>
      </c>
      <c r="C750" s="4" t="s">
        <v>13</v>
      </c>
      <c r="D750" s="4" t="s">
        <v>125</v>
      </c>
      <c r="E750" s="4" t="s">
        <v>126</v>
      </c>
      <c r="F750" s="4" t="s">
        <v>67</v>
      </c>
      <c r="G750" s="4" t="s">
        <v>113</v>
      </c>
      <c r="H750" s="4" t="s">
        <v>72</v>
      </c>
      <c r="I750" s="4" t="s">
        <v>28</v>
      </c>
      <c r="J750" s="3">
        <v>4</v>
      </c>
      <c r="K750" s="6">
        <v>121528</v>
      </c>
      <c r="L750" s="6">
        <f t="shared" si="33"/>
        <v>85069.599999999991</v>
      </c>
      <c r="M750" s="6">
        <v>36458.400000000009</v>
      </c>
      <c r="N750" s="5" t="str">
        <f t="shared" si="34"/>
        <v>Feb</v>
      </c>
      <c r="O750" s="5" t="str">
        <f t="shared" si="35"/>
        <v xml:space="preserve"> 2024</v>
      </c>
    </row>
    <row r="751" spans="1:15" x14ac:dyDescent="0.35">
      <c r="A751" t="s">
        <v>1296</v>
      </c>
      <c r="B751" s="5" t="s">
        <v>1297</v>
      </c>
      <c r="C751" s="4" t="s">
        <v>31</v>
      </c>
      <c r="D751" s="4" t="s">
        <v>104</v>
      </c>
      <c r="E751" s="4" t="s">
        <v>105</v>
      </c>
      <c r="F751" s="4" t="s">
        <v>67</v>
      </c>
      <c r="G751" s="4" t="s">
        <v>113</v>
      </c>
      <c r="H751" s="4" t="s">
        <v>27</v>
      </c>
      <c r="I751" s="4" t="s">
        <v>60</v>
      </c>
      <c r="J751" s="3">
        <v>5</v>
      </c>
      <c r="K751" s="6">
        <v>193340</v>
      </c>
      <c r="L751" s="6">
        <f t="shared" si="33"/>
        <v>135338</v>
      </c>
      <c r="M751" s="6">
        <v>58002</v>
      </c>
      <c r="N751" s="5" t="str">
        <f t="shared" si="34"/>
        <v>Jul</v>
      </c>
      <c r="O751" s="5" t="str">
        <f t="shared" si="35"/>
        <v xml:space="preserve"> 2024</v>
      </c>
    </row>
    <row r="752" spans="1:15" x14ac:dyDescent="0.35">
      <c r="A752" t="s">
        <v>1298</v>
      </c>
      <c r="B752" s="5" t="s">
        <v>457</v>
      </c>
      <c r="C752" s="4" t="s">
        <v>55</v>
      </c>
      <c r="D752" s="4" t="s">
        <v>82</v>
      </c>
      <c r="E752" s="4" t="s">
        <v>83</v>
      </c>
      <c r="F752" s="4" t="s">
        <v>67</v>
      </c>
      <c r="G752" s="4" t="s">
        <v>134</v>
      </c>
      <c r="H752" s="4" t="s">
        <v>27</v>
      </c>
      <c r="I752" s="4" t="s">
        <v>28</v>
      </c>
      <c r="J752" s="3">
        <v>5</v>
      </c>
      <c r="K752" s="6">
        <v>243655</v>
      </c>
      <c r="L752" s="6">
        <f t="shared" si="33"/>
        <v>170558.5</v>
      </c>
      <c r="M752" s="6">
        <v>73096.5</v>
      </c>
      <c r="N752" s="5" t="str">
        <f t="shared" si="34"/>
        <v>Apr</v>
      </c>
      <c r="O752" s="5" t="str">
        <f t="shared" si="35"/>
        <v xml:space="preserve"> 2024</v>
      </c>
    </row>
    <row r="753" spans="1:15" x14ac:dyDescent="0.35">
      <c r="A753" t="s">
        <v>1299</v>
      </c>
      <c r="B753" s="5" t="s">
        <v>1300</v>
      </c>
      <c r="C753" s="4" t="s">
        <v>55</v>
      </c>
      <c r="D753" s="4" t="s">
        <v>63</v>
      </c>
      <c r="E753" s="4" t="s">
        <v>64</v>
      </c>
      <c r="F753" s="4" t="s">
        <v>25</v>
      </c>
      <c r="G753" s="4" t="s">
        <v>26</v>
      </c>
      <c r="H753" s="4" t="s">
        <v>18</v>
      </c>
      <c r="I753" s="4" t="s">
        <v>28</v>
      </c>
      <c r="J753" s="3">
        <v>2</v>
      </c>
      <c r="K753" s="6">
        <v>96262</v>
      </c>
      <c r="L753" s="6">
        <f t="shared" si="33"/>
        <v>67383.399999999994</v>
      </c>
      <c r="M753" s="6">
        <v>28878.600000000006</v>
      </c>
      <c r="N753" s="5" t="str">
        <f t="shared" si="34"/>
        <v>Apr</v>
      </c>
      <c r="O753" s="5" t="str">
        <f t="shared" si="35"/>
        <v xml:space="preserve"> 2023</v>
      </c>
    </row>
    <row r="754" spans="1:15" x14ac:dyDescent="0.35">
      <c r="A754" t="s">
        <v>1301</v>
      </c>
      <c r="B754" s="5" t="s">
        <v>190</v>
      </c>
      <c r="C754" s="4" t="s">
        <v>31</v>
      </c>
      <c r="D754" s="4" t="s">
        <v>104</v>
      </c>
      <c r="E754" s="4" t="s">
        <v>105</v>
      </c>
      <c r="F754" s="4" t="s">
        <v>16</v>
      </c>
      <c r="G754" s="4" t="s">
        <v>122</v>
      </c>
      <c r="H754" s="4" t="s">
        <v>18</v>
      </c>
      <c r="I754" s="4" t="s">
        <v>47</v>
      </c>
      <c r="J754" s="3">
        <v>7</v>
      </c>
      <c r="K754" s="6">
        <v>325143</v>
      </c>
      <c r="L754" s="6">
        <f t="shared" si="33"/>
        <v>227600.09999999998</v>
      </c>
      <c r="M754" s="6">
        <v>97542.900000000023</v>
      </c>
      <c r="N754" s="5" t="str">
        <f t="shared" si="34"/>
        <v>Nov</v>
      </c>
      <c r="O754" s="5" t="str">
        <f t="shared" si="35"/>
        <v xml:space="preserve"> 2024</v>
      </c>
    </row>
    <row r="755" spans="1:15" x14ac:dyDescent="0.35">
      <c r="A755" t="s">
        <v>1302</v>
      </c>
      <c r="B755" s="5" t="s">
        <v>437</v>
      </c>
      <c r="C755" s="4" t="s">
        <v>13</v>
      </c>
      <c r="D755" s="4" t="s">
        <v>125</v>
      </c>
      <c r="E755" s="4" t="s">
        <v>126</v>
      </c>
      <c r="F755" s="4" t="s">
        <v>16</v>
      </c>
      <c r="G755" s="4" t="s">
        <v>34</v>
      </c>
      <c r="H755" s="4" t="s">
        <v>72</v>
      </c>
      <c r="I755" s="4" t="s">
        <v>39</v>
      </c>
      <c r="J755" s="3">
        <v>2</v>
      </c>
      <c r="K755" s="6">
        <v>42626</v>
      </c>
      <c r="L755" s="6">
        <f t="shared" si="33"/>
        <v>29838.199999999997</v>
      </c>
      <c r="M755" s="6">
        <v>12787.800000000003</v>
      </c>
      <c r="N755" s="5" t="str">
        <f t="shared" si="34"/>
        <v>Aug</v>
      </c>
      <c r="O755" s="5" t="str">
        <f t="shared" si="35"/>
        <v xml:space="preserve"> 2024</v>
      </c>
    </row>
    <row r="756" spans="1:15" x14ac:dyDescent="0.35">
      <c r="A756" t="s">
        <v>1303</v>
      </c>
      <c r="B756" s="5" t="s">
        <v>103</v>
      </c>
      <c r="C756" s="4" t="s">
        <v>31</v>
      </c>
      <c r="D756" s="4" t="s">
        <v>45</v>
      </c>
      <c r="E756" s="4" t="s">
        <v>46</v>
      </c>
      <c r="F756" s="4" t="s">
        <v>16</v>
      </c>
      <c r="G756" s="4" t="s">
        <v>17</v>
      </c>
      <c r="H756" s="4" t="s">
        <v>27</v>
      </c>
      <c r="I756" s="4" t="s">
        <v>47</v>
      </c>
      <c r="J756" s="3">
        <v>8</v>
      </c>
      <c r="K756" s="6">
        <v>352416</v>
      </c>
      <c r="L756" s="6">
        <f t="shared" si="33"/>
        <v>246691.19999999998</v>
      </c>
      <c r="M756" s="6">
        <v>105724.80000000002</v>
      </c>
      <c r="N756" s="5" t="str">
        <f t="shared" si="34"/>
        <v>Oct</v>
      </c>
      <c r="O756" s="5" t="str">
        <f t="shared" si="35"/>
        <v xml:space="preserve"> 2024</v>
      </c>
    </row>
    <row r="757" spans="1:15" x14ac:dyDescent="0.35">
      <c r="A757" t="s">
        <v>1304</v>
      </c>
      <c r="B757" s="5" t="s">
        <v>909</v>
      </c>
      <c r="C757" s="4" t="s">
        <v>13</v>
      </c>
      <c r="D757" s="4" t="s">
        <v>118</v>
      </c>
      <c r="E757" s="4" t="s">
        <v>119</v>
      </c>
      <c r="F757" s="4" t="s">
        <v>37</v>
      </c>
      <c r="G757" s="4" t="s">
        <v>186</v>
      </c>
      <c r="H757" s="4" t="s">
        <v>72</v>
      </c>
      <c r="I757" s="4" t="s">
        <v>28</v>
      </c>
      <c r="J757" s="3">
        <v>9</v>
      </c>
      <c r="K757" s="6">
        <v>369018</v>
      </c>
      <c r="L757" s="6">
        <f t="shared" si="33"/>
        <v>258312.59999999998</v>
      </c>
      <c r="M757" s="6">
        <v>110705.40000000002</v>
      </c>
      <c r="N757" s="5" t="str">
        <f t="shared" si="34"/>
        <v>Mar</v>
      </c>
      <c r="O757" s="5" t="str">
        <f t="shared" si="35"/>
        <v xml:space="preserve"> 2024</v>
      </c>
    </row>
    <row r="758" spans="1:15" x14ac:dyDescent="0.35">
      <c r="A758" t="s">
        <v>1305</v>
      </c>
      <c r="B758" s="5" t="s">
        <v>1306</v>
      </c>
      <c r="C758" s="4" t="s">
        <v>31</v>
      </c>
      <c r="D758" s="4" t="s">
        <v>104</v>
      </c>
      <c r="E758" s="4" t="s">
        <v>105</v>
      </c>
      <c r="F758" s="4" t="s">
        <v>16</v>
      </c>
      <c r="G758" s="4" t="s">
        <v>42</v>
      </c>
      <c r="H758" s="4" t="s">
        <v>18</v>
      </c>
      <c r="I758" s="4" t="s">
        <v>39</v>
      </c>
      <c r="J758" s="3">
        <v>10</v>
      </c>
      <c r="K758" s="6">
        <v>301020</v>
      </c>
      <c r="L758" s="6">
        <f t="shared" si="33"/>
        <v>210714</v>
      </c>
      <c r="M758" s="6">
        <v>90306</v>
      </c>
      <c r="N758" s="5" t="str">
        <f t="shared" si="34"/>
        <v>May</v>
      </c>
      <c r="O758" s="5" t="str">
        <f t="shared" si="35"/>
        <v xml:space="preserve"> 2024</v>
      </c>
    </row>
    <row r="759" spans="1:15" x14ac:dyDescent="0.35">
      <c r="A759" t="s">
        <v>1307</v>
      </c>
      <c r="B759" s="5" t="s">
        <v>260</v>
      </c>
      <c r="C759" s="4" t="s">
        <v>55</v>
      </c>
      <c r="D759" s="4" t="s">
        <v>82</v>
      </c>
      <c r="E759" s="4" t="s">
        <v>83</v>
      </c>
      <c r="F759" s="4" t="s">
        <v>37</v>
      </c>
      <c r="G759" s="4" t="s">
        <v>186</v>
      </c>
      <c r="H759" s="4" t="s">
        <v>27</v>
      </c>
      <c r="I759" s="4" t="s">
        <v>28</v>
      </c>
      <c r="J759" s="3">
        <v>9</v>
      </c>
      <c r="K759" s="6">
        <v>134748</v>
      </c>
      <c r="L759" s="6">
        <f t="shared" si="33"/>
        <v>94323.599999999991</v>
      </c>
      <c r="M759" s="6">
        <v>40424.400000000009</v>
      </c>
      <c r="N759" s="5" t="str">
        <f t="shared" si="34"/>
        <v>Jan</v>
      </c>
      <c r="O759" s="5" t="str">
        <f t="shared" si="35"/>
        <v xml:space="preserve"> 2023</v>
      </c>
    </row>
    <row r="760" spans="1:15" x14ac:dyDescent="0.35">
      <c r="A760" t="s">
        <v>1308</v>
      </c>
      <c r="B760" s="5" t="s">
        <v>70</v>
      </c>
      <c r="C760" s="4" t="s">
        <v>13</v>
      </c>
      <c r="D760" s="4" t="s">
        <v>125</v>
      </c>
      <c r="E760" s="4" t="s">
        <v>126</v>
      </c>
      <c r="F760" s="4" t="s">
        <v>67</v>
      </c>
      <c r="G760" s="4" t="s">
        <v>180</v>
      </c>
      <c r="H760" s="4" t="s">
        <v>27</v>
      </c>
      <c r="I760" s="4" t="s">
        <v>47</v>
      </c>
      <c r="J760" s="3">
        <v>3</v>
      </c>
      <c r="K760" s="6">
        <v>108225</v>
      </c>
      <c r="L760" s="6">
        <f t="shared" si="33"/>
        <v>75757.5</v>
      </c>
      <c r="M760" s="6">
        <v>32467.5</v>
      </c>
      <c r="N760" s="5" t="str">
        <f t="shared" si="34"/>
        <v>Jul</v>
      </c>
      <c r="O760" s="5" t="str">
        <f t="shared" si="35"/>
        <v xml:space="preserve"> 2023</v>
      </c>
    </row>
    <row r="761" spans="1:15" x14ac:dyDescent="0.35">
      <c r="A761" t="s">
        <v>1309</v>
      </c>
      <c r="B761" s="5" t="s">
        <v>537</v>
      </c>
      <c r="C761" s="4" t="s">
        <v>22</v>
      </c>
      <c r="D761" s="4" t="s">
        <v>90</v>
      </c>
      <c r="E761" s="4" t="s">
        <v>91</v>
      </c>
      <c r="F761" s="4" t="s">
        <v>16</v>
      </c>
      <c r="G761" s="4" t="s">
        <v>42</v>
      </c>
      <c r="H761" s="4" t="s">
        <v>18</v>
      </c>
      <c r="I761" s="4" t="s">
        <v>19</v>
      </c>
      <c r="J761" s="3">
        <v>1</v>
      </c>
      <c r="K761" s="6">
        <v>48861</v>
      </c>
      <c r="L761" s="6">
        <f t="shared" si="33"/>
        <v>34202.699999999997</v>
      </c>
      <c r="M761" s="6">
        <v>14658.300000000003</v>
      </c>
      <c r="N761" s="5" t="str">
        <f t="shared" si="34"/>
        <v>Oct</v>
      </c>
      <c r="O761" s="5" t="str">
        <f t="shared" si="35"/>
        <v xml:space="preserve"> 2024</v>
      </c>
    </row>
    <row r="762" spans="1:15" x14ac:dyDescent="0.35">
      <c r="A762" t="s">
        <v>1310</v>
      </c>
      <c r="B762" s="5" t="s">
        <v>1311</v>
      </c>
      <c r="C762" s="4" t="s">
        <v>55</v>
      </c>
      <c r="D762" s="4" t="s">
        <v>98</v>
      </c>
      <c r="E762" s="4" t="s">
        <v>99</v>
      </c>
      <c r="F762" s="4" t="s">
        <v>67</v>
      </c>
      <c r="G762" s="4" t="s">
        <v>134</v>
      </c>
      <c r="H762" s="4" t="s">
        <v>18</v>
      </c>
      <c r="I762" s="4" t="s">
        <v>19</v>
      </c>
      <c r="J762" s="3">
        <v>4</v>
      </c>
      <c r="K762" s="6">
        <v>118204</v>
      </c>
      <c r="L762" s="6">
        <f t="shared" si="33"/>
        <v>82742.799999999988</v>
      </c>
      <c r="M762" s="6">
        <v>35461.200000000012</v>
      </c>
      <c r="N762" s="5" t="str">
        <f t="shared" si="34"/>
        <v>Aug</v>
      </c>
      <c r="O762" s="5" t="str">
        <f t="shared" si="35"/>
        <v xml:space="preserve"> 2024</v>
      </c>
    </row>
    <row r="763" spans="1:15" x14ac:dyDescent="0.35">
      <c r="A763" t="s">
        <v>1312</v>
      </c>
      <c r="B763" s="5" t="s">
        <v>981</v>
      </c>
      <c r="C763" s="4" t="s">
        <v>22</v>
      </c>
      <c r="D763" s="4" t="s">
        <v>23</v>
      </c>
      <c r="E763" s="4" t="s">
        <v>24</v>
      </c>
      <c r="F763" s="4" t="s">
        <v>25</v>
      </c>
      <c r="G763" s="4" t="s">
        <v>52</v>
      </c>
      <c r="H763" s="4" t="s">
        <v>72</v>
      </c>
      <c r="I763" s="4" t="s">
        <v>28</v>
      </c>
      <c r="J763" s="3">
        <v>6</v>
      </c>
      <c r="K763" s="6">
        <v>264432</v>
      </c>
      <c r="L763" s="6">
        <f t="shared" si="33"/>
        <v>185102.4</v>
      </c>
      <c r="M763" s="6">
        <v>79329.600000000006</v>
      </c>
      <c r="N763" s="5" t="str">
        <f t="shared" si="34"/>
        <v>Nov</v>
      </c>
      <c r="O763" s="5" t="str">
        <f t="shared" si="35"/>
        <v xml:space="preserve"> 2024</v>
      </c>
    </row>
    <row r="764" spans="1:15" x14ac:dyDescent="0.35">
      <c r="A764" t="s">
        <v>1313</v>
      </c>
      <c r="B764" s="5" t="s">
        <v>1167</v>
      </c>
      <c r="C764" s="4" t="s">
        <v>31</v>
      </c>
      <c r="D764" s="4" t="s">
        <v>50</v>
      </c>
      <c r="E764" s="4" t="s">
        <v>51</v>
      </c>
      <c r="F764" s="4" t="s">
        <v>25</v>
      </c>
      <c r="G764" s="4" t="s">
        <v>71</v>
      </c>
      <c r="H764" s="4" t="s">
        <v>72</v>
      </c>
      <c r="I764" s="4" t="s">
        <v>28</v>
      </c>
      <c r="J764" s="3">
        <v>1</v>
      </c>
      <c r="K764" s="6">
        <v>31466</v>
      </c>
      <c r="L764" s="6">
        <f t="shared" si="33"/>
        <v>22026.199999999997</v>
      </c>
      <c r="M764" s="6">
        <v>9439.8000000000029</v>
      </c>
      <c r="N764" s="5" t="str">
        <f t="shared" si="34"/>
        <v>Feb</v>
      </c>
      <c r="O764" s="5" t="str">
        <f t="shared" si="35"/>
        <v xml:space="preserve"> 2023</v>
      </c>
    </row>
    <row r="765" spans="1:15" x14ac:dyDescent="0.35">
      <c r="A765" t="s">
        <v>1314</v>
      </c>
      <c r="B765" s="5" t="s">
        <v>1315</v>
      </c>
      <c r="C765" s="4" t="s">
        <v>55</v>
      </c>
      <c r="D765" s="4" t="s">
        <v>56</v>
      </c>
      <c r="E765" s="4" t="s">
        <v>57</v>
      </c>
      <c r="F765" s="4" t="s">
        <v>37</v>
      </c>
      <c r="G765" s="4" t="s">
        <v>148</v>
      </c>
      <c r="H765" s="4" t="s">
        <v>27</v>
      </c>
      <c r="I765" s="4" t="s">
        <v>19</v>
      </c>
      <c r="J765" s="3">
        <v>1</v>
      </c>
      <c r="K765" s="6">
        <v>48587</v>
      </c>
      <c r="L765" s="6">
        <f t="shared" si="33"/>
        <v>34010.9</v>
      </c>
      <c r="M765" s="6">
        <v>14576.099999999999</v>
      </c>
      <c r="N765" s="5" t="str">
        <f t="shared" si="34"/>
        <v>May</v>
      </c>
      <c r="O765" s="5" t="str">
        <f t="shared" si="35"/>
        <v xml:space="preserve"> 2024</v>
      </c>
    </row>
    <row r="766" spans="1:15" x14ac:dyDescent="0.35">
      <c r="A766" t="s">
        <v>1316</v>
      </c>
      <c r="B766" s="5" t="s">
        <v>192</v>
      </c>
      <c r="C766" s="4" t="s">
        <v>13</v>
      </c>
      <c r="D766" s="4" t="s">
        <v>118</v>
      </c>
      <c r="E766" s="4" t="s">
        <v>119</v>
      </c>
      <c r="F766" s="4" t="s">
        <v>25</v>
      </c>
      <c r="G766" s="4" t="s">
        <v>52</v>
      </c>
      <c r="H766" s="4" t="s">
        <v>72</v>
      </c>
      <c r="I766" s="4" t="s">
        <v>47</v>
      </c>
      <c r="J766" s="3">
        <v>9</v>
      </c>
      <c r="K766" s="6">
        <v>61938</v>
      </c>
      <c r="L766" s="6">
        <f t="shared" si="33"/>
        <v>43356.6</v>
      </c>
      <c r="M766" s="6">
        <v>18581.400000000001</v>
      </c>
      <c r="N766" s="5" t="str">
        <f t="shared" si="34"/>
        <v>Sep</v>
      </c>
      <c r="O766" s="5" t="str">
        <f t="shared" si="35"/>
        <v xml:space="preserve"> 2024</v>
      </c>
    </row>
    <row r="767" spans="1:15" x14ac:dyDescent="0.35">
      <c r="A767" t="s">
        <v>1317</v>
      </c>
      <c r="B767" s="5" t="s">
        <v>1318</v>
      </c>
      <c r="C767" s="4" t="s">
        <v>31</v>
      </c>
      <c r="D767" s="4" t="s">
        <v>50</v>
      </c>
      <c r="E767" s="4" t="s">
        <v>51</v>
      </c>
      <c r="F767" s="4" t="s">
        <v>16</v>
      </c>
      <c r="G767" s="4" t="s">
        <v>122</v>
      </c>
      <c r="H767" s="4" t="s">
        <v>27</v>
      </c>
      <c r="I767" s="4" t="s">
        <v>47</v>
      </c>
      <c r="J767" s="3">
        <v>10</v>
      </c>
      <c r="K767" s="6">
        <v>229980</v>
      </c>
      <c r="L767" s="6">
        <f t="shared" si="33"/>
        <v>160986</v>
      </c>
      <c r="M767" s="6">
        <v>68994</v>
      </c>
      <c r="N767" s="5" t="str">
        <f t="shared" si="34"/>
        <v>Nov</v>
      </c>
      <c r="O767" s="5" t="str">
        <f t="shared" si="35"/>
        <v xml:space="preserve"> 2023</v>
      </c>
    </row>
    <row r="768" spans="1:15" x14ac:dyDescent="0.35">
      <c r="A768" t="s">
        <v>1319</v>
      </c>
      <c r="B768" s="5" t="s">
        <v>1292</v>
      </c>
      <c r="C768" s="4" t="s">
        <v>13</v>
      </c>
      <c r="D768" s="4" t="s">
        <v>125</v>
      </c>
      <c r="E768" s="4" t="s">
        <v>126</v>
      </c>
      <c r="F768" s="4" t="s">
        <v>16</v>
      </c>
      <c r="G768" s="4" t="s">
        <v>122</v>
      </c>
      <c r="H768" s="4" t="s">
        <v>27</v>
      </c>
      <c r="I768" s="4" t="s">
        <v>28</v>
      </c>
      <c r="J768" s="3">
        <v>10</v>
      </c>
      <c r="K768" s="6">
        <v>53800</v>
      </c>
      <c r="L768" s="6">
        <f t="shared" si="33"/>
        <v>37660</v>
      </c>
      <c r="M768" s="6">
        <v>16140</v>
      </c>
      <c r="N768" s="5" t="str">
        <f t="shared" si="34"/>
        <v>Sep</v>
      </c>
      <c r="O768" s="5" t="str">
        <f t="shared" si="35"/>
        <v xml:space="preserve"> 2023</v>
      </c>
    </row>
    <row r="769" spans="1:15" x14ac:dyDescent="0.35">
      <c r="A769" t="s">
        <v>1320</v>
      </c>
      <c r="B769" s="5" t="s">
        <v>461</v>
      </c>
      <c r="C769" s="4" t="s">
        <v>13</v>
      </c>
      <c r="D769" s="4" t="s">
        <v>14</v>
      </c>
      <c r="E769" s="4" t="s">
        <v>15</v>
      </c>
      <c r="F769" s="4" t="s">
        <v>25</v>
      </c>
      <c r="G769" s="4" t="s">
        <v>71</v>
      </c>
      <c r="H769" s="4" t="s">
        <v>18</v>
      </c>
      <c r="I769" s="4" t="s">
        <v>39</v>
      </c>
      <c r="J769" s="3">
        <v>8</v>
      </c>
      <c r="K769" s="6">
        <v>154552</v>
      </c>
      <c r="L769" s="6">
        <f t="shared" si="33"/>
        <v>108186.4</v>
      </c>
      <c r="M769" s="6">
        <v>46365.600000000006</v>
      </c>
      <c r="N769" s="5" t="str">
        <f t="shared" si="34"/>
        <v>Jul</v>
      </c>
      <c r="O769" s="5" t="str">
        <f t="shared" si="35"/>
        <v xml:space="preserve"> 2023</v>
      </c>
    </row>
    <row r="770" spans="1:15" x14ac:dyDescent="0.35">
      <c r="A770" t="s">
        <v>1321</v>
      </c>
      <c r="B770" s="5" t="s">
        <v>1322</v>
      </c>
      <c r="C770" s="4" t="s">
        <v>22</v>
      </c>
      <c r="D770" s="4" t="s">
        <v>86</v>
      </c>
      <c r="E770" s="4" t="s">
        <v>87</v>
      </c>
      <c r="F770" s="4" t="s">
        <v>67</v>
      </c>
      <c r="G770" s="4" t="s">
        <v>180</v>
      </c>
      <c r="H770" s="4" t="s">
        <v>72</v>
      </c>
      <c r="I770" s="4" t="s">
        <v>19</v>
      </c>
      <c r="J770" s="3">
        <v>10</v>
      </c>
      <c r="K770" s="6">
        <v>112730</v>
      </c>
      <c r="L770" s="6">
        <f t="shared" ref="L770:L833" si="36">K770*0.7</f>
        <v>78911</v>
      </c>
      <c r="M770" s="6">
        <v>33819</v>
      </c>
      <c r="N770" s="5" t="str">
        <f t="shared" ref="N770:N833" si="37">TEXT(B770,"mmm")</f>
        <v>Oct</v>
      </c>
      <c r="O770" s="5" t="str">
        <f t="shared" ref="O770:O833" si="38">TEXT(B770," yyyy")</f>
        <v xml:space="preserve"> 2023</v>
      </c>
    </row>
    <row r="771" spans="1:15" x14ac:dyDescent="0.35">
      <c r="A771" t="s">
        <v>1323</v>
      </c>
      <c r="B771" s="5" t="s">
        <v>1324</v>
      </c>
      <c r="C771" s="4" t="s">
        <v>22</v>
      </c>
      <c r="D771" s="4" t="s">
        <v>90</v>
      </c>
      <c r="E771" s="4" t="s">
        <v>110</v>
      </c>
      <c r="F771" s="4" t="s">
        <v>37</v>
      </c>
      <c r="G771" s="4" t="s">
        <v>148</v>
      </c>
      <c r="H771" s="4" t="s">
        <v>18</v>
      </c>
      <c r="I771" s="4" t="s">
        <v>60</v>
      </c>
      <c r="J771" s="3">
        <v>6</v>
      </c>
      <c r="K771" s="6">
        <v>49158</v>
      </c>
      <c r="L771" s="6">
        <f t="shared" si="36"/>
        <v>34410.6</v>
      </c>
      <c r="M771" s="6">
        <v>14747.400000000001</v>
      </c>
      <c r="N771" s="5" t="str">
        <f t="shared" si="37"/>
        <v>Jan</v>
      </c>
      <c r="O771" s="5" t="str">
        <f t="shared" si="38"/>
        <v xml:space="preserve"> 2023</v>
      </c>
    </row>
    <row r="772" spans="1:15" x14ac:dyDescent="0.35">
      <c r="A772" t="s">
        <v>1325</v>
      </c>
      <c r="B772" s="5" t="s">
        <v>1044</v>
      </c>
      <c r="C772" s="4" t="s">
        <v>55</v>
      </c>
      <c r="D772" s="4" t="s">
        <v>82</v>
      </c>
      <c r="E772" s="4" t="s">
        <v>83</v>
      </c>
      <c r="F772" s="4" t="s">
        <v>25</v>
      </c>
      <c r="G772" s="4" t="s">
        <v>52</v>
      </c>
      <c r="H772" s="4" t="s">
        <v>18</v>
      </c>
      <c r="I772" s="4" t="s">
        <v>60</v>
      </c>
      <c r="J772" s="3">
        <v>3</v>
      </c>
      <c r="K772" s="6">
        <v>27018</v>
      </c>
      <c r="L772" s="6">
        <f t="shared" si="36"/>
        <v>18912.599999999999</v>
      </c>
      <c r="M772" s="6">
        <v>8105.4000000000015</v>
      </c>
      <c r="N772" s="5" t="str">
        <f t="shared" si="37"/>
        <v>Jan</v>
      </c>
      <c r="O772" s="5" t="str">
        <f t="shared" si="38"/>
        <v xml:space="preserve"> 2024</v>
      </c>
    </row>
    <row r="773" spans="1:15" x14ac:dyDescent="0.35">
      <c r="A773" t="s">
        <v>1326</v>
      </c>
      <c r="B773" s="5" t="s">
        <v>300</v>
      </c>
      <c r="C773" s="4" t="s">
        <v>55</v>
      </c>
      <c r="D773" s="4" t="s">
        <v>63</v>
      </c>
      <c r="E773" s="4" t="s">
        <v>64</v>
      </c>
      <c r="F773" s="4" t="s">
        <v>37</v>
      </c>
      <c r="G773" s="4" t="s">
        <v>186</v>
      </c>
      <c r="H773" s="4" t="s">
        <v>18</v>
      </c>
      <c r="I773" s="4" t="s">
        <v>39</v>
      </c>
      <c r="J773" s="3">
        <v>7</v>
      </c>
      <c r="K773" s="6">
        <v>343819</v>
      </c>
      <c r="L773" s="6">
        <f t="shared" si="36"/>
        <v>240673.3</v>
      </c>
      <c r="M773" s="6">
        <v>103145.70000000001</v>
      </c>
      <c r="N773" s="5" t="str">
        <f t="shared" si="37"/>
        <v>Aug</v>
      </c>
      <c r="O773" s="5" t="str">
        <f t="shared" si="38"/>
        <v xml:space="preserve"> 2023</v>
      </c>
    </row>
    <row r="774" spans="1:15" x14ac:dyDescent="0.35">
      <c r="A774" t="s">
        <v>1327</v>
      </c>
      <c r="B774" s="5" t="s">
        <v>211</v>
      </c>
      <c r="C774" s="4" t="s">
        <v>22</v>
      </c>
      <c r="D774" s="4" t="s">
        <v>23</v>
      </c>
      <c r="E774" s="4" t="s">
        <v>24</v>
      </c>
      <c r="F774" s="4" t="s">
        <v>67</v>
      </c>
      <c r="G774" s="4" t="s">
        <v>68</v>
      </c>
      <c r="H774" s="4" t="s">
        <v>27</v>
      </c>
      <c r="I774" s="4" t="s">
        <v>28</v>
      </c>
      <c r="J774" s="3">
        <v>5</v>
      </c>
      <c r="K774" s="6">
        <v>151730</v>
      </c>
      <c r="L774" s="6">
        <f t="shared" si="36"/>
        <v>106211</v>
      </c>
      <c r="M774" s="6">
        <v>45519</v>
      </c>
      <c r="N774" s="5" t="str">
        <f t="shared" si="37"/>
        <v>Apr</v>
      </c>
      <c r="O774" s="5" t="str">
        <f t="shared" si="38"/>
        <v xml:space="preserve"> 2024</v>
      </c>
    </row>
    <row r="775" spans="1:15" x14ac:dyDescent="0.35">
      <c r="A775" t="s">
        <v>1328</v>
      </c>
      <c r="B775" s="5" t="s">
        <v>1329</v>
      </c>
      <c r="C775" s="4" t="s">
        <v>31</v>
      </c>
      <c r="D775" s="4" t="s">
        <v>45</v>
      </c>
      <c r="E775" s="4" t="s">
        <v>46</v>
      </c>
      <c r="F775" s="4" t="s">
        <v>37</v>
      </c>
      <c r="G775" s="4" t="s">
        <v>183</v>
      </c>
      <c r="H775" s="4" t="s">
        <v>27</v>
      </c>
      <c r="I775" s="4" t="s">
        <v>19</v>
      </c>
      <c r="J775" s="3">
        <v>4</v>
      </c>
      <c r="K775" s="6">
        <v>199968</v>
      </c>
      <c r="L775" s="6">
        <f t="shared" si="36"/>
        <v>139977.59999999998</v>
      </c>
      <c r="M775" s="6">
        <v>59990.400000000023</v>
      </c>
      <c r="N775" s="5" t="str">
        <f t="shared" si="37"/>
        <v>Aug</v>
      </c>
      <c r="O775" s="5" t="str">
        <f t="shared" si="38"/>
        <v xml:space="preserve"> 2024</v>
      </c>
    </row>
    <row r="776" spans="1:15" x14ac:dyDescent="0.35">
      <c r="A776" t="s">
        <v>1330</v>
      </c>
      <c r="B776" s="5" t="s">
        <v>1030</v>
      </c>
      <c r="C776" s="4" t="s">
        <v>55</v>
      </c>
      <c r="D776" s="4" t="s">
        <v>63</v>
      </c>
      <c r="E776" s="4" t="s">
        <v>64</v>
      </c>
      <c r="F776" s="4" t="s">
        <v>37</v>
      </c>
      <c r="G776" s="4" t="s">
        <v>183</v>
      </c>
      <c r="H776" s="4" t="s">
        <v>27</v>
      </c>
      <c r="I776" s="4" t="s">
        <v>47</v>
      </c>
      <c r="J776" s="3">
        <v>8</v>
      </c>
      <c r="K776" s="6">
        <v>181896</v>
      </c>
      <c r="L776" s="6">
        <f t="shared" si="36"/>
        <v>127327.2</v>
      </c>
      <c r="M776" s="6">
        <v>54568.800000000003</v>
      </c>
      <c r="N776" s="5" t="str">
        <f t="shared" si="37"/>
        <v>Sep</v>
      </c>
      <c r="O776" s="5" t="str">
        <f t="shared" si="38"/>
        <v xml:space="preserve"> 2024</v>
      </c>
    </row>
    <row r="777" spans="1:15" x14ac:dyDescent="0.35">
      <c r="A777" t="s">
        <v>1331</v>
      </c>
      <c r="B777" s="5" t="s">
        <v>12</v>
      </c>
      <c r="C777" s="4" t="s">
        <v>31</v>
      </c>
      <c r="D777" s="4" t="s">
        <v>32</v>
      </c>
      <c r="E777" s="4" t="s">
        <v>33</v>
      </c>
      <c r="F777" s="4" t="s">
        <v>25</v>
      </c>
      <c r="G777" s="4" t="s">
        <v>77</v>
      </c>
      <c r="H777" s="4" t="s">
        <v>18</v>
      </c>
      <c r="I777" s="4" t="s">
        <v>60</v>
      </c>
      <c r="J777" s="3">
        <v>1</v>
      </c>
      <c r="K777" s="6">
        <v>27303</v>
      </c>
      <c r="L777" s="6">
        <f t="shared" si="36"/>
        <v>19112.099999999999</v>
      </c>
      <c r="M777" s="6">
        <v>8190.9000000000015</v>
      </c>
      <c r="N777" s="5" t="str">
        <f t="shared" si="37"/>
        <v>Jul</v>
      </c>
      <c r="O777" s="5" t="str">
        <f t="shared" si="38"/>
        <v xml:space="preserve"> 2024</v>
      </c>
    </row>
    <row r="778" spans="1:15" x14ac:dyDescent="0.35">
      <c r="A778" t="s">
        <v>1332</v>
      </c>
      <c r="B778" s="5" t="s">
        <v>109</v>
      </c>
      <c r="C778" s="4" t="s">
        <v>31</v>
      </c>
      <c r="D778" s="4" t="s">
        <v>50</v>
      </c>
      <c r="E778" s="4" t="s">
        <v>51</v>
      </c>
      <c r="F778" s="4" t="s">
        <v>25</v>
      </c>
      <c r="G778" s="4" t="s">
        <v>71</v>
      </c>
      <c r="H778" s="4" t="s">
        <v>18</v>
      </c>
      <c r="I778" s="4" t="s">
        <v>47</v>
      </c>
      <c r="J778" s="3">
        <v>4</v>
      </c>
      <c r="K778" s="6">
        <v>13016</v>
      </c>
      <c r="L778" s="6">
        <f t="shared" si="36"/>
        <v>9111.1999999999989</v>
      </c>
      <c r="M778" s="6">
        <v>3904.8000000000011</v>
      </c>
      <c r="N778" s="5" t="str">
        <f t="shared" si="37"/>
        <v>Jul</v>
      </c>
      <c r="O778" s="5" t="str">
        <f t="shared" si="38"/>
        <v xml:space="preserve"> 2024</v>
      </c>
    </row>
    <row r="779" spans="1:15" x14ac:dyDescent="0.35">
      <c r="A779" t="s">
        <v>1333</v>
      </c>
      <c r="B779" s="5" t="s">
        <v>1334</v>
      </c>
      <c r="C779" s="4" t="s">
        <v>22</v>
      </c>
      <c r="D779" s="4" t="s">
        <v>90</v>
      </c>
      <c r="E779" s="4" t="s">
        <v>91</v>
      </c>
      <c r="F779" s="4" t="s">
        <v>25</v>
      </c>
      <c r="G779" s="4" t="s">
        <v>71</v>
      </c>
      <c r="H779" s="4" t="s">
        <v>72</v>
      </c>
      <c r="I779" s="4" t="s">
        <v>39</v>
      </c>
      <c r="J779" s="3">
        <v>9</v>
      </c>
      <c r="K779" s="6">
        <v>185877</v>
      </c>
      <c r="L779" s="6">
        <f t="shared" si="36"/>
        <v>130113.9</v>
      </c>
      <c r="M779" s="6">
        <v>55763.100000000006</v>
      </c>
      <c r="N779" s="5" t="str">
        <f t="shared" si="37"/>
        <v>Mar</v>
      </c>
      <c r="O779" s="5" t="str">
        <f t="shared" si="38"/>
        <v xml:space="preserve"> 2023</v>
      </c>
    </row>
    <row r="780" spans="1:15" x14ac:dyDescent="0.35">
      <c r="A780" t="s">
        <v>1335</v>
      </c>
      <c r="B780" s="5" t="s">
        <v>1336</v>
      </c>
      <c r="C780" s="4" t="s">
        <v>31</v>
      </c>
      <c r="D780" s="4" t="s">
        <v>45</v>
      </c>
      <c r="E780" s="4" t="s">
        <v>46</v>
      </c>
      <c r="F780" s="4" t="s">
        <v>25</v>
      </c>
      <c r="G780" s="4" t="s">
        <v>52</v>
      </c>
      <c r="H780" s="4" t="s">
        <v>18</v>
      </c>
      <c r="I780" s="4" t="s">
        <v>47</v>
      </c>
      <c r="J780" s="3">
        <v>3</v>
      </c>
      <c r="K780" s="6">
        <v>140178</v>
      </c>
      <c r="L780" s="6">
        <f t="shared" si="36"/>
        <v>98124.599999999991</v>
      </c>
      <c r="M780" s="6">
        <v>42053.400000000009</v>
      </c>
      <c r="N780" s="5" t="str">
        <f t="shared" si="37"/>
        <v>Apr</v>
      </c>
      <c r="O780" s="5" t="str">
        <f t="shared" si="38"/>
        <v xml:space="preserve"> 2023</v>
      </c>
    </row>
    <row r="781" spans="1:15" x14ac:dyDescent="0.35">
      <c r="A781" t="s">
        <v>1337</v>
      </c>
      <c r="B781" s="5" t="s">
        <v>1338</v>
      </c>
      <c r="C781" s="4" t="s">
        <v>13</v>
      </c>
      <c r="D781" s="4" t="s">
        <v>162</v>
      </c>
      <c r="E781" s="4" t="s">
        <v>163</v>
      </c>
      <c r="F781" s="4" t="s">
        <v>16</v>
      </c>
      <c r="G781" s="4" t="s">
        <v>34</v>
      </c>
      <c r="H781" s="4" t="s">
        <v>27</v>
      </c>
      <c r="I781" s="4" t="s">
        <v>28</v>
      </c>
      <c r="J781" s="3">
        <v>7</v>
      </c>
      <c r="K781" s="6">
        <v>198506</v>
      </c>
      <c r="L781" s="6">
        <f t="shared" si="36"/>
        <v>138954.19999999998</v>
      </c>
      <c r="M781" s="6">
        <v>59551.800000000017</v>
      </c>
      <c r="N781" s="5" t="str">
        <f t="shared" si="37"/>
        <v>Sep</v>
      </c>
      <c r="O781" s="5" t="str">
        <f t="shared" si="38"/>
        <v xml:space="preserve"> 2023</v>
      </c>
    </row>
    <row r="782" spans="1:15" x14ac:dyDescent="0.35">
      <c r="A782" t="s">
        <v>1339</v>
      </c>
      <c r="B782" s="5" t="s">
        <v>1340</v>
      </c>
      <c r="C782" s="4" t="s">
        <v>55</v>
      </c>
      <c r="D782" s="4" t="s">
        <v>82</v>
      </c>
      <c r="E782" s="4" t="s">
        <v>83</v>
      </c>
      <c r="F782" s="4" t="s">
        <v>25</v>
      </c>
      <c r="G782" s="4" t="s">
        <v>52</v>
      </c>
      <c r="H782" s="4" t="s">
        <v>72</v>
      </c>
      <c r="I782" s="4" t="s">
        <v>28</v>
      </c>
      <c r="J782" s="3">
        <v>2</v>
      </c>
      <c r="K782" s="6">
        <v>21856</v>
      </c>
      <c r="L782" s="6">
        <f t="shared" si="36"/>
        <v>15299.199999999999</v>
      </c>
      <c r="M782" s="6">
        <v>6556.8000000000011</v>
      </c>
      <c r="N782" s="5" t="str">
        <f t="shared" si="37"/>
        <v>Nov</v>
      </c>
      <c r="O782" s="5" t="str">
        <f t="shared" si="38"/>
        <v xml:space="preserve"> 2024</v>
      </c>
    </row>
    <row r="783" spans="1:15" x14ac:dyDescent="0.35">
      <c r="A783" t="s">
        <v>1341</v>
      </c>
      <c r="B783" s="5" t="s">
        <v>1342</v>
      </c>
      <c r="C783" s="4" t="s">
        <v>22</v>
      </c>
      <c r="D783" s="4" t="s">
        <v>90</v>
      </c>
      <c r="E783" s="4" t="s">
        <v>110</v>
      </c>
      <c r="F783" s="4" t="s">
        <v>67</v>
      </c>
      <c r="G783" s="4" t="s">
        <v>113</v>
      </c>
      <c r="H783" s="4" t="s">
        <v>27</v>
      </c>
      <c r="I783" s="4" t="s">
        <v>19</v>
      </c>
      <c r="J783" s="3">
        <v>9</v>
      </c>
      <c r="K783" s="6">
        <v>109089</v>
      </c>
      <c r="L783" s="6">
        <f t="shared" si="36"/>
        <v>76362.299999999988</v>
      </c>
      <c r="M783" s="6">
        <v>32726.700000000012</v>
      </c>
      <c r="N783" s="5" t="str">
        <f t="shared" si="37"/>
        <v>Aug</v>
      </c>
      <c r="O783" s="5" t="str">
        <f t="shared" si="38"/>
        <v xml:space="preserve"> 2023</v>
      </c>
    </row>
    <row r="784" spans="1:15" x14ac:dyDescent="0.35">
      <c r="A784" t="s">
        <v>1343</v>
      </c>
      <c r="B784" s="5" t="s">
        <v>248</v>
      </c>
      <c r="C784" s="4" t="s">
        <v>13</v>
      </c>
      <c r="D784" s="4" t="s">
        <v>125</v>
      </c>
      <c r="E784" s="4" t="s">
        <v>126</v>
      </c>
      <c r="F784" s="4" t="s">
        <v>25</v>
      </c>
      <c r="G784" s="4" t="s">
        <v>71</v>
      </c>
      <c r="H784" s="4" t="s">
        <v>72</v>
      </c>
      <c r="I784" s="4" t="s">
        <v>60</v>
      </c>
      <c r="J784" s="3">
        <v>10</v>
      </c>
      <c r="K784" s="6">
        <v>307670</v>
      </c>
      <c r="L784" s="6">
        <f t="shared" si="36"/>
        <v>215369</v>
      </c>
      <c r="M784" s="6">
        <v>92301</v>
      </c>
      <c r="N784" s="5" t="str">
        <f t="shared" si="37"/>
        <v>Jun</v>
      </c>
      <c r="O784" s="5" t="str">
        <f t="shared" si="38"/>
        <v xml:space="preserve"> 2024</v>
      </c>
    </row>
    <row r="785" spans="1:15" x14ac:dyDescent="0.35">
      <c r="A785" t="s">
        <v>1344</v>
      </c>
      <c r="B785" s="5" t="s">
        <v>638</v>
      </c>
      <c r="C785" s="4" t="s">
        <v>13</v>
      </c>
      <c r="D785" s="4" t="s">
        <v>14</v>
      </c>
      <c r="E785" s="4" t="s">
        <v>15</v>
      </c>
      <c r="F785" s="4" t="s">
        <v>37</v>
      </c>
      <c r="G785" s="4" t="s">
        <v>148</v>
      </c>
      <c r="H785" s="4" t="s">
        <v>72</v>
      </c>
      <c r="I785" s="4" t="s">
        <v>60</v>
      </c>
      <c r="J785" s="3">
        <v>1</v>
      </c>
      <c r="K785" s="6">
        <v>17247</v>
      </c>
      <c r="L785" s="6">
        <f t="shared" si="36"/>
        <v>12072.9</v>
      </c>
      <c r="M785" s="6">
        <v>5174.1000000000004</v>
      </c>
      <c r="N785" s="5" t="str">
        <f t="shared" si="37"/>
        <v>Dec</v>
      </c>
      <c r="O785" s="5" t="str">
        <f t="shared" si="38"/>
        <v xml:space="preserve"> 2023</v>
      </c>
    </row>
    <row r="786" spans="1:15" x14ac:dyDescent="0.35">
      <c r="A786" t="s">
        <v>1345</v>
      </c>
      <c r="B786" s="5" t="s">
        <v>853</v>
      </c>
      <c r="C786" s="4" t="s">
        <v>31</v>
      </c>
      <c r="D786" s="4" t="s">
        <v>45</v>
      </c>
      <c r="E786" s="4" t="s">
        <v>46</v>
      </c>
      <c r="F786" s="4" t="s">
        <v>37</v>
      </c>
      <c r="G786" s="4" t="s">
        <v>38</v>
      </c>
      <c r="H786" s="4" t="s">
        <v>18</v>
      </c>
      <c r="I786" s="4" t="s">
        <v>28</v>
      </c>
      <c r="J786" s="3">
        <v>9</v>
      </c>
      <c r="K786" s="6">
        <v>106677</v>
      </c>
      <c r="L786" s="6">
        <f t="shared" si="36"/>
        <v>74673.899999999994</v>
      </c>
      <c r="M786" s="6">
        <v>32003.100000000006</v>
      </c>
      <c r="N786" s="5" t="str">
        <f t="shared" si="37"/>
        <v>Feb</v>
      </c>
      <c r="O786" s="5" t="str">
        <f t="shared" si="38"/>
        <v xml:space="preserve"> 2024</v>
      </c>
    </row>
    <row r="787" spans="1:15" x14ac:dyDescent="0.35">
      <c r="A787" t="s">
        <v>1346</v>
      </c>
      <c r="B787" s="5" t="s">
        <v>465</v>
      </c>
      <c r="C787" s="4" t="s">
        <v>22</v>
      </c>
      <c r="D787" s="4" t="s">
        <v>90</v>
      </c>
      <c r="E787" s="4" t="s">
        <v>91</v>
      </c>
      <c r="F787" s="4" t="s">
        <v>16</v>
      </c>
      <c r="G787" s="4" t="s">
        <v>17</v>
      </c>
      <c r="H787" s="4" t="s">
        <v>72</v>
      </c>
      <c r="I787" s="4" t="s">
        <v>19</v>
      </c>
      <c r="J787" s="3">
        <v>3</v>
      </c>
      <c r="K787" s="6">
        <v>71637</v>
      </c>
      <c r="L787" s="6">
        <f t="shared" si="36"/>
        <v>50145.899999999994</v>
      </c>
      <c r="M787" s="6">
        <v>21491.100000000006</v>
      </c>
      <c r="N787" s="5" t="str">
        <f t="shared" si="37"/>
        <v>Oct</v>
      </c>
      <c r="O787" s="5" t="str">
        <f t="shared" si="38"/>
        <v xml:space="preserve"> 2024</v>
      </c>
    </row>
    <row r="788" spans="1:15" x14ac:dyDescent="0.35">
      <c r="A788" t="s">
        <v>1347</v>
      </c>
      <c r="B788" s="5" t="s">
        <v>93</v>
      </c>
      <c r="C788" s="4" t="s">
        <v>31</v>
      </c>
      <c r="D788" s="4" t="s">
        <v>32</v>
      </c>
      <c r="E788" s="4" t="s">
        <v>33</v>
      </c>
      <c r="F788" s="4" t="s">
        <v>37</v>
      </c>
      <c r="G788" s="4" t="s">
        <v>38</v>
      </c>
      <c r="H788" s="4" t="s">
        <v>27</v>
      </c>
      <c r="I788" s="4" t="s">
        <v>60</v>
      </c>
      <c r="J788" s="3">
        <v>9</v>
      </c>
      <c r="K788" s="6">
        <v>284598</v>
      </c>
      <c r="L788" s="6">
        <f t="shared" si="36"/>
        <v>199218.59999999998</v>
      </c>
      <c r="M788" s="6">
        <v>85379.400000000023</v>
      </c>
      <c r="N788" s="5" t="str">
        <f t="shared" si="37"/>
        <v>Nov</v>
      </c>
      <c r="O788" s="5" t="str">
        <f t="shared" si="38"/>
        <v xml:space="preserve"> 2023</v>
      </c>
    </row>
    <row r="789" spans="1:15" x14ac:dyDescent="0.35">
      <c r="A789" t="s">
        <v>1348</v>
      </c>
      <c r="B789" s="5" t="s">
        <v>209</v>
      </c>
      <c r="C789" s="4" t="s">
        <v>55</v>
      </c>
      <c r="D789" s="4" t="s">
        <v>56</v>
      </c>
      <c r="E789" s="4" t="s">
        <v>57</v>
      </c>
      <c r="F789" s="4" t="s">
        <v>16</v>
      </c>
      <c r="G789" s="4" t="s">
        <v>42</v>
      </c>
      <c r="H789" s="4" t="s">
        <v>72</v>
      </c>
      <c r="I789" s="4" t="s">
        <v>28</v>
      </c>
      <c r="J789" s="3">
        <v>5</v>
      </c>
      <c r="K789" s="6">
        <v>244395</v>
      </c>
      <c r="L789" s="6">
        <f t="shared" si="36"/>
        <v>171076.5</v>
      </c>
      <c r="M789" s="6">
        <v>73318.5</v>
      </c>
      <c r="N789" s="5" t="str">
        <f t="shared" si="37"/>
        <v>Oct</v>
      </c>
      <c r="O789" s="5" t="str">
        <f t="shared" si="38"/>
        <v xml:space="preserve"> 2024</v>
      </c>
    </row>
    <row r="790" spans="1:15" x14ac:dyDescent="0.35">
      <c r="A790" t="s">
        <v>1349</v>
      </c>
      <c r="B790" s="5" t="s">
        <v>1350</v>
      </c>
      <c r="C790" s="4" t="s">
        <v>13</v>
      </c>
      <c r="D790" s="4" t="s">
        <v>118</v>
      </c>
      <c r="E790" s="4" t="s">
        <v>119</v>
      </c>
      <c r="F790" s="4" t="s">
        <v>16</v>
      </c>
      <c r="G790" s="4" t="s">
        <v>42</v>
      </c>
      <c r="H790" s="4" t="s">
        <v>18</v>
      </c>
      <c r="I790" s="4" t="s">
        <v>28</v>
      </c>
      <c r="J790" s="3">
        <v>7</v>
      </c>
      <c r="K790" s="6">
        <v>342370</v>
      </c>
      <c r="L790" s="6">
        <f t="shared" si="36"/>
        <v>239658.99999999997</v>
      </c>
      <c r="M790" s="6">
        <v>102711.00000000003</v>
      </c>
      <c r="N790" s="5" t="str">
        <f t="shared" si="37"/>
        <v>Jun</v>
      </c>
      <c r="O790" s="5" t="str">
        <f t="shared" si="38"/>
        <v xml:space="preserve"> 2023</v>
      </c>
    </row>
    <row r="791" spans="1:15" x14ac:dyDescent="0.35">
      <c r="A791" t="s">
        <v>1351</v>
      </c>
      <c r="B791" s="5" t="s">
        <v>1352</v>
      </c>
      <c r="C791" s="4" t="s">
        <v>22</v>
      </c>
      <c r="D791" s="4" t="s">
        <v>90</v>
      </c>
      <c r="E791" s="4" t="s">
        <v>110</v>
      </c>
      <c r="F791" s="4" t="s">
        <v>37</v>
      </c>
      <c r="G791" s="4" t="s">
        <v>186</v>
      </c>
      <c r="H791" s="4" t="s">
        <v>18</v>
      </c>
      <c r="I791" s="4" t="s">
        <v>47</v>
      </c>
      <c r="J791" s="3">
        <v>3</v>
      </c>
      <c r="K791" s="6">
        <v>71841</v>
      </c>
      <c r="L791" s="6">
        <f t="shared" si="36"/>
        <v>50288.7</v>
      </c>
      <c r="M791" s="6">
        <v>21552.300000000003</v>
      </c>
      <c r="N791" s="5" t="str">
        <f t="shared" si="37"/>
        <v>Feb</v>
      </c>
      <c r="O791" s="5" t="str">
        <f t="shared" si="38"/>
        <v xml:space="preserve"> 2023</v>
      </c>
    </row>
    <row r="792" spans="1:15" x14ac:dyDescent="0.35">
      <c r="A792" t="s">
        <v>1353</v>
      </c>
      <c r="B792" s="5" t="s">
        <v>355</v>
      </c>
      <c r="C792" s="4" t="s">
        <v>22</v>
      </c>
      <c r="D792" s="4" t="s">
        <v>90</v>
      </c>
      <c r="E792" s="4" t="s">
        <v>110</v>
      </c>
      <c r="F792" s="4" t="s">
        <v>37</v>
      </c>
      <c r="G792" s="4" t="s">
        <v>183</v>
      </c>
      <c r="H792" s="4" t="s">
        <v>27</v>
      </c>
      <c r="I792" s="4" t="s">
        <v>39</v>
      </c>
      <c r="J792" s="3">
        <v>8</v>
      </c>
      <c r="K792" s="6">
        <v>188792</v>
      </c>
      <c r="L792" s="6">
        <f t="shared" si="36"/>
        <v>132154.4</v>
      </c>
      <c r="M792" s="6">
        <v>56637.600000000006</v>
      </c>
      <c r="N792" s="5" t="str">
        <f t="shared" si="37"/>
        <v>Jun</v>
      </c>
      <c r="O792" s="5" t="str">
        <f t="shared" si="38"/>
        <v xml:space="preserve"> 2023</v>
      </c>
    </row>
    <row r="793" spans="1:15" x14ac:dyDescent="0.35">
      <c r="A793" t="s">
        <v>1354</v>
      </c>
      <c r="B793" s="5" t="s">
        <v>1213</v>
      </c>
      <c r="C793" s="4" t="s">
        <v>22</v>
      </c>
      <c r="D793" s="4" t="s">
        <v>86</v>
      </c>
      <c r="E793" s="4" t="s">
        <v>87</v>
      </c>
      <c r="F793" s="4" t="s">
        <v>37</v>
      </c>
      <c r="G793" s="4" t="s">
        <v>186</v>
      </c>
      <c r="H793" s="4" t="s">
        <v>72</v>
      </c>
      <c r="I793" s="4" t="s">
        <v>47</v>
      </c>
      <c r="J793" s="3">
        <v>8</v>
      </c>
      <c r="K793" s="6">
        <v>310552</v>
      </c>
      <c r="L793" s="6">
        <f t="shared" si="36"/>
        <v>217386.4</v>
      </c>
      <c r="M793" s="6">
        <v>93165.6</v>
      </c>
      <c r="N793" s="5" t="str">
        <f t="shared" si="37"/>
        <v>Jan</v>
      </c>
      <c r="O793" s="5" t="str">
        <f t="shared" si="38"/>
        <v xml:space="preserve"> 2024</v>
      </c>
    </row>
    <row r="794" spans="1:15" x14ac:dyDescent="0.35">
      <c r="A794" t="s">
        <v>1355</v>
      </c>
      <c r="B794" s="5" t="s">
        <v>1292</v>
      </c>
      <c r="C794" s="4" t="s">
        <v>22</v>
      </c>
      <c r="D794" s="4" t="s">
        <v>86</v>
      </c>
      <c r="E794" s="4" t="s">
        <v>87</v>
      </c>
      <c r="F794" s="4" t="s">
        <v>25</v>
      </c>
      <c r="G794" s="4" t="s">
        <v>52</v>
      </c>
      <c r="H794" s="4" t="s">
        <v>27</v>
      </c>
      <c r="I794" s="4" t="s">
        <v>19</v>
      </c>
      <c r="J794" s="3">
        <v>8</v>
      </c>
      <c r="K794" s="6">
        <v>271256</v>
      </c>
      <c r="L794" s="6">
        <f t="shared" si="36"/>
        <v>189879.19999999998</v>
      </c>
      <c r="M794" s="6">
        <v>81376.800000000017</v>
      </c>
      <c r="N794" s="5" t="str">
        <f t="shared" si="37"/>
        <v>Sep</v>
      </c>
      <c r="O794" s="5" t="str">
        <f t="shared" si="38"/>
        <v xml:space="preserve"> 2023</v>
      </c>
    </row>
    <row r="795" spans="1:15" x14ac:dyDescent="0.35">
      <c r="A795" t="s">
        <v>1356</v>
      </c>
      <c r="B795" s="5" t="s">
        <v>675</v>
      </c>
      <c r="C795" s="4" t="s">
        <v>13</v>
      </c>
      <c r="D795" s="4" t="s">
        <v>118</v>
      </c>
      <c r="E795" s="4" t="s">
        <v>119</v>
      </c>
      <c r="F795" s="4" t="s">
        <v>16</v>
      </c>
      <c r="G795" s="4" t="s">
        <v>34</v>
      </c>
      <c r="H795" s="4" t="s">
        <v>72</v>
      </c>
      <c r="I795" s="4" t="s">
        <v>39</v>
      </c>
      <c r="J795" s="3">
        <v>7</v>
      </c>
      <c r="K795" s="6">
        <v>55678</v>
      </c>
      <c r="L795" s="6">
        <f t="shared" si="36"/>
        <v>38974.6</v>
      </c>
      <c r="M795" s="6">
        <v>16703.400000000001</v>
      </c>
      <c r="N795" s="5" t="str">
        <f t="shared" si="37"/>
        <v>Aug</v>
      </c>
      <c r="O795" s="5" t="str">
        <f t="shared" si="38"/>
        <v xml:space="preserve"> 2023</v>
      </c>
    </row>
    <row r="796" spans="1:15" x14ac:dyDescent="0.35">
      <c r="A796" t="s">
        <v>1357</v>
      </c>
      <c r="B796" s="5" t="s">
        <v>560</v>
      </c>
      <c r="C796" s="4" t="s">
        <v>13</v>
      </c>
      <c r="D796" s="4" t="s">
        <v>125</v>
      </c>
      <c r="E796" s="4" t="s">
        <v>126</v>
      </c>
      <c r="F796" s="4" t="s">
        <v>25</v>
      </c>
      <c r="G796" s="4" t="s">
        <v>52</v>
      </c>
      <c r="H796" s="4" t="s">
        <v>72</v>
      </c>
      <c r="I796" s="4" t="s">
        <v>39</v>
      </c>
      <c r="J796" s="3">
        <v>9</v>
      </c>
      <c r="K796" s="6">
        <v>110052</v>
      </c>
      <c r="L796" s="6">
        <f t="shared" si="36"/>
        <v>77036.399999999994</v>
      </c>
      <c r="M796" s="6">
        <v>33015.600000000006</v>
      </c>
      <c r="N796" s="5" t="str">
        <f t="shared" si="37"/>
        <v>Nov</v>
      </c>
      <c r="O796" s="5" t="str">
        <f t="shared" si="38"/>
        <v xml:space="preserve"> 2023</v>
      </c>
    </row>
    <row r="797" spans="1:15" x14ac:dyDescent="0.35">
      <c r="A797" t="s">
        <v>1358</v>
      </c>
      <c r="B797" s="5" t="s">
        <v>370</v>
      </c>
      <c r="C797" s="4" t="s">
        <v>31</v>
      </c>
      <c r="D797" s="4" t="s">
        <v>32</v>
      </c>
      <c r="E797" s="4" t="s">
        <v>33</v>
      </c>
      <c r="F797" s="4" t="s">
        <v>37</v>
      </c>
      <c r="G797" s="4" t="s">
        <v>148</v>
      </c>
      <c r="H797" s="4" t="s">
        <v>18</v>
      </c>
      <c r="I797" s="4" t="s">
        <v>60</v>
      </c>
      <c r="J797" s="3">
        <v>2</v>
      </c>
      <c r="K797" s="6">
        <v>97670</v>
      </c>
      <c r="L797" s="6">
        <f t="shared" si="36"/>
        <v>68369</v>
      </c>
      <c r="M797" s="6">
        <v>29301</v>
      </c>
      <c r="N797" s="5" t="str">
        <f t="shared" si="37"/>
        <v>Sep</v>
      </c>
      <c r="O797" s="5" t="str">
        <f t="shared" si="38"/>
        <v xml:space="preserve"> 2024</v>
      </c>
    </row>
    <row r="798" spans="1:15" x14ac:dyDescent="0.35">
      <c r="A798" t="s">
        <v>1359</v>
      </c>
      <c r="B798" s="5" t="s">
        <v>898</v>
      </c>
      <c r="C798" s="4" t="s">
        <v>31</v>
      </c>
      <c r="D798" s="4" t="s">
        <v>32</v>
      </c>
      <c r="E798" s="4" t="s">
        <v>33</v>
      </c>
      <c r="F798" s="4" t="s">
        <v>25</v>
      </c>
      <c r="G798" s="4" t="s">
        <v>71</v>
      </c>
      <c r="H798" s="4" t="s">
        <v>27</v>
      </c>
      <c r="I798" s="4" t="s">
        <v>47</v>
      </c>
      <c r="J798" s="3">
        <v>6</v>
      </c>
      <c r="K798" s="6">
        <v>259518</v>
      </c>
      <c r="L798" s="6">
        <f t="shared" si="36"/>
        <v>181662.59999999998</v>
      </c>
      <c r="M798" s="6">
        <v>77855.400000000023</v>
      </c>
      <c r="N798" s="5" t="str">
        <f t="shared" si="37"/>
        <v>Mar</v>
      </c>
      <c r="O798" s="5" t="str">
        <f t="shared" si="38"/>
        <v xml:space="preserve"> 2024</v>
      </c>
    </row>
    <row r="799" spans="1:15" x14ac:dyDescent="0.35">
      <c r="A799" t="s">
        <v>1360</v>
      </c>
      <c r="B799" s="5" t="s">
        <v>1101</v>
      </c>
      <c r="C799" s="4" t="s">
        <v>55</v>
      </c>
      <c r="D799" s="4" t="s">
        <v>82</v>
      </c>
      <c r="E799" s="4" t="s">
        <v>83</v>
      </c>
      <c r="F799" s="4" t="s">
        <v>16</v>
      </c>
      <c r="G799" s="4" t="s">
        <v>42</v>
      </c>
      <c r="H799" s="4" t="s">
        <v>72</v>
      </c>
      <c r="I799" s="4" t="s">
        <v>47</v>
      </c>
      <c r="J799" s="3">
        <v>2</v>
      </c>
      <c r="K799" s="6">
        <v>5918</v>
      </c>
      <c r="L799" s="6">
        <f t="shared" si="36"/>
        <v>4142.5999999999995</v>
      </c>
      <c r="M799" s="6">
        <v>1775.4000000000005</v>
      </c>
      <c r="N799" s="5" t="str">
        <f t="shared" si="37"/>
        <v>Nov</v>
      </c>
      <c r="O799" s="5" t="str">
        <f t="shared" si="38"/>
        <v xml:space="preserve"> 2023</v>
      </c>
    </row>
    <row r="800" spans="1:15" x14ac:dyDescent="0.35">
      <c r="A800" t="s">
        <v>1361</v>
      </c>
      <c r="B800" s="5" t="s">
        <v>971</v>
      </c>
      <c r="C800" s="4" t="s">
        <v>31</v>
      </c>
      <c r="D800" s="4" t="s">
        <v>32</v>
      </c>
      <c r="E800" s="4" t="s">
        <v>33</v>
      </c>
      <c r="F800" s="4" t="s">
        <v>16</v>
      </c>
      <c r="G800" s="4" t="s">
        <v>17</v>
      </c>
      <c r="H800" s="4" t="s">
        <v>27</v>
      </c>
      <c r="I800" s="4" t="s">
        <v>47</v>
      </c>
      <c r="J800" s="3">
        <v>10</v>
      </c>
      <c r="K800" s="6">
        <v>458780</v>
      </c>
      <c r="L800" s="6">
        <f t="shared" si="36"/>
        <v>321146</v>
      </c>
      <c r="M800" s="6">
        <v>137634</v>
      </c>
      <c r="N800" s="5" t="str">
        <f t="shared" si="37"/>
        <v>May</v>
      </c>
      <c r="O800" s="5" t="str">
        <f t="shared" si="38"/>
        <v xml:space="preserve"> 2023</v>
      </c>
    </row>
    <row r="801" spans="1:15" x14ac:dyDescent="0.35">
      <c r="A801" t="s">
        <v>1362</v>
      </c>
      <c r="B801" s="5" t="s">
        <v>891</v>
      </c>
      <c r="C801" s="4" t="s">
        <v>13</v>
      </c>
      <c r="D801" s="4" t="s">
        <v>118</v>
      </c>
      <c r="E801" s="4" t="s">
        <v>119</v>
      </c>
      <c r="F801" s="4" t="s">
        <v>37</v>
      </c>
      <c r="G801" s="4" t="s">
        <v>148</v>
      </c>
      <c r="H801" s="4" t="s">
        <v>18</v>
      </c>
      <c r="I801" s="4" t="s">
        <v>19</v>
      </c>
      <c r="J801" s="3">
        <v>1</v>
      </c>
      <c r="K801" s="6">
        <v>19522</v>
      </c>
      <c r="L801" s="6">
        <f t="shared" si="36"/>
        <v>13665.4</v>
      </c>
      <c r="M801" s="6">
        <v>5856.6</v>
      </c>
      <c r="N801" s="5" t="str">
        <f t="shared" si="37"/>
        <v>Apr</v>
      </c>
      <c r="O801" s="5" t="str">
        <f t="shared" si="38"/>
        <v xml:space="preserve"> 2024</v>
      </c>
    </row>
    <row r="802" spans="1:15" x14ac:dyDescent="0.35">
      <c r="A802" t="s">
        <v>1363</v>
      </c>
      <c r="B802" s="5" t="s">
        <v>865</v>
      </c>
      <c r="C802" s="4" t="s">
        <v>55</v>
      </c>
      <c r="D802" s="4" t="s">
        <v>98</v>
      </c>
      <c r="E802" s="4" t="s">
        <v>99</v>
      </c>
      <c r="F802" s="4" t="s">
        <v>67</v>
      </c>
      <c r="G802" s="4" t="s">
        <v>180</v>
      </c>
      <c r="H802" s="4" t="s">
        <v>72</v>
      </c>
      <c r="I802" s="4" t="s">
        <v>47</v>
      </c>
      <c r="J802" s="3">
        <v>7</v>
      </c>
      <c r="K802" s="6">
        <v>337477</v>
      </c>
      <c r="L802" s="6">
        <f t="shared" si="36"/>
        <v>236233.9</v>
      </c>
      <c r="M802" s="6">
        <v>101243.1</v>
      </c>
      <c r="N802" s="5" t="str">
        <f t="shared" si="37"/>
        <v>Sep</v>
      </c>
      <c r="O802" s="5" t="str">
        <f t="shared" si="38"/>
        <v xml:space="preserve"> 2023</v>
      </c>
    </row>
    <row r="803" spans="1:15" x14ac:dyDescent="0.35">
      <c r="A803" t="s">
        <v>1364</v>
      </c>
      <c r="B803" s="5" t="s">
        <v>363</v>
      </c>
      <c r="C803" s="4" t="s">
        <v>13</v>
      </c>
      <c r="D803" s="4" t="s">
        <v>162</v>
      </c>
      <c r="E803" s="4" t="s">
        <v>163</v>
      </c>
      <c r="F803" s="4" t="s">
        <v>67</v>
      </c>
      <c r="G803" s="4" t="s">
        <v>68</v>
      </c>
      <c r="H803" s="4" t="s">
        <v>72</v>
      </c>
      <c r="I803" s="4" t="s">
        <v>28</v>
      </c>
      <c r="J803" s="3">
        <v>2</v>
      </c>
      <c r="K803" s="6">
        <v>65780</v>
      </c>
      <c r="L803" s="6">
        <f t="shared" si="36"/>
        <v>46046</v>
      </c>
      <c r="M803" s="6">
        <v>19734</v>
      </c>
      <c r="N803" s="5" t="str">
        <f t="shared" si="37"/>
        <v>Sep</v>
      </c>
      <c r="O803" s="5" t="str">
        <f t="shared" si="38"/>
        <v xml:space="preserve"> 2023</v>
      </c>
    </row>
    <row r="804" spans="1:15" x14ac:dyDescent="0.35">
      <c r="A804" t="s">
        <v>1365</v>
      </c>
      <c r="B804" s="5" t="s">
        <v>811</v>
      </c>
      <c r="C804" s="4" t="s">
        <v>22</v>
      </c>
      <c r="D804" s="4" t="s">
        <v>90</v>
      </c>
      <c r="E804" s="4" t="s">
        <v>91</v>
      </c>
      <c r="F804" s="4" t="s">
        <v>37</v>
      </c>
      <c r="G804" s="4" t="s">
        <v>148</v>
      </c>
      <c r="H804" s="4" t="s">
        <v>27</v>
      </c>
      <c r="I804" s="4" t="s">
        <v>47</v>
      </c>
      <c r="J804" s="3">
        <v>4</v>
      </c>
      <c r="K804" s="6">
        <v>192560</v>
      </c>
      <c r="L804" s="6">
        <f t="shared" si="36"/>
        <v>134792</v>
      </c>
      <c r="M804" s="6">
        <v>57768</v>
      </c>
      <c r="N804" s="5" t="str">
        <f t="shared" si="37"/>
        <v>Jan</v>
      </c>
      <c r="O804" s="5" t="str">
        <f t="shared" si="38"/>
        <v xml:space="preserve"> 2024</v>
      </c>
    </row>
    <row r="805" spans="1:15" x14ac:dyDescent="0.35">
      <c r="A805" t="s">
        <v>1366</v>
      </c>
      <c r="B805" s="5" t="s">
        <v>581</v>
      </c>
      <c r="C805" s="4" t="s">
        <v>55</v>
      </c>
      <c r="D805" s="4" t="s">
        <v>56</v>
      </c>
      <c r="E805" s="4" t="s">
        <v>57</v>
      </c>
      <c r="F805" s="4" t="s">
        <v>37</v>
      </c>
      <c r="G805" s="4" t="s">
        <v>148</v>
      </c>
      <c r="H805" s="4" t="s">
        <v>27</v>
      </c>
      <c r="I805" s="4" t="s">
        <v>39</v>
      </c>
      <c r="J805" s="3">
        <v>6</v>
      </c>
      <c r="K805" s="6">
        <v>15222</v>
      </c>
      <c r="L805" s="6">
        <f t="shared" si="36"/>
        <v>10655.4</v>
      </c>
      <c r="M805" s="6">
        <v>4566.6000000000004</v>
      </c>
      <c r="N805" s="5" t="str">
        <f t="shared" si="37"/>
        <v>Jan</v>
      </c>
      <c r="O805" s="5" t="str">
        <f t="shared" si="38"/>
        <v xml:space="preserve"> 2024</v>
      </c>
    </row>
    <row r="806" spans="1:15" x14ac:dyDescent="0.35">
      <c r="A806" t="s">
        <v>1367</v>
      </c>
      <c r="B806" s="5" t="s">
        <v>829</v>
      </c>
      <c r="C806" s="4" t="s">
        <v>31</v>
      </c>
      <c r="D806" s="4" t="s">
        <v>45</v>
      </c>
      <c r="E806" s="4" t="s">
        <v>46</v>
      </c>
      <c r="F806" s="4" t="s">
        <v>16</v>
      </c>
      <c r="G806" s="4" t="s">
        <v>34</v>
      </c>
      <c r="H806" s="4" t="s">
        <v>72</v>
      </c>
      <c r="I806" s="4" t="s">
        <v>47</v>
      </c>
      <c r="J806" s="3">
        <v>3</v>
      </c>
      <c r="K806" s="6">
        <v>75531</v>
      </c>
      <c r="L806" s="6">
        <f t="shared" si="36"/>
        <v>52871.7</v>
      </c>
      <c r="M806" s="6">
        <v>22659.300000000003</v>
      </c>
      <c r="N806" s="5" t="str">
        <f t="shared" si="37"/>
        <v>Jan</v>
      </c>
      <c r="O806" s="5" t="str">
        <f t="shared" si="38"/>
        <v xml:space="preserve"> 2023</v>
      </c>
    </row>
    <row r="807" spans="1:15" x14ac:dyDescent="0.35">
      <c r="A807" t="s">
        <v>1368</v>
      </c>
      <c r="B807" s="5" t="s">
        <v>1369</v>
      </c>
      <c r="C807" s="4" t="s">
        <v>55</v>
      </c>
      <c r="D807" s="4" t="s">
        <v>56</v>
      </c>
      <c r="E807" s="4" t="s">
        <v>57</v>
      </c>
      <c r="F807" s="4" t="s">
        <v>25</v>
      </c>
      <c r="G807" s="4" t="s">
        <v>77</v>
      </c>
      <c r="H807" s="4" t="s">
        <v>27</v>
      </c>
      <c r="I807" s="4" t="s">
        <v>19</v>
      </c>
      <c r="J807" s="3">
        <v>10</v>
      </c>
      <c r="K807" s="6">
        <v>304440</v>
      </c>
      <c r="L807" s="6">
        <f t="shared" si="36"/>
        <v>213108</v>
      </c>
      <c r="M807" s="6">
        <v>91332</v>
      </c>
      <c r="N807" s="5" t="str">
        <f t="shared" si="37"/>
        <v>Aug</v>
      </c>
      <c r="O807" s="5" t="str">
        <f t="shared" si="38"/>
        <v xml:space="preserve"> 2023</v>
      </c>
    </row>
    <row r="808" spans="1:15" x14ac:dyDescent="0.35">
      <c r="A808" t="s">
        <v>1370</v>
      </c>
      <c r="B808" s="5" t="s">
        <v>1371</v>
      </c>
      <c r="C808" s="4" t="s">
        <v>55</v>
      </c>
      <c r="D808" s="4" t="s">
        <v>98</v>
      </c>
      <c r="E808" s="4" t="s">
        <v>99</v>
      </c>
      <c r="F808" s="4" t="s">
        <v>67</v>
      </c>
      <c r="G808" s="4" t="s">
        <v>180</v>
      </c>
      <c r="H808" s="4" t="s">
        <v>27</v>
      </c>
      <c r="I808" s="4" t="s">
        <v>60</v>
      </c>
      <c r="J808" s="3">
        <v>7</v>
      </c>
      <c r="K808" s="6">
        <v>326522</v>
      </c>
      <c r="L808" s="6">
        <f t="shared" si="36"/>
        <v>228565.4</v>
      </c>
      <c r="M808" s="6">
        <v>97956.6</v>
      </c>
      <c r="N808" s="5" t="str">
        <f t="shared" si="37"/>
        <v>Aug</v>
      </c>
      <c r="O808" s="5" t="str">
        <f t="shared" si="38"/>
        <v xml:space="preserve"> 2023</v>
      </c>
    </row>
    <row r="809" spans="1:15" x14ac:dyDescent="0.35">
      <c r="A809" t="s">
        <v>1372</v>
      </c>
      <c r="B809" s="5" t="s">
        <v>1373</v>
      </c>
      <c r="C809" s="4" t="s">
        <v>55</v>
      </c>
      <c r="D809" s="4" t="s">
        <v>98</v>
      </c>
      <c r="E809" s="4" t="s">
        <v>99</v>
      </c>
      <c r="F809" s="4" t="s">
        <v>16</v>
      </c>
      <c r="G809" s="4" t="s">
        <v>17</v>
      </c>
      <c r="H809" s="4" t="s">
        <v>18</v>
      </c>
      <c r="I809" s="4" t="s">
        <v>60</v>
      </c>
      <c r="J809" s="3">
        <v>2</v>
      </c>
      <c r="K809" s="6">
        <v>79430</v>
      </c>
      <c r="L809" s="6">
        <f t="shared" si="36"/>
        <v>55601</v>
      </c>
      <c r="M809" s="6">
        <v>23829</v>
      </c>
      <c r="N809" s="5" t="str">
        <f t="shared" si="37"/>
        <v>Dec</v>
      </c>
      <c r="O809" s="5" t="str">
        <f t="shared" si="38"/>
        <v xml:space="preserve"> 2023</v>
      </c>
    </row>
    <row r="810" spans="1:15" x14ac:dyDescent="0.35">
      <c r="A810" t="s">
        <v>1374</v>
      </c>
      <c r="B810" s="5" t="s">
        <v>746</v>
      </c>
      <c r="C810" s="4" t="s">
        <v>31</v>
      </c>
      <c r="D810" s="4" t="s">
        <v>45</v>
      </c>
      <c r="E810" s="4" t="s">
        <v>46</v>
      </c>
      <c r="F810" s="4" t="s">
        <v>67</v>
      </c>
      <c r="G810" s="4" t="s">
        <v>180</v>
      </c>
      <c r="H810" s="4" t="s">
        <v>72</v>
      </c>
      <c r="I810" s="4" t="s">
        <v>28</v>
      </c>
      <c r="J810" s="3">
        <v>9</v>
      </c>
      <c r="K810" s="6">
        <v>229266</v>
      </c>
      <c r="L810" s="6">
        <f t="shared" si="36"/>
        <v>160486.19999999998</v>
      </c>
      <c r="M810" s="6">
        <v>68779.800000000017</v>
      </c>
      <c r="N810" s="5" t="str">
        <f t="shared" si="37"/>
        <v>May</v>
      </c>
      <c r="O810" s="5" t="str">
        <f t="shared" si="38"/>
        <v xml:space="preserve"> 2024</v>
      </c>
    </row>
    <row r="811" spans="1:15" x14ac:dyDescent="0.35">
      <c r="A811" t="s">
        <v>1375</v>
      </c>
      <c r="B811" s="5" t="s">
        <v>614</v>
      </c>
      <c r="C811" s="4" t="s">
        <v>55</v>
      </c>
      <c r="D811" s="4" t="s">
        <v>56</v>
      </c>
      <c r="E811" s="4" t="s">
        <v>57</v>
      </c>
      <c r="F811" s="4" t="s">
        <v>25</v>
      </c>
      <c r="G811" s="4" t="s">
        <v>77</v>
      </c>
      <c r="H811" s="4" t="s">
        <v>72</v>
      </c>
      <c r="I811" s="4" t="s">
        <v>19</v>
      </c>
      <c r="J811" s="3">
        <v>6</v>
      </c>
      <c r="K811" s="6">
        <v>149490</v>
      </c>
      <c r="L811" s="6">
        <f t="shared" si="36"/>
        <v>104643</v>
      </c>
      <c r="M811" s="6">
        <v>44847</v>
      </c>
      <c r="N811" s="5" t="str">
        <f t="shared" si="37"/>
        <v>Feb</v>
      </c>
      <c r="O811" s="5" t="str">
        <f t="shared" si="38"/>
        <v xml:space="preserve"> 2024</v>
      </c>
    </row>
    <row r="812" spans="1:15" x14ac:dyDescent="0.35">
      <c r="A812" t="s">
        <v>1376</v>
      </c>
      <c r="B812" s="5" t="s">
        <v>1377</v>
      </c>
      <c r="C812" s="4" t="s">
        <v>55</v>
      </c>
      <c r="D812" s="4" t="s">
        <v>63</v>
      </c>
      <c r="E812" s="4" t="s">
        <v>64</v>
      </c>
      <c r="F812" s="4" t="s">
        <v>67</v>
      </c>
      <c r="G812" s="4" t="s">
        <v>180</v>
      </c>
      <c r="H812" s="4" t="s">
        <v>18</v>
      </c>
      <c r="I812" s="4" t="s">
        <v>19</v>
      </c>
      <c r="J812" s="3">
        <v>2</v>
      </c>
      <c r="K812" s="6">
        <v>43486</v>
      </c>
      <c r="L812" s="6">
        <f t="shared" si="36"/>
        <v>30440.199999999997</v>
      </c>
      <c r="M812" s="6">
        <v>13045.800000000003</v>
      </c>
      <c r="N812" s="5" t="str">
        <f t="shared" si="37"/>
        <v>Jun</v>
      </c>
      <c r="O812" s="5" t="str">
        <f t="shared" si="38"/>
        <v xml:space="preserve"> 2024</v>
      </c>
    </row>
    <row r="813" spans="1:15" x14ac:dyDescent="0.35">
      <c r="A813" t="s">
        <v>1378</v>
      </c>
      <c r="B813" s="5" t="s">
        <v>1379</v>
      </c>
      <c r="C813" s="4" t="s">
        <v>22</v>
      </c>
      <c r="D813" s="4" t="s">
        <v>23</v>
      </c>
      <c r="E813" s="4" t="s">
        <v>24</v>
      </c>
      <c r="F813" s="4" t="s">
        <v>16</v>
      </c>
      <c r="G813" s="4" t="s">
        <v>42</v>
      </c>
      <c r="H813" s="4" t="s">
        <v>27</v>
      </c>
      <c r="I813" s="4" t="s">
        <v>19</v>
      </c>
      <c r="J813" s="3">
        <v>5</v>
      </c>
      <c r="K813" s="6">
        <v>224235</v>
      </c>
      <c r="L813" s="6">
        <f t="shared" si="36"/>
        <v>156964.5</v>
      </c>
      <c r="M813" s="6">
        <v>67270.5</v>
      </c>
      <c r="N813" s="5" t="str">
        <f t="shared" si="37"/>
        <v>Oct</v>
      </c>
      <c r="O813" s="5" t="str">
        <f t="shared" si="38"/>
        <v xml:space="preserve"> 2024</v>
      </c>
    </row>
    <row r="814" spans="1:15" x14ac:dyDescent="0.35">
      <c r="A814" t="s">
        <v>1380</v>
      </c>
      <c r="B814" s="5" t="s">
        <v>1381</v>
      </c>
      <c r="C814" s="4" t="s">
        <v>31</v>
      </c>
      <c r="D814" s="4" t="s">
        <v>45</v>
      </c>
      <c r="E814" s="4" t="s">
        <v>46</v>
      </c>
      <c r="F814" s="4" t="s">
        <v>25</v>
      </c>
      <c r="G814" s="4" t="s">
        <v>77</v>
      </c>
      <c r="H814" s="4" t="s">
        <v>72</v>
      </c>
      <c r="I814" s="4" t="s">
        <v>39</v>
      </c>
      <c r="J814" s="3">
        <v>8</v>
      </c>
      <c r="K814" s="6">
        <v>154104</v>
      </c>
      <c r="L814" s="6">
        <f t="shared" si="36"/>
        <v>107872.79999999999</v>
      </c>
      <c r="M814" s="6">
        <v>46231.200000000012</v>
      </c>
      <c r="N814" s="5" t="str">
        <f t="shared" si="37"/>
        <v>Mar</v>
      </c>
      <c r="O814" s="5" t="str">
        <f t="shared" si="38"/>
        <v xml:space="preserve"> 2024</v>
      </c>
    </row>
    <row r="815" spans="1:15" x14ac:dyDescent="0.35">
      <c r="A815" t="s">
        <v>1382</v>
      </c>
      <c r="B815" s="5" t="s">
        <v>652</v>
      </c>
      <c r="C815" s="4" t="s">
        <v>55</v>
      </c>
      <c r="D815" s="4" t="s">
        <v>63</v>
      </c>
      <c r="E815" s="4" t="s">
        <v>64</v>
      </c>
      <c r="F815" s="4" t="s">
        <v>16</v>
      </c>
      <c r="G815" s="4" t="s">
        <v>42</v>
      </c>
      <c r="H815" s="4" t="s">
        <v>18</v>
      </c>
      <c r="I815" s="4" t="s">
        <v>28</v>
      </c>
      <c r="J815" s="3">
        <v>10</v>
      </c>
      <c r="K815" s="6">
        <v>376750</v>
      </c>
      <c r="L815" s="6">
        <f t="shared" si="36"/>
        <v>263725</v>
      </c>
      <c r="M815" s="6">
        <v>113025</v>
      </c>
      <c r="N815" s="5" t="str">
        <f t="shared" si="37"/>
        <v>May</v>
      </c>
      <c r="O815" s="5" t="str">
        <f t="shared" si="38"/>
        <v xml:space="preserve"> 2023</v>
      </c>
    </row>
    <row r="816" spans="1:15" x14ac:dyDescent="0.35">
      <c r="A816" t="s">
        <v>1383</v>
      </c>
      <c r="B816" s="5" t="s">
        <v>629</v>
      </c>
      <c r="C816" s="4" t="s">
        <v>22</v>
      </c>
      <c r="D816" s="4" t="s">
        <v>90</v>
      </c>
      <c r="E816" s="4" t="s">
        <v>91</v>
      </c>
      <c r="F816" s="4" t="s">
        <v>37</v>
      </c>
      <c r="G816" s="4" t="s">
        <v>38</v>
      </c>
      <c r="H816" s="4" t="s">
        <v>18</v>
      </c>
      <c r="I816" s="4" t="s">
        <v>28</v>
      </c>
      <c r="J816" s="3">
        <v>8</v>
      </c>
      <c r="K816" s="6">
        <v>387816</v>
      </c>
      <c r="L816" s="6">
        <f t="shared" si="36"/>
        <v>271471.2</v>
      </c>
      <c r="M816" s="6">
        <v>116344.79999999999</v>
      </c>
      <c r="N816" s="5" t="str">
        <f t="shared" si="37"/>
        <v>Feb</v>
      </c>
      <c r="O816" s="5" t="str">
        <f t="shared" si="38"/>
        <v xml:space="preserve"> 2023</v>
      </c>
    </row>
    <row r="817" spans="1:15" x14ac:dyDescent="0.35">
      <c r="A817" t="s">
        <v>1384</v>
      </c>
      <c r="B817" s="5" t="s">
        <v>1385</v>
      </c>
      <c r="C817" s="4" t="s">
        <v>31</v>
      </c>
      <c r="D817" s="4" t="s">
        <v>45</v>
      </c>
      <c r="E817" s="4" t="s">
        <v>46</v>
      </c>
      <c r="F817" s="4" t="s">
        <v>37</v>
      </c>
      <c r="G817" s="4" t="s">
        <v>183</v>
      </c>
      <c r="H817" s="4" t="s">
        <v>27</v>
      </c>
      <c r="I817" s="4" t="s">
        <v>60</v>
      </c>
      <c r="J817" s="3">
        <v>5</v>
      </c>
      <c r="K817" s="6">
        <v>151420</v>
      </c>
      <c r="L817" s="6">
        <f t="shared" si="36"/>
        <v>105994</v>
      </c>
      <c r="M817" s="6">
        <v>45426</v>
      </c>
      <c r="N817" s="5" t="str">
        <f t="shared" si="37"/>
        <v>Jun</v>
      </c>
      <c r="O817" s="5" t="str">
        <f t="shared" si="38"/>
        <v xml:space="preserve"> 2024</v>
      </c>
    </row>
    <row r="818" spans="1:15" x14ac:dyDescent="0.35">
      <c r="A818" t="s">
        <v>1386</v>
      </c>
      <c r="B818" s="5" t="s">
        <v>1387</v>
      </c>
      <c r="C818" s="4" t="s">
        <v>31</v>
      </c>
      <c r="D818" s="4" t="s">
        <v>45</v>
      </c>
      <c r="E818" s="4" t="s">
        <v>46</v>
      </c>
      <c r="F818" s="4" t="s">
        <v>16</v>
      </c>
      <c r="G818" s="4" t="s">
        <v>42</v>
      </c>
      <c r="H818" s="4" t="s">
        <v>72</v>
      </c>
      <c r="I818" s="4" t="s">
        <v>28</v>
      </c>
      <c r="J818" s="3">
        <v>1</v>
      </c>
      <c r="K818" s="6">
        <v>21239</v>
      </c>
      <c r="L818" s="6">
        <f t="shared" si="36"/>
        <v>14867.3</v>
      </c>
      <c r="M818" s="6">
        <v>6371.7000000000007</v>
      </c>
      <c r="N818" s="5" t="str">
        <f t="shared" si="37"/>
        <v>Jun</v>
      </c>
      <c r="O818" s="5" t="str">
        <f t="shared" si="38"/>
        <v xml:space="preserve"> 2023</v>
      </c>
    </row>
    <row r="819" spans="1:15" x14ac:dyDescent="0.35">
      <c r="A819" t="s">
        <v>1388</v>
      </c>
      <c r="B819" s="5" t="s">
        <v>381</v>
      </c>
      <c r="C819" s="4" t="s">
        <v>55</v>
      </c>
      <c r="D819" s="4" t="s">
        <v>98</v>
      </c>
      <c r="E819" s="4" t="s">
        <v>99</v>
      </c>
      <c r="F819" s="4" t="s">
        <v>25</v>
      </c>
      <c r="G819" s="4" t="s">
        <v>52</v>
      </c>
      <c r="H819" s="4" t="s">
        <v>27</v>
      </c>
      <c r="I819" s="4" t="s">
        <v>28</v>
      </c>
      <c r="J819" s="3">
        <v>10</v>
      </c>
      <c r="K819" s="6">
        <v>103820</v>
      </c>
      <c r="L819" s="6">
        <f t="shared" si="36"/>
        <v>72674</v>
      </c>
      <c r="M819" s="6">
        <v>31146</v>
      </c>
      <c r="N819" s="5" t="str">
        <f t="shared" si="37"/>
        <v>Sep</v>
      </c>
      <c r="O819" s="5" t="str">
        <f t="shared" si="38"/>
        <v xml:space="preserve"> 2023</v>
      </c>
    </row>
    <row r="820" spans="1:15" x14ac:dyDescent="0.35">
      <c r="A820" t="s">
        <v>1389</v>
      </c>
      <c r="B820" s="5" t="s">
        <v>605</v>
      </c>
      <c r="C820" s="4" t="s">
        <v>31</v>
      </c>
      <c r="D820" s="4" t="s">
        <v>104</v>
      </c>
      <c r="E820" s="4" t="s">
        <v>105</v>
      </c>
      <c r="F820" s="4" t="s">
        <v>25</v>
      </c>
      <c r="G820" s="4" t="s">
        <v>71</v>
      </c>
      <c r="H820" s="4" t="s">
        <v>27</v>
      </c>
      <c r="I820" s="4" t="s">
        <v>60</v>
      </c>
      <c r="J820" s="3">
        <v>7</v>
      </c>
      <c r="K820" s="6">
        <v>141540</v>
      </c>
      <c r="L820" s="6">
        <f t="shared" si="36"/>
        <v>99078</v>
      </c>
      <c r="M820" s="6">
        <v>42462</v>
      </c>
      <c r="N820" s="5" t="str">
        <f t="shared" si="37"/>
        <v>Jul</v>
      </c>
      <c r="O820" s="5" t="str">
        <f t="shared" si="38"/>
        <v xml:space="preserve"> 2024</v>
      </c>
    </row>
    <row r="821" spans="1:15" x14ac:dyDescent="0.35">
      <c r="A821" t="s">
        <v>1390</v>
      </c>
      <c r="B821" s="5" t="s">
        <v>680</v>
      </c>
      <c r="C821" s="4" t="s">
        <v>55</v>
      </c>
      <c r="D821" s="4" t="s">
        <v>98</v>
      </c>
      <c r="E821" s="4" t="s">
        <v>99</v>
      </c>
      <c r="F821" s="4" t="s">
        <v>67</v>
      </c>
      <c r="G821" s="4" t="s">
        <v>180</v>
      </c>
      <c r="H821" s="4" t="s">
        <v>18</v>
      </c>
      <c r="I821" s="4" t="s">
        <v>47</v>
      </c>
      <c r="J821" s="3">
        <v>1</v>
      </c>
      <c r="K821" s="6">
        <v>44426</v>
      </c>
      <c r="L821" s="6">
        <f t="shared" si="36"/>
        <v>31098.199999999997</v>
      </c>
      <c r="M821" s="6">
        <v>13327.800000000003</v>
      </c>
      <c r="N821" s="5" t="str">
        <f t="shared" si="37"/>
        <v>Mar</v>
      </c>
      <c r="O821" s="5" t="str">
        <f t="shared" si="38"/>
        <v xml:space="preserve"> 2024</v>
      </c>
    </row>
    <row r="822" spans="1:15" x14ac:dyDescent="0.35">
      <c r="A822" t="s">
        <v>1391</v>
      </c>
      <c r="B822" s="5" t="s">
        <v>109</v>
      </c>
      <c r="C822" s="4" t="s">
        <v>55</v>
      </c>
      <c r="D822" s="4" t="s">
        <v>82</v>
      </c>
      <c r="E822" s="4" t="s">
        <v>83</v>
      </c>
      <c r="F822" s="4" t="s">
        <v>67</v>
      </c>
      <c r="G822" s="4" t="s">
        <v>68</v>
      </c>
      <c r="H822" s="4" t="s">
        <v>72</v>
      </c>
      <c r="I822" s="4" t="s">
        <v>28</v>
      </c>
      <c r="J822" s="3">
        <v>10</v>
      </c>
      <c r="K822" s="6">
        <v>60090</v>
      </c>
      <c r="L822" s="6">
        <f t="shared" si="36"/>
        <v>42063</v>
      </c>
      <c r="M822" s="6">
        <v>18027</v>
      </c>
      <c r="N822" s="5" t="str">
        <f t="shared" si="37"/>
        <v>Jul</v>
      </c>
      <c r="O822" s="5" t="str">
        <f t="shared" si="38"/>
        <v xml:space="preserve"> 2024</v>
      </c>
    </row>
    <row r="823" spans="1:15" x14ac:dyDescent="0.35">
      <c r="A823" t="s">
        <v>1392</v>
      </c>
      <c r="B823" s="5" t="s">
        <v>1393</v>
      </c>
      <c r="C823" s="4" t="s">
        <v>55</v>
      </c>
      <c r="D823" s="4" t="s">
        <v>56</v>
      </c>
      <c r="E823" s="4" t="s">
        <v>57</v>
      </c>
      <c r="F823" s="4" t="s">
        <v>25</v>
      </c>
      <c r="G823" s="4" t="s">
        <v>71</v>
      </c>
      <c r="H823" s="4" t="s">
        <v>27</v>
      </c>
      <c r="I823" s="4" t="s">
        <v>28</v>
      </c>
      <c r="J823" s="3">
        <v>4</v>
      </c>
      <c r="K823" s="6">
        <v>114284</v>
      </c>
      <c r="L823" s="6">
        <f t="shared" si="36"/>
        <v>79998.799999999988</v>
      </c>
      <c r="M823" s="6">
        <v>34285.200000000012</v>
      </c>
      <c r="N823" s="5" t="str">
        <f t="shared" si="37"/>
        <v>Mar</v>
      </c>
      <c r="O823" s="5" t="str">
        <f t="shared" si="38"/>
        <v xml:space="preserve"> 2024</v>
      </c>
    </row>
    <row r="824" spans="1:15" x14ac:dyDescent="0.35">
      <c r="A824" t="s">
        <v>1394</v>
      </c>
      <c r="B824" s="5" t="s">
        <v>994</v>
      </c>
      <c r="C824" s="4" t="s">
        <v>55</v>
      </c>
      <c r="D824" s="4" t="s">
        <v>56</v>
      </c>
      <c r="E824" s="4" t="s">
        <v>57</v>
      </c>
      <c r="F824" s="4" t="s">
        <v>16</v>
      </c>
      <c r="G824" s="4" t="s">
        <v>17</v>
      </c>
      <c r="H824" s="4" t="s">
        <v>72</v>
      </c>
      <c r="I824" s="4" t="s">
        <v>47</v>
      </c>
      <c r="J824" s="3">
        <v>5</v>
      </c>
      <c r="K824" s="6">
        <v>226025</v>
      </c>
      <c r="L824" s="6">
        <f t="shared" si="36"/>
        <v>158217.5</v>
      </c>
      <c r="M824" s="6">
        <v>67807.5</v>
      </c>
      <c r="N824" s="5" t="str">
        <f t="shared" si="37"/>
        <v>Dec</v>
      </c>
      <c r="O824" s="5" t="str">
        <f t="shared" si="38"/>
        <v xml:space="preserve"> 2023</v>
      </c>
    </row>
    <row r="825" spans="1:15" x14ac:dyDescent="0.35">
      <c r="A825" t="s">
        <v>1395</v>
      </c>
      <c r="B825" s="5" t="s">
        <v>1396</v>
      </c>
      <c r="C825" s="4" t="s">
        <v>13</v>
      </c>
      <c r="D825" s="4" t="s">
        <v>14</v>
      </c>
      <c r="E825" s="4" t="s">
        <v>15</v>
      </c>
      <c r="F825" s="4" t="s">
        <v>37</v>
      </c>
      <c r="G825" s="4" t="s">
        <v>38</v>
      </c>
      <c r="H825" s="4" t="s">
        <v>72</v>
      </c>
      <c r="I825" s="4" t="s">
        <v>28</v>
      </c>
      <c r="J825" s="3">
        <v>9</v>
      </c>
      <c r="K825" s="6">
        <v>332901</v>
      </c>
      <c r="L825" s="6">
        <f t="shared" si="36"/>
        <v>233030.69999999998</v>
      </c>
      <c r="M825" s="6">
        <v>99870.300000000017</v>
      </c>
      <c r="N825" s="5" t="str">
        <f t="shared" si="37"/>
        <v>May</v>
      </c>
      <c r="O825" s="5" t="str">
        <f t="shared" si="38"/>
        <v xml:space="preserve"> 2024</v>
      </c>
    </row>
    <row r="826" spans="1:15" x14ac:dyDescent="0.35">
      <c r="A826" t="s">
        <v>1397</v>
      </c>
      <c r="B826" s="5" t="s">
        <v>424</v>
      </c>
      <c r="C826" s="4" t="s">
        <v>31</v>
      </c>
      <c r="D826" s="4" t="s">
        <v>104</v>
      </c>
      <c r="E826" s="4" t="s">
        <v>105</v>
      </c>
      <c r="F826" s="4" t="s">
        <v>16</v>
      </c>
      <c r="G826" s="4" t="s">
        <v>34</v>
      </c>
      <c r="H826" s="4" t="s">
        <v>72</v>
      </c>
      <c r="I826" s="4" t="s">
        <v>28</v>
      </c>
      <c r="J826" s="3">
        <v>3</v>
      </c>
      <c r="K826" s="6">
        <v>133467</v>
      </c>
      <c r="L826" s="6">
        <f t="shared" si="36"/>
        <v>93426.9</v>
      </c>
      <c r="M826" s="6">
        <v>40040.100000000006</v>
      </c>
      <c r="N826" s="5" t="str">
        <f t="shared" si="37"/>
        <v>Sep</v>
      </c>
      <c r="O826" s="5" t="str">
        <f t="shared" si="38"/>
        <v xml:space="preserve"> 2023</v>
      </c>
    </row>
    <row r="827" spans="1:15" x14ac:dyDescent="0.35">
      <c r="A827" t="s">
        <v>1398</v>
      </c>
      <c r="B827" s="5" t="s">
        <v>1399</v>
      </c>
      <c r="C827" s="4" t="s">
        <v>55</v>
      </c>
      <c r="D827" s="4" t="s">
        <v>98</v>
      </c>
      <c r="E827" s="4" t="s">
        <v>99</v>
      </c>
      <c r="F827" s="4" t="s">
        <v>16</v>
      </c>
      <c r="G827" s="4" t="s">
        <v>122</v>
      </c>
      <c r="H827" s="4" t="s">
        <v>72</v>
      </c>
      <c r="I827" s="4" t="s">
        <v>28</v>
      </c>
      <c r="J827" s="3">
        <v>2</v>
      </c>
      <c r="K827" s="6">
        <v>49364</v>
      </c>
      <c r="L827" s="6">
        <f t="shared" si="36"/>
        <v>34554.799999999996</v>
      </c>
      <c r="M827" s="6">
        <v>14809.200000000004</v>
      </c>
      <c r="N827" s="5" t="str">
        <f t="shared" si="37"/>
        <v>Jun</v>
      </c>
      <c r="O827" s="5" t="str">
        <f t="shared" si="38"/>
        <v xml:space="preserve"> 2024</v>
      </c>
    </row>
    <row r="828" spans="1:15" x14ac:dyDescent="0.35">
      <c r="A828" t="s">
        <v>1400</v>
      </c>
      <c r="B828" s="5" t="s">
        <v>888</v>
      </c>
      <c r="C828" s="4" t="s">
        <v>22</v>
      </c>
      <c r="D828" s="4" t="s">
        <v>90</v>
      </c>
      <c r="E828" s="4" t="s">
        <v>91</v>
      </c>
      <c r="F828" s="4" t="s">
        <v>16</v>
      </c>
      <c r="G828" s="4" t="s">
        <v>34</v>
      </c>
      <c r="H828" s="4" t="s">
        <v>72</v>
      </c>
      <c r="I828" s="4" t="s">
        <v>28</v>
      </c>
      <c r="J828" s="3">
        <v>4</v>
      </c>
      <c r="K828" s="6">
        <v>145740</v>
      </c>
      <c r="L828" s="6">
        <f t="shared" si="36"/>
        <v>102018</v>
      </c>
      <c r="M828" s="6">
        <v>43722</v>
      </c>
      <c r="N828" s="5" t="str">
        <f t="shared" si="37"/>
        <v>Apr</v>
      </c>
      <c r="O828" s="5" t="str">
        <f t="shared" si="38"/>
        <v xml:space="preserve"> 2023</v>
      </c>
    </row>
    <row r="829" spans="1:15" x14ac:dyDescent="0.35">
      <c r="A829" t="s">
        <v>1401</v>
      </c>
      <c r="B829" s="5" t="s">
        <v>1173</v>
      </c>
      <c r="C829" s="4" t="s">
        <v>22</v>
      </c>
      <c r="D829" s="4" t="s">
        <v>86</v>
      </c>
      <c r="E829" s="4" t="s">
        <v>87</v>
      </c>
      <c r="F829" s="4" t="s">
        <v>16</v>
      </c>
      <c r="G829" s="4" t="s">
        <v>17</v>
      </c>
      <c r="H829" s="4" t="s">
        <v>18</v>
      </c>
      <c r="I829" s="4" t="s">
        <v>60</v>
      </c>
      <c r="J829" s="3">
        <v>10</v>
      </c>
      <c r="K829" s="6">
        <v>151400</v>
      </c>
      <c r="L829" s="6">
        <f t="shared" si="36"/>
        <v>105980</v>
      </c>
      <c r="M829" s="6">
        <v>45420</v>
      </c>
      <c r="N829" s="5" t="str">
        <f t="shared" si="37"/>
        <v>Apr</v>
      </c>
      <c r="O829" s="5" t="str">
        <f t="shared" si="38"/>
        <v xml:space="preserve"> 2024</v>
      </c>
    </row>
    <row r="830" spans="1:15" x14ac:dyDescent="0.35">
      <c r="A830" t="s">
        <v>1402</v>
      </c>
      <c r="B830" s="5" t="s">
        <v>275</v>
      </c>
      <c r="C830" s="4" t="s">
        <v>55</v>
      </c>
      <c r="D830" s="4" t="s">
        <v>56</v>
      </c>
      <c r="E830" s="4" t="s">
        <v>57</v>
      </c>
      <c r="F830" s="4" t="s">
        <v>37</v>
      </c>
      <c r="G830" s="4" t="s">
        <v>183</v>
      </c>
      <c r="H830" s="4" t="s">
        <v>72</v>
      </c>
      <c r="I830" s="4" t="s">
        <v>47</v>
      </c>
      <c r="J830" s="3">
        <v>6</v>
      </c>
      <c r="K830" s="6">
        <v>178206</v>
      </c>
      <c r="L830" s="6">
        <f t="shared" si="36"/>
        <v>124744.2</v>
      </c>
      <c r="M830" s="6">
        <v>53461.8</v>
      </c>
      <c r="N830" s="5" t="str">
        <f t="shared" si="37"/>
        <v>Jan</v>
      </c>
      <c r="O830" s="5" t="str">
        <f t="shared" si="38"/>
        <v xml:space="preserve"> 2024</v>
      </c>
    </row>
    <row r="831" spans="1:15" x14ac:dyDescent="0.35">
      <c r="A831" t="s">
        <v>1403</v>
      </c>
      <c r="B831" s="5" t="s">
        <v>1404</v>
      </c>
      <c r="C831" s="4" t="s">
        <v>22</v>
      </c>
      <c r="D831" s="4" t="s">
        <v>23</v>
      </c>
      <c r="E831" s="4" t="s">
        <v>24</v>
      </c>
      <c r="F831" s="4" t="s">
        <v>16</v>
      </c>
      <c r="G831" s="4" t="s">
        <v>17</v>
      </c>
      <c r="H831" s="4" t="s">
        <v>18</v>
      </c>
      <c r="I831" s="4" t="s">
        <v>19</v>
      </c>
      <c r="J831" s="3">
        <v>10</v>
      </c>
      <c r="K831" s="6">
        <v>37930</v>
      </c>
      <c r="L831" s="6">
        <f t="shared" si="36"/>
        <v>26551</v>
      </c>
      <c r="M831" s="6">
        <v>11379</v>
      </c>
      <c r="N831" s="5" t="str">
        <f t="shared" si="37"/>
        <v>Jan</v>
      </c>
      <c r="O831" s="5" t="str">
        <f t="shared" si="38"/>
        <v xml:space="preserve"> 2023</v>
      </c>
    </row>
    <row r="832" spans="1:15" x14ac:dyDescent="0.35">
      <c r="A832" t="s">
        <v>1405</v>
      </c>
      <c r="B832" s="5" t="s">
        <v>150</v>
      </c>
      <c r="C832" s="4" t="s">
        <v>55</v>
      </c>
      <c r="D832" s="4" t="s">
        <v>82</v>
      </c>
      <c r="E832" s="4" t="s">
        <v>83</v>
      </c>
      <c r="F832" s="4" t="s">
        <v>37</v>
      </c>
      <c r="G832" s="4" t="s">
        <v>38</v>
      </c>
      <c r="H832" s="4" t="s">
        <v>27</v>
      </c>
      <c r="I832" s="4" t="s">
        <v>28</v>
      </c>
      <c r="J832" s="3">
        <v>10</v>
      </c>
      <c r="K832" s="6">
        <v>323620</v>
      </c>
      <c r="L832" s="6">
        <f t="shared" si="36"/>
        <v>226534</v>
      </c>
      <c r="M832" s="6">
        <v>97086</v>
      </c>
      <c r="N832" s="5" t="str">
        <f t="shared" si="37"/>
        <v>Nov</v>
      </c>
      <c r="O832" s="5" t="str">
        <f t="shared" si="38"/>
        <v xml:space="preserve"> 2024</v>
      </c>
    </row>
    <row r="833" spans="1:15" x14ac:dyDescent="0.35">
      <c r="A833" t="s">
        <v>1406</v>
      </c>
      <c r="B833" s="5" t="s">
        <v>185</v>
      </c>
      <c r="C833" s="4" t="s">
        <v>22</v>
      </c>
      <c r="D833" s="4" t="s">
        <v>90</v>
      </c>
      <c r="E833" s="4" t="s">
        <v>91</v>
      </c>
      <c r="F833" s="4" t="s">
        <v>67</v>
      </c>
      <c r="G833" s="4" t="s">
        <v>68</v>
      </c>
      <c r="H833" s="4" t="s">
        <v>18</v>
      </c>
      <c r="I833" s="4" t="s">
        <v>60</v>
      </c>
      <c r="J833" s="3">
        <v>5</v>
      </c>
      <c r="K833" s="6">
        <v>174620</v>
      </c>
      <c r="L833" s="6">
        <f t="shared" si="36"/>
        <v>122233.99999999999</v>
      </c>
      <c r="M833" s="6">
        <v>52386.000000000015</v>
      </c>
      <c r="N833" s="5" t="str">
        <f t="shared" si="37"/>
        <v>Feb</v>
      </c>
      <c r="O833" s="5" t="str">
        <f t="shared" si="38"/>
        <v xml:space="preserve"> 2024</v>
      </c>
    </row>
    <row r="834" spans="1:15" x14ac:dyDescent="0.35">
      <c r="A834" t="s">
        <v>1407</v>
      </c>
      <c r="B834" s="5" t="s">
        <v>255</v>
      </c>
      <c r="C834" s="4" t="s">
        <v>31</v>
      </c>
      <c r="D834" s="4" t="s">
        <v>104</v>
      </c>
      <c r="E834" s="4" t="s">
        <v>105</v>
      </c>
      <c r="F834" s="4" t="s">
        <v>37</v>
      </c>
      <c r="G834" s="4" t="s">
        <v>148</v>
      </c>
      <c r="H834" s="4" t="s">
        <v>27</v>
      </c>
      <c r="I834" s="4" t="s">
        <v>60</v>
      </c>
      <c r="J834" s="3">
        <v>1</v>
      </c>
      <c r="K834" s="6">
        <v>43659</v>
      </c>
      <c r="L834" s="6">
        <f t="shared" ref="L834:L897" si="39">K834*0.7</f>
        <v>30561.3</v>
      </c>
      <c r="M834" s="6">
        <v>13097.7</v>
      </c>
      <c r="N834" s="5" t="str">
        <f t="shared" ref="N834:N897" si="40">TEXT(B834,"mmm")</f>
        <v>Nov</v>
      </c>
      <c r="O834" s="5" t="str">
        <f t="shared" ref="O834:O897" si="41">TEXT(B834," yyyy")</f>
        <v xml:space="preserve"> 2023</v>
      </c>
    </row>
    <row r="835" spans="1:15" x14ac:dyDescent="0.35">
      <c r="A835" t="s">
        <v>1408</v>
      </c>
      <c r="B835" s="5" t="s">
        <v>285</v>
      </c>
      <c r="C835" s="4" t="s">
        <v>13</v>
      </c>
      <c r="D835" s="4" t="s">
        <v>162</v>
      </c>
      <c r="E835" s="4" t="s">
        <v>163</v>
      </c>
      <c r="F835" s="4" t="s">
        <v>37</v>
      </c>
      <c r="G835" s="4" t="s">
        <v>183</v>
      </c>
      <c r="H835" s="4" t="s">
        <v>27</v>
      </c>
      <c r="I835" s="4" t="s">
        <v>28</v>
      </c>
      <c r="J835" s="3">
        <v>4</v>
      </c>
      <c r="K835" s="6">
        <v>90032</v>
      </c>
      <c r="L835" s="6">
        <f t="shared" si="39"/>
        <v>63022.399999999994</v>
      </c>
      <c r="M835" s="6">
        <v>27009.600000000006</v>
      </c>
      <c r="N835" s="5" t="str">
        <f t="shared" si="40"/>
        <v>May</v>
      </c>
      <c r="O835" s="5" t="str">
        <f t="shared" si="41"/>
        <v xml:space="preserve"> 2023</v>
      </c>
    </row>
    <row r="836" spans="1:15" x14ac:dyDescent="0.35">
      <c r="A836" t="s">
        <v>1409</v>
      </c>
      <c r="B836" s="5" t="s">
        <v>593</v>
      </c>
      <c r="C836" s="4" t="s">
        <v>55</v>
      </c>
      <c r="D836" s="4" t="s">
        <v>98</v>
      </c>
      <c r="E836" s="4" t="s">
        <v>99</v>
      </c>
      <c r="F836" s="4" t="s">
        <v>37</v>
      </c>
      <c r="G836" s="4" t="s">
        <v>186</v>
      </c>
      <c r="H836" s="4" t="s">
        <v>72</v>
      </c>
      <c r="I836" s="4" t="s">
        <v>47</v>
      </c>
      <c r="J836" s="3">
        <v>3</v>
      </c>
      <c r="K836" s="6">
        <v>32100</v>
      </c>
      <c r="L836" s="6">
        <f t="shared" si="39"/>
        <v>22470</v>
      </c>
      <c r="M836" s="6">
        <v>9630</v>
      </c>
      <c r="N836" s="5" t="str">
        <f t="shared" si="40"/>
        <v>Dec</v>
      </c>
      <c r="O836" s="5" t="str">
        <f t="shared" si="41"/>
        <v xml:space="preserve"> 2023</v>
      </c>
    </row>
    <row r="837" spans="1:15" x14ac:dyDescent="0.35">
      <c r="A837" t="s">
        <v>1410</v>
      </c>
      <c r="B837" s="5" t="s">
        <v>658</v>
      </c>
      <c r="C837" s="4" t="s">
        <v>22</v>
      </c>
      <c r="D837" s="4" t="s">
        <v>23</v>
      </c>
      <c r="E837" s="4" t="s">
        <v>24</v>
      </c>
      <c r="F837" s="4" t="s">
        <v>37</v>
      </c>
      <c r="G837" s="4" t="s">
        <v>183</v>
      </c>
      <c r="H837" s="4" t="s">
        <v>27</v>
      </c>
      <c r="I837" s="4" t="s">
        <v>39</v>
      </c>
      <c r="J837" s="3">
        <v>6</v>
      </c>
      <c r="K837" s="6">
        <v>215250</v>
      </c>
      <c r="L837" s="6">
        <f t="shared" si="39"/>
        <v>150675</v>
      </c>
      <c r="M837" s="6">
        <v>64575</v>
      </c>
      <c r="N837" s="5" t="str">
        <f t="shared" si="40"/>
        <v>Jan</v>
      </c>
      <c r="O837" s="5" t="str">
        <f t="shared" si="41"/>
        <v xml:space="preserve"> 2023</v>
      </c>
    </row>
    <row r="838" spans="1:15" x14ac:dyDescent="0.35">
      <c r="A838" t="s">
        <v>1411</v>
      </c>
      <c r="B838" s="5" t="s">
        <v>1412</v>
      </c>
      <c r="C838" s="4" t="s">
        <v>13</v>
      </c>
      <c r="D838" s="4" t="s">
        <v>125</v>
      </c>
      <c r="E838" s="4" t="s">
        <v>126</v>
      </c>
      <c r="F838" s="4" t="s">
        <v>37</v>
      </c>
      <c r="G838" s="4" t="s">
        <v>186</v>
      </c>
      <c r="H838" s="4" t="s">
        <v>72</v>
      </c>
      <c r="I838" s="4" t="s">
        <v>60</v>
      </c>
      <c r="J838" s="3">
        <v>8</v>
      </c>
      <c r="K838" s="6">
        <v>18480</v>
      </c>
      <c r="L838" s="6">
        <f t="shared" si="39"/>
        <v>12936</v>
      </c>
      <c r="M838" s="6">
        <v>5544</v>
      </c>
      <c r="N838" s="5" t="str">
        <f t="shared" si="40"/>
        <v>May</v>
      </c>
      <c r="O838" s="5" t="str">
        <f t="shared" si="41"/>
        <v xml:space="preserve"> 2024</v>
      </c>
    </row>
    <row r="839" spans="1:15" x14ac:dyDescent="0.35">
      <c r="A839" t="s">
        <v>1413</v>
      </c>
      <c r="B839" s="5" t="s">
        <v>1414</v>
      </c>
      <c r="C839" s="4" t="s">
        <v>31</v>
      </c>
      <c r="D839" s="4" t="s">
        <v>50</v>
      </c>
      <c r="E839" s="4" t="s">
        <v>51</v>
      </c>
      <c r="F839" s="4" t="s">
        <v>67</v>
      </c>
      <c r="G839" s="4" t="s">
        <v>180</v>
      </c>
      <c r="H839" s="4" t="s">
        <v>18</v>
      </c>
      <c r="I839" s="4" t="s">
        <v>60</v>
      </c>
      <c r="J839" s="3">
        <v>10</v>
      </c>
      <c r="K839" s="6">
        <v>167450</v>
      </c>
      <c r="L839" s="6">
        <f t="shared" si="39"/>
        <v>117214.99999999999</v>
      </c>
      <c r="M839" s="6">
        <v>50235.000000000015</v>
      </c>
      <c r="N839" s="5" t="str">
        <f t="shared" si="40"/>
        <v>Sep</v>
      </c>
      <c r="O839" s="5" t="str">
        <f t="shared" si="41"/>
        <v xml:space="preserve"> 2024</v>
      </c>
    </row>
    <row r="840" spans="1:15" x14ac:dyDescent="0.35">
      <c r="A840" t="s">
        <v>1415</v>
      </c>
      <c r="B840" s="5" t="s">
        <v>1073</v>
      </c>
      <c r="C840" s="4" t="s">
        <v>13</v>
      </c>
      <c r="D840" s="4" t="s">
        <v>118</v>
      </c>
      <c r="E840" s="4" t="s">
        <v>119</v>
      </c>
      <c r="F840" s="4" t="s">
        <v>16</v>
      </c>
      <c r="G840" s="4" t="s">
        <v>42</v>
      </c>
      <c r="H840" s="4" t="s">
        <v>72</v>
      </c>
      <c r="I840" s="4" t="s">
        <v>19</v>
      </c>
      <c r="J840" s="3">
        <v>8</v>
      </c>
      <c r="K840" s="6">
        <v>185192</v>
      </c>
      <c r="L840" s="6">
        <f t="shared" si="39"/>
        <v>129634.4</v>
      </c>
      <c r="M840" s="6">
        <v>55557.600000000006</v>
      </c>
      <c r="N840" s="5" t="str">
        <f t="shared" si="40"/>
        <v>Jun</v>
      </c>
      <c r="O840" s="5" t="str">
        <f t="shared" si="41"/>
        <v xml:space="preserve"> 2024</v>
      </c>
    </row>
    <row r="841" spans="1:15" x14ac:dyDescent="0.35">
      <c r="A841" t="s">
        <v>1416</v>
      </c>
      <c r="B841" s="5" t="s">
        <v>1417</v>
      </c>
      <c r="C841" s="4" t="s">
        <v>55</v>
      </c>
      <c r="D841" s="4" t="s">
        <v>56</v>
      </c>
      <c r="E841" s="4" t="s">
        <v>57</v>
      </c>
      <c r="F841" s="4" t="s">
        <v>16</v>
      </c>
      <c r="G841" s="4" t="s">
        <v>42</v>
      </c>
      <c r="H841" s="4" t="s">
        <v>18</v>
      </c>
      <c r="I841" s="4" t="s">
        <v>60</v>
      </c>
      <c r="J841" s="3">
        <v>7</v>
      </c>
      <c r="K841" s="6">
        <v>286279</v>
      </c>
      <c r="L841" s="6">
        <f t="shared" si="39"/>
        <v>200395.3</v>
      </c>
      <c r="M841" s="6">
        <v>85883.700000000012</v>
      </c>
      <c r="N841" s="5" t="str">
        <f t="shared" si="40"/>
        <v>Jul</v>
      </c>
      <c r="O841" s="5" t="str">
        <f t="shared" si="41"/>
        <v xml:space="preserve"> 2023</v>
      </c>
    </row>
    <row r="842" spans="1:15" x14ac:dyDescent="0.35">
      <c r="A842" t="s">
        <v>1418</v>
      </c>
      <c r="B842" s="5" t="s">
        <v>1419</v>
      </c>
      <c r="C842" s="4" t="s">
        <v>55</v>
      </c>
      <c r="D842" s="4" t="s">
        <v>82</v>
      </c>
      <c r="E842" s="4" t="s">
        <v>83</v>
      </c>
      <c r="F842" s="4" t="s">
        <v>25</v>
      </c>
      <c r="G842" s="4" t="s">
        <v>26</v>
      </c>
      <c r="H842" s="4" t="s">
        <v>18</v>
      </c>
      <c r="I842" s="4" t="s">
        <v>39</v>
      </c>
      <c r="J842" s="3">
        <v>2</v>
      </c>
      <c r="K842" s="6">
        <v>19682</v>
      </c>
      <c r="L842" s="6">
        <f t="shared" si="39"/>
        <v>13777.4</v>
      </c>
      <c r="M842" s="6">
        <v>5904.6</v>
      </c>
      <c r="N842" s="5" t="str">
        <f t="shared" si="40"/>
        <v>Dec</v>
      </c>
      <c r="O842" s="5" t="str">
        <f t="shared" si="41"/>
        <v xml:space="preserve"> 2023</v>
      </c>
    </row>
    <row r="843" spans="1:15" x14ac:dyDescent="0.35">
      <c r="A843" t="s">
        <v>1420</v>
      </c>
      <c r="B843" s="5" t="s">
        <v>626</v>
      </c>
      <c r="C843" s="4" t="s">
        <v>22</v>
      </c>
      <c r="D843" s="4" t="s">
        <v>90</v>
      </c>
      <c r="E843" s="4" t="s">
        <v>91</v>
      </c>
      <c r="F843" s="4" t="s">
        <v>37</v>
      </c>
      <c r="G843" s="4" t="s">
        <v>186</v>
      </c>
      <c r="H843" s="4" t="s">
        <v>72</v>
      </c>
      <c r="I843" s="4" t="s">
        <v>39</v>
      </c>
      <c r="J843" s="3">
        <v>4</v>
      </c>
      <c r="K843" s="6">
        <v>178944</v>
      </c>
      <c r="L843" s="6">
        <f t="shared" si="39"/>
        <v>125260.79999999999</v>
      </c>
      <c r="M843" s="6">
        <v>53683.200000000012</v>
      </c>
      <c r="N843" s="5" t="str">
        <f t="shared" si="40"/>
        <v>Oct</v>
      </c>
      <c r="O843" s="5" t="str">
        <f t="shared" si="41"/>
        <v xml:space="preserve"> 2023</v>
      </c>
    </row>
    <row r="844" spans="1:15" x14ac:dyDescent="0.35">
      <c r="A844" t="s">
        <v>1421</v>
      </c>
      <c r="B844" s="5" t="s">
        <v>719</v>
      </c>
      <c r="C844" s="4" t="s">
        <v>55</v>
      </c>
      <c r="D844" s="4" t="s">
        <v>56</v>
      </c>
      <c r="E844" s="4" t="s">
        <v>57</v>
      </c>
      <c r="F844" s="4" t="s">
        <v>16</v>
      </c>
      <c r="G844" s="4" t="s">
        <v>42</v>
      </c>
      <c r="H844" s="4" t="s">
        <v>72</v>
      </c>
      <c r="I844" s="4" t="s">
        <v>60</v>
      </c>
      <c r="J844" s="3">
        <v>6</v>
      </c>
      <c r="K844" s="6">
        <v>108804</v>
      </c>
      <c r="L844" s="6">
        <f t="shared" si="39"/>
        <v>76162.799999999988</v>
      </c>
      <c r="M844" s="6">
        <v>32641.200000000012</v>
      </c>
      <c r="N844" s="5" t="str">
        <f t="shared" si="40"/>
        <v>Jun</v>
      </c>
      <c r="O844" s="5" t="str">
        <f t="shared" si="41"/>
        <v xml:space="preserve"> 2024</v>
      </c>
    </row>
    <row r="845" spans="1:15" x14ac:dyDescent="0.35">
      <c r="A845" t="s">
        <v>1422</v>
      </c>
      <c r="B845" s="5" t="s">
        <v>1236</v>
      </c>
      <c r="C845" s="4" t="s">
        <v>22</v>
      </c>
      <c r="D845" s="4" t="s">
        <v>90</v>
      </c>
      <c r="E845" s="4" t="s">
        <v>110</v>
      </c>
      <c r="F845" s="4" t="s">
        <v>16</v>
      </c>
      <c r="G845" s="4" t="s">
        <v>17</v>
      </c>
      <c r="H845" s="4" t="s">
        <v>18</v>
      </c>
      <c r="I845" s="4" t="s">
        <v>28</v>
      </c>
      <c r="J845" s="3">
        <v>10</v>
      </c>
      <c r="K845" s="6">
        <v>78030</v>
      </c>
      <c r="L845" s="6">
        <f t="shared" si="39"/>
        <v>54621</v>
      </c>
      <c r="M845" s="6">
        <v>23409</v>
      </c>
      <c r="N845" s="5" t="str">
        <f t="shared" si="40"/>
        <v>May</v>
      </c>
      <c r="O845" s="5" t="str">
        <f t="shared" si="41"/>
        <v xml:space="preserve"> 2024</v>
      </c>
    </row>
    <row r="846" spans="1:15" x14ac:dyDescent="0.35">
      <c r="A846" t="s">
        <v>1423</v>
      </c>
      <c r="B846" s="5" t="s">
        <v>76</v>
      </c>
      <c r="C846" s="4" t="s">
        <v>13</v>
      </c>
      <c r="D846" s="4" t="s">
        <v>118</v>
      </c>
      <c r="E846" s="4" t="s">
        <v>119</v>
      </c>
      <c r="F846" s="4" t="s">
        <v>16</v>
      </c>
      <c r="G846" s="4" t="s">
        <v>122</v>
      </c>
      <c r="H846" s="4" t="s">
        <v>72</v>
      </c>
      <c r="I846" s="4" t="s">
        <v>39</v>
      </c>
      <c r="J846" s="3">
        <v>4</v>
      </c>
      <c r="K846" s="6">
        <v>170732</v>
      </c>
      <c r="L846" s="6">
        <f t="shared" si="39"/>
        <v>119512.4</v>
      </c>
      <c r="M846" s="6">
        <v>51219.600000000006</v>
      </c>
      <c r="N846" s="5" t="str">
        <f t="shared" si="40"/>
        <v>Nov</v>
      </c>
      <c r="O846" s="5" t="str">
        <f t="shared" si="41"/>
        <v xml:space="preserve"> 2024</v>
      </c>
    </row>
    <row r="847" spans="1:15" x14ac:dyDescent="0.35">
      <c r="A847" t="s">
        <v>1424</v>
      </c>
      <c r="B847" s="5" t="s">
        <v>1425</v>
      </c>
      <c r="C847" s="4" t="s">
        <v>31</v>
      </c>
      <c r="D847" s="4" t="s">
        <v>45</v>
      </c>
      <c r="E847" s="4" t="s">
        <v>46</v>
      </c>
      <c r="F847" s="4" t="s">
        <v>16</v>
      </c>
      <c r="G847" s="4" t="s">
        <v>42</v>
      </c>
      <c r="H847" s="4" t="s">
        <v>27</v>
      </c>
      <c r="I847" s="4" t="s">
        <v>60</v>
      </c>
      <c r="J847" s="3">
        <v>4</v>
      </c>
      <c r="K847" s="6">
        <v>145628</v>
      </c>
      <c r="L847" s="6">
        <f t="shared" si="39"/>
        <v>101939.59999999999</v>
      </c>
      <c r="M847" s="6">
        <v>43688.400000000009</v>
      </c>
      <c r="N847" s="5" t="str">
        <f t="shared" si="40"/>
        <v>Jan</v>
      </c>
      <c r="O847" s="5" t="str">
        <f t="shared" si="41"/>
        <v xml:space="preserve"> 2024</v>
      </c>
    </row>
    <row r="848" spans="1:15" x14ac:dyDescent="0.35">
      <c r="A848" t="s">
        <v>1426</v>
      </c>
      <c r="B848" s="5" t="s">
        <v>1038</v>
      </c>
      <c r="C848" s="4" t="s">
        <v>13</v>
      </c>
      <c r="D848" s="4" t="s">
        <v>14</v>
      </c>
      <c r="E848" s="4" t="s">
        <v>15</v>
      </c>
      <c r="F848" s="4" t="s">
        <v>37</v>
      </c>
      <c r="G848" s="4" t="s">
        <v>38</v>
      </c>
      <c r="H848" s="4" t="s">
        <v>18</v>
      </c>
      <c r="I848" s="4" t="s">
        <v>19</v>
      </c>
      <c r="J848" s="3">
        <v>6</v>
      </c>
      <c r="K848" s="6">
        <v>59544</v>
      </c>
      <c r="L848" s="6">
        <f t="shared" si="39"/>
        <v>41680.799999999996</v>
      </c>
      <c r="M848" s="6">
        <v>17863.200000000004</v>
      </c>
      <c r="N848" s="5" t="str">
        <f t="shared" si="40"/>
        <v>Sep</v>
      </c>
      <c r="O848" s="5" t="str">
        <f t="shared" si="41"/>
        <v xml:space="preserve"> 2023</v>
      </c>
    </row>
    <row r="849" spans="1:15" x14ac:dyDescent="0.35">
      <c r="A849" t="s">
        <v>1427</v>
      </c>
      <c r="B849" s="5" t="s">
        <v>445</v>
      </c>
      <c r="C849" s="4" t="s">
        <v>31</v>
      </c>
      <c r="D849" s="4" t="s">
        <v>45</v>
      </c>
      <c r="E849" s="4" t="s">
        <v>46</v>
      </c>
      <c r="F849" s="4" t="s">
        <v>67</v>
      </c>
      <c r="G849" s="4" t="s">
        <v>113</v>
      </c>
      <c r="H849" s="4" t="s">
        <v>27</v>
      </c>
      <c r="I849" s="4" t="s">
        <v>19</v>
      </c>
      <c r="J849" s="3">
        <v>2</v>
      </c>
      <c r="K849" s="6">
        <v>49548</v>
      </c>
      <c r="L849" s="6">
        <f t="shared" si="39"/>
        <v>34683.599999999999</v>
      </c>
      <c r="M849" s="6">
        <v>14864.400000000001</v>
      </c>
      <c r="N849" s="5" t="str">
        <f t="shared" si="40"/>
        <v>Mar</v>
      </c>
      <c r="O849" s="5" t="str">
        <f t="shared" si="41"/>
        <v xml:space="preserve"> 2023</v>
      </c>
    </row>
    <row r="850" spans="1:15" x14ac:dyDescent="0.35">
      <c r="A850" t="s">
        <v>1428</v>
      </c>
      <c r="B850" s="5" t="s">
        <v>1429</v>
      </c>
      <c r="C850" s="4" t="s">
        <v>55</v>
      </c>
      <c r="D850" s="4" t="s">
        <v>82</v>
      </c>
      <c r="E850" s="4" t="s">
        <v>83</v>
      </c>
      <c r="F850" s="4" t="s">
        <v>25</v>
      </c>
      <c r="G850" s="4" t="s">
        <v>52</v>
      </c>
      <c r="H850" s="4" t="s">
        <v>27</v>
      </c>
      <c r="I850" s="4" t="s">
        <v>47</v>
      </c>
      <c r="J850" s="3">
        <v>4</v>
      </c>
      <c r="K850" s="6">
        <v>52516</v>
      </c>
      <c r="L850" s="6">
        <f t="shared" si="39"/>
        <v>36761.199999999997</v>
      </c>
      <c r="M850" s="6">
        <v>15754.800000000003</v>
      </c>
      <c r="N850" s="5" t="str">
        <f t="shared" si="40"/>
        <v>Jul</v>
      </c>
      <c r="O850" s="5" t="str">
        <f t="shared" si="41"/>
        <v xml:space="preserve"> 2024</v>
      </c>
    </row>
    <row r="851" spans="1:15" x14ac:dyDescent="0.35">
      <c r="A851" t="s">
        <v>1430</v>
      </c>
      <c r="B851" s="5" t="s">
        <v>1431</v>
      </c>
      <c r="C851" s="4" t="s">
        <v>31</v>
      </c>
      <c r="D851" s="4" t="s">
        <v>32</v>
      </c>
      <c r="E851" s="4" t="s">
        <v>33</v>
      </c>
      <c r="F851" s="4" t="s">
        <v>37</v>
      </c>
      <c r="G851" s="4" t="s">
        <v>183</v>
      </c>
      <c r="H851" s="4" t="s">
        <v>72</v>
      </c>
      <c r="I851" s="4" t="s">
        <v>19</v>
      </c>
      <c r="J851" s="3">
        <v>2</v>
      </c>
      <c r="K851" s="6">
        <v>83672</v>
      </c>
      <c r="L851" s="6">
        <f t="shared" si="39"/>
        <v>58570.399999999994</v>
      </c>
      <c r="M851" s="6">
        <v>25101.600000000006</v>
      </c>
      <c r="N851" s="5" t="str">
        <f t="shared" si="40"/>
        <v>Jul</v>
      </c>
      <c r="O851" s="5" t="str">
        <f t="shared" si="41"/>
        <v xml:space="preserve"> 2023</v>
      </c>
    </row>
    <row r="852" spans="1:15" x14ac:dyDescent="0.35">
      <c r="A852" t="s">
        <v>1432</v>
      </c>
      <c r="B852" s="5" t="s">
        <v>1433</v>
      </c>
      <c r="C852" s="4" t="s">
        <v>13</v>
      </c>
      <c r="D852" s="4" t="s">
        <v>162</v>
      </c>
      <c r="E852" s="4" t="s">
        <v>163</v>
      </c>
      <c r="F852" s="4" t="s">
        <v>67</v>
      </c>
      <c r="G852" s="4" t="s">
        <v>134</v>
      </c>
      <c r="H852" s="4" t="s">
        <v>72</v>
      </c>
      <c r="I852" s="4" t="s">
        <v>60</v>
      </c>
      <c r="J852" s="3">
        <v>2</v>
      </c>
      <c r="K852" s="6">
        <v>52222</v>
      </c>
      <c r="L852" s="6">
        <f t="shared" si="39"/>
        <v>36555.399999999994</v>
      </c>
      <c r="M852" s="6">
        <v>15666.600000000006</v>
      </c>
      <c r="N852" s="5" t="str">
        <f t="shared" si="40"/>
        <v>Nov</v>
      </c>
      <c r="O852" s="5" t="str">
        <f t="shared" si="41"/>
        <v xml:space="preserve"> 2024</v>
      </c>
    </row>
    <row r="853" spans="1:15" x14ac:dyDescent="0.35">
      <c r="A853" t="s">
        <v>1434</v>
      </c>
      <c r="B853" s="5" t="s">
        <v>95</v>
      </c>
      <c r="C853" s="4" t="s">
        <v>13</v>
      </c>
      <c r="D853" s="4" t="s">
        <v>125</v>
      </c>
      <c r="E853" s="4" t="s">
        <v>126</v>
      </c>
      <c r="F853" s="4" t="s">
        <v>67</v>
      </c>
      <c r="G853" s="4" t="s">
        <v>68</v>
      </c>
      <c r="H853" s="4" t="s">
        <v>72</v>
      </c>
      <c r="I853" s="4" t="s">
        <v>60</v>
      </c>
      <c r="J853" s="3">
        <v>2</v>
      </c>
      <c r="K853" s="6">
        <v>55404</v>
      </c>
      <c r="L853" s="6">
        <f t="shared" si="39"/>
        <v>38782.799999999996</v>
      </c>
      <c r="M853" s="6">
        <v>16621.200000000004</v>
      </c>
      <c r="N853" s="5" t="str">
        <f t="shared" si="40"/>
        <v>Jul</v>
      </c>
      <c r="O853" s="5" t="str">
        <f t="shared" si="41"/>
        <v xml:space="preserve"> 2024</v>
      </c>
    </row>
    <row r="854" spans="1:15" x14ac:dyDescent="0.35">
      <c r="A854" t="s">
        <v>1435</v>
      </c>
      <c r="B854" s="5" t="s">
        <v>971</v>
      </c>
      <c r="C854" s="4" t="s">
        <v>55</v>
      </c>
      <c r="D854" s="4" t="s">
        <v>56</v>
      </c>
      <c r="E854" s="4" t="s">
        <v>57</v>
      </c>
      <c r="F854" s="4" t="s">
        <v>16</v>
      </c>
      <c r="G854" s="4" t="s">
        <v>17</v>
      </c>
      <c r="H854" s="4" t="s">
        <v>72</v>
      </c>
      <c r="I854" s="4" t="s">
        <v>39</v>
      </c>
      <c r="J854" s="3">
        <v>4</v>
      </c>
      <c r="K854" s="6">
        <v>146580</v>
      </c>
      <c r="L854" s="6">
        <f t="shared" si="39"/>
        <v>102606</v>
      </c>
      <c r="M854" s="6">
        <v>43974</v>
      </c>
      <c r="N854" s="5" t="str">
        <f t="shared" si="40"/>
        <v>May</v>
      </c>
      <c r="O854" s="5" t="str">
        <f t="shared" si="41"/>
        <v xml:space="preserve"> 2023</v>
      </c>
    </row>
    <row r="855" spans="1:15" x14ac:dyDescent="0.35">
      <c r="A855" t="s">
        <v>1436</v>
      </c>
      <c r="B855" s="5" t="s">
        <v>1437</v>
      </c>
      <c r="C855" s="4" t="s">
        <v>22</v>
      </c>
      <c r="D855" s="4" t="s">
        <v>90</v>
      </c>
      <c r="E855" s="4" t="s">
        <v>91</v>
      </c>
      <c r="F855" s="4" t="s">
        <v>16</v>
      </c>
      <c r="G855" s="4" t="s">
        <v>122</v>
      </c>
      <c r="H855" s="4" t="s">
        <v>27</v>
      </c>
      <c r="I855" s="4" t="s">
        <v>47</v>
      </c>
      <c r="J855" s="3">
        <v>4</v>
      </c>
      <c r="K855" s="6">
        <v>3328</v>
      </c>
      <c r="L855" s="6">
        <f t="shared" si="39"/>
        <v>2329.6</v>
      </c>
      <c r="M855" s="6">
        <v>998.40000000000009</v>
      </c>
      <c r="N855" s="5" t="str">
        <f t="shared" si="40"/>
        <v>Mar</v>
      </c>
      <c r="O855" s="5" t="str">
        <f t="shared" si="41"/>
        <v xml:space="preserve"> 2023</v>
      </c>
    </row>
    <row r="856" spans="1:15" x14ac:dyDescent="0.35">
      <c r="A856" t="s">
        <v>1438</v>
      </c>
      <c r="B856" s="5" t="s">
        <v>596</v>
      </c>
      <c r="C856" s="4" t="s">
        <v>31</v>
      </c>
      <c r="D856" s="4" t="s">
        <v>104</v>
      </c>
      <c r="E856" s="4" t="s">
        <v>105</v>
      </c>
      <c r="F856" s="4" t="s">
        <v>67</v>
      </c>
      <c r="G856" s="4" t="s">
        <v>113</v>
      </c>
      <c r="H856" s="4" t="s">
        <v>72</v>
      </c>
      <c r="I856" s="4" t="s">
        <v>19</v>
      </c>
      <c r="J856" s="3">
        <v>3</v>
      </c>
      <c r="K856" s="6">
        <v>39651</v>
      </c>
      <c r="L856" s="6">
        <f t="shared" si="39"/>
        <v>27755.699999999997</v>
      </c>
      <c r="M856" s="6">
        <v>11895.300000000003</v>
      </c>
      <c r="N856" s="5" t="str">
        <f t="shared" si="40"/>
        <v>Jun</v>
      </c>
      <c r="O856" s="5" t="str">
        <f t="shared" si="41"/>
        <v xml:space="preserve"> 2023</v>
      </c>
    </row>
    <row r="857" spans="1:15" x14ac:dyDescent="0.35">
      <c r="A857" t="s">
        <v>1439</v>
      </c>
      <c r="B857" s="5" t="s">
        <v>1440</v>
      </c>
      <c r="C857" s="4" t="s">
        <v>22</v>
      </c>
      <c r="D857" s="4" t="s">
        <v>90</v>
      </c>
      <c r="E857" s="4" t="s">
        <v>110</v>
      </c>
      <c r="F857" s="4" t="s">
        <v>67</v>
      </c>
      <c r="G857" s="4" t="s">
        <v>180</v>
      </c>
      <c r="H857" s="4" t="s">
        <v>72</v>
      </c>
      <c r="I857" s="4" t="s">
        <v>47</v>
      </c>
      <c r="J857" s="3">
        <v>6</v>
      </c>
      <c r="K857" s="6">
        <v>181362</v>
      </c>
      <c r="L857" s="6">
        <f t="shared" si="39"/>
        <v>126953.4</v>
      </c>
      <c r="M857" s="6">
        <v>54408.600000000006</v>
      </c>
      <c r="N857" s="5" t="str">
        <f t="shared" si="40"/>
        <v>May</v>
      </c>
      <c r="O857" s="5" t="str">
        <f t="shared" si="41"/>
        <v xml:space="preserve"> 2023</v>
      </c>
    </row>
    <row r="858" spans="1:15" x14ac:dyDescent="0.35">
      <c r="A858" t="s">
        <v>1441</v>
      </c>
      <c r="B858" s="5" t="s">
        <v>1324</v>
      </c>
      <c r="C858" s="4" t="s">
        <v>31</v>
      </c>
      <c r="D858" s="4" t="s">
        <v>45</v>
      </c>
      <c r="E858" s="4" t="s">
        <v>46</v>
      </c>
      <c r="F858" s="4" t="s">
        <v>37</v>
      </c>
      <c r="G858" s="4" t="s">
        <v>38</v>
      </c>
      <c r="H858" s="4" t="s">
        <v>72</v>
      </c>
      <c r="I858" s="4" t="s">
        <v>47</v>
      </c>
      <c r="J858" s="3">
        <v>9</v>
      </c>
      <c r="K858" s="6">
        <v>254241</v>
      </c>
      <c r="L858" s="6">
        <f t="shared" si="39"/>
        <v>177968.69999999998</v>
      </c>
      <c r="M858" s="6">
        <v>76272.300000000017</v>
      </c>
      <c r="N858" s="5" t="str">
        <f t="shared" si="40"/>
        <v>Jan</v>
      </c>
      <c r="O858" s="5" t="str">
        <f t="shared" si="41"/>
        <v xml:space="preserve"> 2023</v>
      </c>
    </row>
    <row r="859" spans="1:15" x14ac:dyDescent="0.35">
      <c r="A859" t="s">
        <v>1442</v>
      </c>
      <c r="B859" s="5" t="s">
        <v>1373</v>
      </c>
      <c r="C859" s="4" t="s">
        <v>55</v>
      </c>
      <c r="D859" s="4" t="s">
        <v>98</v>
      </c>
      <c r="E859" s="4" t="s">
        <v>99</v>
      </c>
      <c r="F859" s="4" t="s">
        <v>16</v>
      </c>
      <c r="G859" s="4" t="s">
        <v>42</v>
      </c>
      <c r="H859" s="4" t="s">
        <v>27</v>
      </c>
      <c r="I859" s="4" t="s">
        <v>19</v>
      </c>
      <c r="J859" s="3">
        <v>8</v>
      </c>
      <c r="K859" s="6">
        <v>228504</v>
      </c>
      <c r="L859" s="6">
        <f t="shared" si="39"/>
        <v>159952.79999999999</v>
      </c>
      <c r="M859" s="6">
        <v>68551.200000000012</v>
      </c>
      <c r="N859" s="5" t="str">
        <f t="shared" si="40"/>
        <v>Dec</v>
      </c>
      <c r="O859" s="5" t="str">
        <f t="shared" si="41"/>
        <v xml:space="preserve"> 2023</v>
      </c>
    </row>
    <row r="860" spans="1:15" x14ac:dyDescent="0.35">
      <c r="A860" t="s">
        <v>1443</v>
      </c>
      <c r="B860" s="5" t="s">
        <v>764</v>
      </c>
      <c r="C860" s="4" t="s">
        <v>22</v>
      </c>
      <c r="D860" s="4" t="s">
        <v>90</v>
      </c>
      <c r="E860" s="4" t="s">
        <v>110</v>
      </c>
      <c r="F860" s="4" t="s">
        <v>16</v>
      </c>
      <c r="G860" s="4" t="s">
        <v>17</v>
      </c>
      <c r="H860" s="4" t="s">
        <v>27</v>
      </c>
      <c r="I860" s="4" t="s">
        <v>47</v>
      </c>
      <c r="J860" s="3">
        <v>6</v>
      </c>
      <c r="K860" s="6">
        <v>183222</v>
      </c>
      <c r="L860" s="6">
        <f t="shared" si="39"/>
        <v>128255.4</v>
      </c>
      <c r="M860" s="6">
        <v>54966.600000000006</v>
      </c>
      <c r="N860" s="5" t="str">
        <f t="shared" si="40"/>
        <v>Jul</v>
      </c>
      <c r="O860" s="5" t="str">
        <f t="shared" si="41"/>
        <v xml:space="preserve"> 2024</v>
      </c>
    </row>
    <row r="861" spans="1:15" x14ac:dyDescent="0.35">
      <c r="A861" t="s">
        <v>1444</v>
      </c>
      <c r="B861" s="5" t="s">
        <v>398</v>
      </c>
      <c r="C861" s="4" t="s">
        <v>13</v>
      </c>
      <c r="D861" s="4" t="s">
        <v>162</v>
      </c>
      <c r="E861" s="4" t="s">
        <v>163</v>
      </c>
      <c r="F861" s="4" t="s">
        <v>37</v>
      </c>
      <c r="G861" s="4" t="s">
        <v>38</v>
      </c>
      <c r="H861" s="4" t="s">
        <v>27</v>
      </c>
      <c r="I861" s="4" t="s">
        <v>39</v>
      </c>
      <c r="J861" s="3">
        <v>6</v>
      </c>
      <c r="K861" s="6">
        <v>227514</v>
      </c>
      <c r="L861" s="6">
        <f t="shared" si="39"/>
        <v>159259.79999999999</v>
      </c>
      <c r="M861" s="6">
        <v>68254.200000000012</v>
      </c>
      <c r="N861" s="5" t="str">
        <f t="shared" si="40"/>
        <v>Aug</v>
      </c>
      <c r="O861" s="5" t="str">
        <f t="shared" si="41"/>
        <v xml:space="preserve"> 2024</v>
      </c>
    </row>
    <row r="862" spans="1:15" x14ac:dyDescent="0.35">
      <c r="A862" t="s">
        <v>1445</v>
      </c>
      <c r="B862" s="5" t="s">
        <v>353</v>
      </c>
      <c r="C862" s="4" t="s">
        <v>22</v>
      </c>
      <c r="D862" s="4" t="s">
        <v>90</v>
      </c>
      <c r="E862" s="4" t="s">
        <v>110</v>
      </c>
      <c r="F862" s="4" t="s">
        <v>37</v>
      </c>
      <c r="G862" s="4" t="s">
        <v>38</v>
      </c>
      <c r="H862" s="4" t="s">
        <v>72</v>
      </c>
      <c r="I862" s="4" t="s">
        <v>39</v>
      </c>
      <c r="J862" s="3">
        <v>3</v>
      </c>
      <c r="K862" s="6">
        <v>48921</v>
      </c>
      <c r="L862" s="6">
        <f t="shared" si="39"/>
        <v>34244.699999999997</v>
      </c>
      <c r="M862" s="6">
        <v>14676.300000000003</v>
      </c>
      <c r="N862" s="5" t="str">
        <f t="shared" si="40"/>
        <v>Dec</v>
      </c>
      <c r="O862" s="5" t="str">
        <f t="shared" si="41"/>
        <v xml:space="preserve"> 2023</v>
      </c>
    </row>
    <row r="863" spans="1:15" x14ac:dyDescent="0.35">
      <c r="A863" t="s">
        <v>1446</v>
      </c>
      <c r="B863" s="5" t="s">
        <v>1447</v>
      </c>
      <c r="C863" s="4" t="s">
        <v>31</v>
      </c>
      <c r="D863" s="4" t="s">
        <v>104</v>
      </c>
      <c r="E863" s="4" t="s">
        <v>105</v>
      </c>
      <c r="F863" s="4" t="s">
        <v>37</v>
      </c>
      <c r="G863" s="4" t="s">
        <v>186</v>
      </c>
      <c r="H863" s="4" t="s">
        <v>18</v>
      </c>
      <c r="I863" s="4" t="s">
        <v>47</v>
      </c>
      <c r="J863" s="3">
        <v>10</v>
      </c>
      <c r="K863" s="6">
        <v>315110</v>
      </c>
      <c r="L863" s="6">
        <f t="shared" si="39"/>
        <v>220577</v>
      </c>
      <c r="M863" s="6">
        <v>94533</v>
      </c>
      <c r="N863" s="5" t="str">
        <f t="shared" si="40"/>
        <v>Feb</v>
      </c>
      <c r="O863" s="5" t="str">
        <f t="shared" si="41"/>
        <v xml:space="preserve"> 2023</v>
      </c>
    </row>
    <row r="864" spans="1:15" x14ac:dyDescent="0.35">
      <c r="A864" t="s">
        <v>1448</v>
      </c>
      <c r="B864" s="5" t="s">
        <v>1449</v>
      </c>
      <c r="C864" s="4" t="s">
        <v>55</v>
      </c>
      <c r="D864" s="4" t="s">
        <v>56</v>
      </c>
      <c r="E864" s="4" t="s">
        <v>57</v>
      </c>
      <c r="F864" s="4" t="s">
        <v>25</v>
      </c>
      <c r="G864" s="4" t="s">
        <v>26</v>
      </c>
      <c r="H864" s="4" t="s">
        <v>18</v>
      </c>
      <c r="I864" s="4" t="s">
        <v>60</v>
      </c>
      <c r="J864" s="3">
        <v>4</v>
      </c>
      <c r="K864" s="6">
        <v>97452</v>
      </c>
      <c r="L864" s="6">
        <f t="shared" si="39"/>
        <v>68216.399999999994</v>
      </c>
      <c r="M864" s="6">
        <v>29235.600000000006</v>
      </c>
      <c r="N864" s="5" t="str">
        <f t="shared" si="40"/>
        <v>Oct</v>
      </c>
      <c r="O864" s="5" t="str">
        <f t="shared" si="41"/>
        <v xml:space="preserve"> 2024</v>
      </c>
    </row>
    <row r="865" spans="1:15" x14ac:dyDescent="0.35">
      <c r="A865" t="s">
        <v>1450</v>
      </c>
      <c r="B865" s="5" t="s">
        <v>1217</v>
      </c>
      <c r="C865" s="4" t="s">
        <v>55</v>
      </c>
      <c r="D865" s="4" t="s">
        <v>56</v>
      </c>
      <c r="E865" s="4" t="s">
        <v>57</v>
      </c>
      <c r="F865" s="4" t="s">
        <v>25</v>
      </c>
      <c r="G865" s="4" t="s">
        <v>71</v>
      </c>
      <c r="H865" s="4" t="s">
        <v>18</v>
      </c>
      <c r="I865" s="4" t="s">
        <v>19</v>
      </c>
      <c r="J865" s="3">
        <v>8</v>
      </c>
      <c r="K865" s="6">
        <v>70112</v>
      </c>
      <c r="L865" s="6">
        <f t="shared" si="39"/>
        <v>49078.399999999994</v>
      </c>
      <c r="M865" s="6">
        <v>21033.600000000006</v>
      </c>
      <c r="N865" s="5" t="str">
        <f t="shared" si="40"/>
        <v>Aug</v>
      </c>
      <c r="O865" s="5" t="str">
        <f t="shared" si="41"/>
        <v xml:space="preserve"> 2023</v>
      </c>
    </row>
    <row r="866" spans="1:15" x14ac:dyDescent="0.35">
      <c r="A866" t="s">
        <v>1451</v>
      </c>
      <c r="B866" s="5" t="s">
        <v>829</v>
      </c>
      <c r="C866" s="4" t="s">
        <v>55</v>
      </c>
      <c r="D866" s="4" t="s">
        <v>56</v>
      </c>
      <c r="E866" s="4" t="s">
        <v>57</v>
      </c>
      <c r="F866" s="4" t="s">
        <v>25</v>
      </c>
      <c r="G866" s="4" t="s">
        <v>52</v>
      </c>
      <c r="H866" s="4" t="s">
        <v>72</v>
      </c>
      <c r="I866" s="4" t="s">
        <v>28</v>
      </c>
      <c r="J866" s="3">
        <v>6</v>
      </c>
      <c r="K866" s="6">
        <v>40470</v>
      </c>
      <c r="L866" s="6">
        <f t="shared" si="39"/>
        <v>28329</v>
      </c>
      <c r="M866" s="6">
        <v>12141</v>
      </c>
      <c r="N866" s="5" t="str">
        <f t="shared" si="40"/>
        <v>Jan</v>
      </c>
      <c r="O866" s="5" t="str">
        <f t="shared" si="41"/>
        <v xml:space="preserve"> 2023</v>
      </c>
    </row>
    <row r="867" spans="1:15" x14ac:dyDescent="0.35">
      <c r="A867" t="s">
        <v>1452</v>
      </c>
      <c r="B867" s="5" t="s">
        <v>1080</v>
      </c>
      <c r="C867" s="4" t="s">
        <v>55</v>
      </c>
      <c r="D867" s="4" t="s">
        <v>56</v>
      </c>
      <c r="E867" s="4" t="s">
        <v>57</v>
      </c>
      <c r="F867" s="4" t="s">
        <v>37</v>
      </c>
      <c r="G867" s="4" t="s">
        <v>186</v>
      </c>
      <c r="H867" s="4" t="s">
        <v>72</v>
      </c>
      <c r="I867" s="4" t="s">
        <v>19</v>
      </c>
      <c r="J867" s="3">
        <v>4</v>
      </c>
      <c r="K867" s="6">
        <v>62696</v>
      </c>
      <c r="L867" s="6">
        <f t="shared" si="39"/>
        <v>43887.199999999997</v>
      </c>
      <c r="M867" s="6">
        <v>18808.800000000003</v>
      </c>
      <c r="N867" s="5" t="str">
        <f t="shared" si="40"/>
        <v>Nov</v>
      </c>
      <c r="O867" s="5" t="str">
        <f t="shared" si="41"/>
        <v xml:space="preserve"> 2023</v>
      </c>
    </row>
    <row r="868" spans="1:15" x14ac:dyDescent="0.35">
      <c r="A868" t="s">
        <v>1453</v>
      </c>
      <c r="B868" s="5" t="s">
        <v>504</v>
      </c>
      <c r="C868" s="4" t="s">
        <v>31</v>
      </c>
      <c r="D868" s="4" t="s">
        <v>104</v>
      </c>
      <c r="E868" s="4" t="s">
        <v>105</v>
      </c>
      <c r="F868" s="4" t="s">
        <v>25</v>
      </c>
      <c r="G868" s="4" t="s">
        <v>77</v>
      </c>
      <c r="H868" s="4" t="s">
        <v>72</v>
      </c>
      <c r="I868" s="4" t="s">
        <v>28</v>
      </c>
      <c r="J868" s="3">
        <v>10</v>
      </c>
      <c r="K868" s="6">
        <v>111730</v>
      </c>
      <c r="L868" s="6">
        <f t="shared" si="39"/>
        <v>78211</v>
      </c>
      <c r="M868" s="6">
        <v>33519</v>
      </c>
      <c r="N868" s="5" t="str">
        <f t="shared" si="40"/>
        <v>Feb</v>
      </c>
      <c r="O868" s="5" t="str">
        <f t="shared" si="41"/>
        <v xml:space="preserve"> 2023</v>
      </c>
    </row>
    <row r="869" spans="1:15" x14ac:dyDescent="0.35">
      <c r="A869" t="s">
        <v>1454</v>
      </c>
      <c r="B869" s="5" t="s">
        <v>205</v>
      </c>
      <c r="C869" s="4" t="s">
        <v>13</v>
      </c>
      <c r="D869" s="4" t="s">
        <v>118</v>
      </c>
      <c r="E869" s="4" t="s">
        <v>119</v>
      </c>
      <c r="F869" s="4" t="s">
        <v>16</v>
      </c>
      <c r="G869" s="4" t="s">
        <v>122</v>
      </c>
      <c r="H869" s="4" t="s">
        <v>72</v>
      </c>
      <c r="I869" s="4" t="s">
        <v>60</v>
      </c>
      <c r="J869" s="3">
        <v>10</v>
      </c>
      <c r="K869" s="6">
        <v>9260</v>
      </c>
      <c r="L869" s="6">
        <f t="shared" si="39"/>
        <v>6482</v>
      </c>
      <c r="M869" s="6">
        <v>2778</v>
      </c>
      <c r="N869" s="5" t="str">
        <f t="shared" si="40"/>
        <v>Oct</v>
      </c>
      <c r="O869" s="5" t="str">
        <f t="shared" si="41"/>
        <v xml:space="preserve"> 2024</v>
      </c>
    </row>
    <row r="870" spans="1:15" x14ac:dyDescent="0.35">
      <c r="A870" t="s">
        <v>1455</v>
      </c>
      <c r="B870" s="5" t="s">
        <v>1101</v>
      </c>
      <c r="C870" s="4" t="s">
        <v>22</v>
      </c>
      <c r="D870" s="4" t="s">
        <v>86</v>
      </c>
      <c r="E870" s="4" t="s">
        <v>87</v>
      </c>
      <c r="F870" s="4" t="s">
        <v>67</v>
      </c>
      <c r="G870" s="4" t="s">
        <v>68</v>
      </c>
      <c r="H870" s="4" t="s">
        <v>18</v>
      </c>
      <c r="I870" s="4" t="s">
        <v>39</v>
      </c>
      <c r="J870" s="3">
        <v>3</v>
      </c>
      <c r="K870" s="6">
        <v>53919</v>
      </c>
      <c r="L870" s="6">
        <f t="shared" si="39"/>
        <v>37743.299999999996</v>
      </c>
      <c r="M870" s="6">
        <v>16175.700000000004</v>
      </c>
      <c r="N870" s="5" t="str">
        <f t="shared" si="40"/>
        <v>Nov</v>
      </c>
      <c r="O870" s="5" t="str">
        <f t="shared" si="41"/>
        <v xml:space="preserve"> 2023</v>
      </c>
    </row>
    <row r="871" spans="1:15" x14ac:dyDescent="0.35">
      <c r="A871" t="s">
        <v>1456</v>
      </c>
      <c r="B871" s="5" t="s">
        <v>21</v>
      </c>
      <c r="C871" s="4" t="s">
        <v>13</v>
      </c>
      <c r="D871" s="4" t="s">
        <v>14</v>
      </c>
      <c r="E871" s="4" t="s">
        <v>15</v>
      </c>
      <c r="F871" s="4" t="s">
        <v>67</v>
      </c>
      <c r="G871" s="4" t="s">
        <v>180</v>
      </c>
      <c r="H871" s="4" t="s">
        <v>27</v>
      </c>
      <c r="I871" s="4" t="s">
        <v>19</v>
      </c>
      <c r="J871" s="3">
        <v>9</v>
      </c>
      <c r="K871" s="6">
        <v>112743</v>
      </c>
      <c r="L871" s="6">
        <f t="shared" si="39"/>
        <v>78920.099999999991</v>
      </c>
      <c r="M871" s="6">
        <v>33822.900000000009</v>
      </c>
      <c r="N871" s="5" t="str">
        <f t="shared" si="40"/>
        <v>Feb</v>
      </c>
      <c r="O871" s="5" t="str">
        <f t="shared" si="41"/>
        <v xml:space="preserve"> 2024</v>
      </c>
    </row>
    <row r="872" spans="1:15" x14ac:dyDescent="0.35">
      <c r="A872" t="s">
        <v>1457</v>
      </c>
      <c r="B872" s="5" t="s">
        <v>165</v>
      </c>
      <c r="C872" s="4" t="s">
        <v>22</v>
      </c>
      <c r="D872" s="4" t="s">
        <v>23</v>
      </c>
      <c r="E872" s="4" t="s">
        <v>24</v>
      </c>
      <c r="F872" s="4" t="s">
        <v>16</v>
      </c>
      <c r="G872" s="4" t="s">
        <v>42</v>
      </c>
      <c r="H872" s="4" t="s">
        <v>18</v>
      </c>
      <c r="I872" s="4" t="s">
        <v>39</v>
      </c>
      <c r="J872" s="3">
        <v>3</v>
      </c>
      <c r="K872" s="6">
        <v>148182</v>
      </c>
      <c r="L872" s="6">
        <f t="shared" si="39"/>
        <v>103727.4</v>
      </c>
      <c r="M872" s="6">
        <v>44454.600000000006</v>
      </c>
      <c r="N872" s="5" t="str">
        <f t="shared" si="40"/>
        <v>Jul</v>
      </c>
      <c r="O872" s="5" t="str">
        <f t="shared" si="41"/>
        <v xml:space="preserve"> 2024</v>
      </c>
    </row>
    <row r="873" spans="1:15" x14ac:dyDescent="0.35">
      <c r="A873" t="s">
        <v>1458</v>
      </c>
      <c r="B873" s="5" t="s">
        <v>1459</v>
      </c>
      <c r="C873" s="4" t="s">
        <v>13</v>
      </c>
      <c r="D873" s="4" t="s">
        <v>162</v>
      </c>
      <c r="E873" s="4" t="s">
        <v>163</v>
      </c>
      <c r="F873" s="4" t="s">
        <v>67</v>
      </c>
      <c r="G873" s="4" t="s">
        <v>180</v>
      </c>
      <c r="H873" s="4" t="s">
        <v>18</v>
      </c>
      <c r="I873" s="4" t="s">
        <v>19</v>
      </c>
      <c r="J873" s="3">
        <v>1</v>
      </c>
      <c r="K873" s="6">
        <v>22072</v>
      </c>
      <c r="L873" s="6">
        <f t="shared" si="39"/>
        <v>15450.4</v>
      </c>
      <c r="M873" s="6">
        <v>6621.6</v>
      </c>
      <c r="N873" s="5" t="str">
        <f t="shared" si="40"/>
        <v>Jul</v>
      </c>
      <c r="O873" s="5" t="str">
        <f t="shared" si="41"/>
        <v xml:space="preserve"> 2023</v>
      </c>
    </row>
    <row r="874" spans="1:15" x14ac:dyDescent="0.35">
      <c r="A874" t="s">
        <v>1460</v>
      </c>
      <c r="B874" s="5" t="s">
        <v>1461</v>
      </c>
      <c r="C874" s="4" t="s">
        <v>55</v>
      </c>
      <c r="D874" s="4" t="s">
        <v>63</v>
      </c>
      <c r="E874" s="4" t="s">
        <v>64</v>
      </c>
      <c r="F874" s="4" t="s">
        <v>16</v>
      </c>
      <c r="G874" s="4" t="s">
        <v>34</v>
      </c>
      <c r="H874" s="4" t="s">
        <v>18</v>
      </c>
      <c r="I874" s="4" t="s">
        <v>47</v>
      </c>
      <c r="J874" s="3">
        <v>2</v>
      </c>
      <c r="K874" s="6">
        <v>96784</v>
      </c>
      <c r="L874" s="6">
        <f t="shared" si="39"/>
        <v>67748.800000000003</v>
      </c>
      <c r="M874" s="6">
        <v>29035.199999999997</v>
      </c>
      <c r="N874" s="5" t="str">
        <f t="shared" si="40"/>
        <v>Sep</v>
      </c>
      <c r="O874" s="5" t="str">
        <f t="shared" si="41"/>
        <v xml:space="preserve"> 2024</v>
      </c>
    </row>
    <row r="875" spans="1:15" x14ac:dyDescent="0.35">
      <c r="A875" t="s">
        <v>1462</v>
      </c>
      <c r="B875" s="5" t="s">
        <v>179</v>
      </c>
      <c r="C875" s="4" t="s">
        <v>55</v>
      </c>
      <c r="D875" s="4" t="s">
        <v>63</v>
      </c>
      <c r="E875" s="4" t="s">
        <v>64</v>
      </c>
      <c r="F875" s="4" t="s">
        <v>25</v>
      </c>
      <c r="G875" s="4" t="s">
        <v>52</v>
      </c>
      <c r="H875" s="4" t="s">
        <v>27</v>
      </c>
      <c r="I875" s="4" t="s">
        <v>28</v>
      </c>
      <c r="J875" s="3">
        <v>2</v>
      </c>
      <c r="K875" s="6">
        <v>11320</v>
      </c>
      <c r="L875" s="6">
        <f t="shared" si="39"/>
        <v>7923.9999999999991</v>
      </c>
      <c r="M875" s="6">
        <v>3396.0000000000009</v>
      </c>
      <c r="N875" s="5" t="str">
        <f t="shared" si="40"/>
        <v>Apr</v>
      </c>
      <c r="O875" s="5" t="str">
        <f t="shared" si="41"/>
        <v xml:space="preserve"> 2024</v>
      </c>
    </row>
    <row r="876" spans="1:15" x14ac:dyDescent="0.35">
      <c r="A876" t="s">
        <v>1463</v>
      </c>
      <c r="B876" s="5" t="s">
        <v>101</v>
      </c>
      <c r="C876" s="4" t="s">
        <v>22</v>
      </c>
      <c r="D876" s="4" t="s">
        <v>90</v>
      </c>
      <c r="E876" s="4" t="s">
        <v>91</v>
      </c>
      <c r="F876" s="4" t="s">
        <v>25</v>
      </c>
      <c r="G876" s="4" t="s">
        <v>26</v>
      </c>
      <c r="H876" s="4" t="s">
        <v>18</v>
      </c>
      <c r="I876" s="4" t="s">
        <v>28</v>
      </c>
      <c r="J876" s="3">
        <v>6</v>
      </c>
      <c r="K876" s="6">
        <v>37452</v>
      </c>
      <c r="L876" s="6">
        <f t="shared" si="39"/>
        <v>26216.399999999998</v>
      </c>
      <c r="M876" s="6">
        <v>11235.600000000002</v>
      </c>
      <c r="N876" s="5" t="str">
        <f t="shared" si="40"/>
        <v>Dec</v>
      </c>
      <c r="O876" s="5" t="str">
        <f t="shared" si="41"/>
        <v xml:space="preserve"> 2023</v>
      </c>
    </row>
    <row r="877" spans="1:15" x14ac:dyDescent="0.35">
      <c r="A877" t="s">
        <v>1464</v>
      </c>
      <c r="B877" s="5" t="s">
        <v>1465</v>
      </c>
      <c r="C877" s="4" t="s">
        <v>13</v>
      </c>
      <c r="D877" s="4" t="s">
        <v>125</v>
      </c>
      <c r="E877" s="4" t="s">
        <v>126</v>
      </c>
      <c r="F877" s="4" t="s">
        <v>37</v>
      </c>
      <c r="G877" s="4" t="s">
        <v>38</v>
      </c>
      <c r="H877" s="4" t="s">
        <v>72</v>
      </c>
      <c r="I877" s="4" t="s">
        <v>47</v>
      </c>
      <c r="J877" s="3">
        <v>3</v>
      </c>
      <c r="K877" s="6">
        <v>17709</v>
      </c>
      <c r="L877" s="6">
        <f t="shared" si="39"/>
        <v>12396.3</v>
      </c>
      <c r="M877" s="6">
        <v>5312.7000000000007</v>
      </c>
      <c r="N877" s="5" t="str">
        <f t="shared" si="40"/>
        <v>Aug</v>
      </c>
      <c r="O877" s="5" t="str">
        <f t="shared" si="41"/>
        <v xml:space="preserve"> 2023</v>
      </c>
    </row>
    <row r="878" spans="1:15" x14ac:dyDescent="0.35">
      <c r="A878" t="s">
        <v>1466</v>
      </c>
      <c r="B878" s="5" t="s">
        <v>1213</v>
      </c>
      <c r="C878" s="4" t="s">
        <v>31</v>
      </c>
      <c r="D878" s="4" t="s">
        <v>50</v>
      </c>
      <c r="E878" s="4" t="s">
        <v>51</v>
      </c>
      <c r="F878" s="4" t="s">
        <v>25</v>
      </c>
      <c r="G878" s="4" t="s">
        <v>71</v>
      </c>
      <c r="H878" s="4" t="s">
        <v>18</v>
      </c>
      <c r="I878" s="4" t="s">
        <v>39</v>
      </c>
      <c r="J878" s="3">
        <v>5</v>
      </c>
      <c r="K878" s="6">
        <v>132830</v>
      </c>
      <c r="L878" s="6">
        <f t="shared" si="39"/>
        <v>92981</v>
      </c>
      <c r="M878" s="6">
        <v>39849</v>
      </c>
      <c r="N878" s="5" t="str">
        <f t="shared" si="40"/>
        <v>Jan</v>
      </c>
      <c r="O878" s="5" t="str">
        <f t="shared" si="41"/>
        <v xml:space="preserve"> 2024</v>
      </c>
    </row>
    <row r="879" spans="1:15" x14ac:dyDescent="0.35">
      <c r="A879" t="s">
        <v>1467</v>
      </c>
      <c r="B879" s="5" t="s">
        <v>1468</v>
      </c>
      <c r="C879" s="4" t="s">
        <v>22</v>
      </c>
      <c r="D879" s="4" t="s">
        <v>86</v>
      </c>
      <c r="E879" s="4" t="s">
        <v>87</v>
      </c>
      <c r="F879" s="4" t="s">
        <v>67</v>
      </c>
      <c r="G879" s="4" t="s">
        <v>134</v>
      </c>
      <c r="H879" s="4" t="s">
        <v>72</v>
      </c>
      <c r="I879" s="4" t="s">
        <v>19</v>
      </c>
      <c r="J879" s="3">
        <v>10</v>
      </c>
      <c r="K879" s="6">
        <v>323070</v>
      </c>
      <c r="L879" s="6">
        <f t="shared" si="39"/>
        <v>226149</v>
      </c>
      <c r="M879" s="6">
        <v>96921</v>
      </c>
      <c r="N879" s="5" t="str">
        <f t="shared" si="40"/>
        <v>Sep</v>
      </c>
      <c r="O879" s="5" t="str">
        <f t="shared" si="41"/>
        <v xml:space="preserve"> 2024</v>
      </c>
    </row>
    <row r="880" spans="1:15" x14ac:dyDescent="0.35">
      <c r="A880" t="s">
        <v>1469</v>
      </c>
      <c r="B880" s="5" t="s">
        <v>1470</v>
      </c>
      <c r="C880" s="4" t="s">
        <v>22</v>
      </c>
      <c r="D880" s="4" t="s">
        <v>86</v>
      </c>
      <c r="E880" s="4" t="s">
        <v>87</v>
      </c>
      <c r="F880" s="4" t="s">
        <v>37</v>
      </c>
      <c r="G880" s="4" t="s">
        <v>38</v>
      </c>
      <c r="H880" s="4" t="s">
        <v>18</v>
      </c>
      <c r="I880" s="4" t="s">
        <v>28</v>
      </c>
      <c r="J880" s="3">
        <v>4</v>
      </c>
      <c r="K880" s="6">
        <v>122548</v>
      </c>
      <c r="L880" s="6">
        <f t="shared" si="39"/>
        <v>85783.599999999991</v>
      </c>
      <c r="M880" s="6">
        <v>36764.400000000009</v>
      </c>
      <c r="N880" s="5" t="str">
        <f t="shared" si="40"/>
        <v>Jul</v>
      </c>
      <c r="O880" s="5" t="str">
        <f t="shared" si="41"/>
        <v xml:space="preserve"> 2024</v>
      </c>
    </row>
    <row r="881" spans="1:15" x14ac:dyDescent="0.35">
      <c r="A881" t="s">
        <v>1471</v>
      </c>
      <c r="B881" s="5" t="s">
        <v>664</v>
      </c>
      <c r="C881" s="4" t="s">
        <v>13</v>
      </c>
      <c r="D881" s="4" t="s">
        <v>162</v>
      </c>
      <c r="E881" s="4" t="s">
        <v>163</v>
      </c>
      <c r="F881" s="4" t="s">
        <v>67</v>
      </c>
      <c r="G881" s="4" t="s">
        <v>180</v>
      </c>
      <c r="H881" s="4" t="s">
        <v>27</v>
      </c>
      <c r="I881" s="4" t="s">
        <v>39</v>
      </c>
      <c r="J881" s="3">
        <v>8</v>
      </c>
      <c r="K881" s="6">
        <v>305536</v>
      </c>
      <c r="L881" s="6">
        <f t="shared" si="39"/>
        <v>213875.19999999998</v>
      </c>
      <c r="M881" s="6">
        <v>91660.800000000017</v>
      </c>
      <c r="N881" s="5" t="str">
        <f t="shared" si="40"/>
        <v>Jan</v>
      </c>
      <c r="O881" s="5" t="str">
        <f t="shared" si="41"/>
        <v xml:space="preserve"> 2024</v>
      </c>
    </row>
    <row r="882" spans="1:15" x14ac:dyDescent="0.35">
      <c r="A882" t="s">
        <v>1472</v>
      </c>
      <c r="B882" s="5" t="s">
        <v>1473</v>
      </c>
      <c r="C882" s="4" t="s">
        <v>31</v>
      </c>
      <c r="D882" s="4" t="s">
        <v>50</v>
      </c>
      <c r="E882" s="4" t="s">
        <v>51</v>
      </c>
      <c r="F882" s="4" t="s">
        <v>67</v>
      </c>
      <c r="G882" s="4" t="s">
        <v>180</v>
      </c>
      <c r="H882" s="4" t="s">
        <v>27</v>
      </c>
      <c r="I882" s="4" t="s">
        <v>28</v>
      </c>
      <c r="J882" s="3">
        <v>10</v>
      </c>
      <c r="K882" s="6">
        <v>238380</v>
      </c>
      <c r="L882" s="6">
        <f t="shared" si="39"/>
        <v>166866</v>
      </c>
      <c r="M882" s="6">
        <v>71514</v>
      </c>
      <c r="N882" s="5" t="str">
        <f t="shared" si="40"/>
        <v>May</v>
      </c>
      <c r="O882" s="5" t="str">
        <f t="shared" si="41"/>
        <v xml:space="preserve"> 2023</v>
      </c>
    </row>
    <row r="883" spans="1:15" x14ac:dyDescent="0.35">
      <c r="A883" t="s">
        <v>1474</v>
      </c>
      <c r="B883" s="5" t="s">
        <v>917</v>
      </c>
      <c r="C883" s="4" t="s">
        <v>55</v>
      </c>
      <c r="D883" s="4" t="s">
        <v>63</v>
      </c>
      <c r="E883" s="4" t="s">
        <v>64</v>
      </c>
      <c r="F883" s="4" t="s">
        <v>16</v>
      </c>
      <c r="G883" s="4" t="s">
        <v>42</v>
      </c>
      <c r="H883" s="4" t="s">
        <v>18</v>
      </c>
      <c r="I883" s="4" t="s">
        <v>39</v>
      </c>
      <c r="J883" s="3">
        <v>4</v>
      </c>
      <c r="K883" s="6">
        <v>113512</v>
      </c>
      <c r="L883" s="6">
        <f t="shared" si="39"/>
        <v>79458.399999999994</v>
      </c>
      <c r="M883" s="6">
        <v>34053.600000000006</v>
      </c>
      <c r="N883" s="5" t="str">
        <f t="shared" si="40"/>
        <v>Jul</v>
      </c>
      <c r="O883" s="5" t="str">
        <f t="shared" si="41"/>
        <v xml:space="preserve"> 2023</v>
      </c>
    </row>
    <row r="884" spans="1:15" x14ac:dyDescent="0.35">
      <c r="A884" t="s">
        <v>1475</v>
      </c>
      <c r="B884" s="5" t="s">
        <v>1187</v>
      </c>
      <c r="C884" s="4" t="s">
        <v>13</v>
      </c>
      <c r="D884" s="4" t="s">
        <v>14</v>
      </c>
      <c r="E884" s="4" t="s">
        <v>15</v>
      </c>
      <c r="F884" s="4" t="s">
        <v>37</v>
      </c>
      <c r="G884" s="4" t="s">
        <v>186</v>
      </c>
      <c r="H884" s="4" t="s">
        <v>18</v>
      </c>
      <c r="I884" s="4" t="s">
        <v>39</v>
      </c>
      <c r="J884" s="3">
        <v>8</v>
      </c>
      <c r="K884" s="6">
        <v>18776</v>
      </c>
      <c r="L884" s="6">
        <f t="shared" si="39"/>
        <v>13143.199999999999</v>
      </c>
      <c r="M884" s="6">
        <v>5632.8000000000011</v>
      </c>
      <c r="N884" s="5" t="str">
        <f t="shared" si="40"/>
        <v>Feb</v>
      </c>
      <c r="O884" s="5" t="str">
        <f t="shared" si="41"/>
        <v xml:space="preserve"> 2023</v>
      </c>
    </row>
    <row r="885" spans="1:15" x14ac:dyDescent="0.35">
      <c r="A885" t="s">
        <v>1476</v>
      </c>
      <c r="B885" s="5" t="s">
        <v>715</v>
      </c>
      <c r="C885" s="4" t="s">
        <v>22</v>
      </c>
      <c r="D885" s="4" t="s">
        <v>23</v>
      </c>
      <c r="E885" s="4" t="s">
        <v>24</v>
      </c>
      <c r="F885" s="4" t="s">
        <v>25</v>
      </c>
      <c r="G885" s="4" t="s">
        <v>71</v>
      </c>
      <c r="H885" s="4" t="s">
        <v>72</v>
      </c>
      <c r="I885" s="4" t="s">
        <v>39</v>
      </c>
      <c r="J885" s="3">
        <v>9</v>
      </c>
      <c r="K885" s="6">
        <v>299439</v>
      </c>
      <c r="L885" s="6">
        <f t="shared" si="39"/>
        <v>209607.3</v>
      </c>
      <c r="M885" s="6">
        <v>89831.700000000012</v>
      </c>
      <c r="N885" s="5" t="str">
        <f t="shared" si="40"/>
        <v>Jul</v>
      </c>
      <c r="O885" s="5" t="str">
        <f t="shared" si="41"/>
        <v xml:space="preserve"> 2024</v>
      </c>
    </row>
    <row r="886" spans="1:15" x14ac:dyDescent="0.35">
      <c r="A886" t="s">
        <v>1477</v>
      </c>
      <c r="B886" s="5" t="s">
        <v>165</v>
      </c>
      <c r="C886" s="4" t="s">
        <v>55</v>
      </c>
      <c r="D886" s="4" t="s">
        <v>82</v>
      </c>
      <c r="E886" s="4" t="s">
        <v>83</v>
      </c>
      <c r="F886" s="4" t="s">
        <v>16</v>
      </c>
      <c r="G886" s="4" t="s">
        <v>42</v>
      </c>
      <c r="H886" s="4" t="s">
        <v>27</v>
      </c>
      <c r="I886" s="4" t="s">
        <v>28</v>
      </c>
      <c r="J886" s="3">
        <v>4</v>
      </c>
      <c r="K886" s="6">
        <v>193484</v>
      </c>
      <c r="L886" s="6">
        <f t="shared" si="39"/>
        <v>135438.79999999999</v>
      </c>
      <c r="M886" s="6">
        <v>58045.200000000012</v>
      </c>
      <c r="N886" s="5" t="str">
        <f t="shared" si="40"/>
        <v>Jul</v>
      </c>
      <c r="O886" s="5" t="str">
        <f t="shared" si="41"/>
        <v xml:space="preserve"> 2024</v>
      </c>
    </row>
    <row r="887" spans="1:15" x14ac:dyDescent="0.35">
      <c r="A887" t="s">
        <v>1478</v>
      </c>
      <c r="B887" s="5" t="s">
        <v>863</v>
      </c>
      <c r="C887" s="4" t="s">
        <v>31</v>
      </c>
      <c r="D887" s="4" t="s">
        <v>45</v>
      </c>
      <c r="E887" s="4" t="s">
        <v>46</v>
      </c>
      <c r="F887" s="4" t="s">
        <v>67</v>
      </c>
      <c r="G887" s="4" t="s">
        <v>68</v>
      </c>
      <c r="H887" s="4" t="s">
        <v>72</v>
      </c>
      <c r="I887" s="4" t="s">
        <v>60</v>
      </c>
      <c r="J887" s="3">
        <v>6</v>
      </c>
      <c r="K887" s="6">
        <v>152838</v>
      </c>
      <c r="L887" s="6">
        <f t="shared" si="39"/>
        <v>106986.59999999999</v>
      </c>
      <c r="M887" s="6">
        <v>45851.400000000009</v>
      </c>
      <c r="N887" s="5" t="str">
        <f t="shared" si="40"/>
        <v>Aug</v>
      </c>
      <c r="O887" s="5" t="str">
        <f t="shared" si="41"/>
        <v xml:space="preserve"> 2023</v>
      </c>
    </row>
    <row r="888" spans="1:15" x14ac:dyDescent="0.35">
      <c r="A888" t="s">
        <v>1479</v>
      </c>
      <c r="B888" s="5" t="s">
        <v>1336</v>
      </c>
      <c r="C888" s="4" t="s">
        <v>55</v>
      </c>
      <c r="D888" s="4" t="s">
        <v>98</v>
      </c>
      <c r="E888" s="4" t="s">
        <v>99</v>
      </c>
      <c r="F888" s="4" t="s">
        <v>16</v>
      </c>
      <c r="G888" s="4" t="s">
        <v>34</v>
      </c>
      <c r="H888" s="4" t="s">
        <v>18</v>
      </c>
      <c r="I888" s="4" t="s">
        <v>19</v>
      </c>
      <c r="J888" s="3">
        <v>9</v>
      </c>
      <c r="K888" s="6">
        <v>358902</v>
      </c>
      <c r="L888" s="6">
        <f t="shared" si="39"/>
        <v>251231.4</v>
      </c>
      <c r="M888" s="6">
        <v>107670.6</v>
      </c>
      <c r="N888" s="5" t="str">
        <f t="shared" si="40"/>
        <v>Apr</v>
      </c>
      <c r="O888" s="5" t="str">
        <f t="shared" si="41"/>
        <v xml:space="preserve"> 2023</v>
      </c>
    </row>
    <row r="889" spans="1:15" x14ac:dyDescent="0.35">
      <c r="A889" t="s">
        <v>1480</v>
      </c>
      <c r="B889" s="5" t="s">
        <v>1041</v>
      </c>
      <c r="C889" s="4" t="s">
        <v>22</v>
      </c>
      <c r="D889" s="4" t="s">
        <v>90</v>
      </c>
      <c r="E889" s="4" t="s">
        <v>91</v>
      </c>
      <c r="F889" s="4" t="s">
        <v>37</v>
      </c>
      <c r="G889" s="4" t="s">
        <v>183</v>
      </c>
      <c r="H889" s="4" t="s">
        <v>18</v>
      </c>
      <c r="I889" s="4" t="s">
        <v>28</v>
      </c>
      <c r="J889" s="3">
        <v>5</v>
      </c>
      <c r="K889" s="6">
        <v>74605</v>
      </c>
      <c r="L889" s="6">
        <f t="shared" si="39"/>
        <v>52223.5</v>
      </c>
      <c r="M889" s="6">
        <v>22381.5</v>
      </c>
      <c r="N889" s="5" t="str">
        <f t="shared" si="40"/>
        <v>Jan</v>
      </c>
      <c r="O889" s="5" t="str">
        <f t="shared" si="41"/>
        <v xml:space="preserve"> 2024</v>
      </c>
    </row>
    <row r="890" spans="1:15" x14ac:dyDescent="0.35">
      <c r="A890" t="s">
        <v>1481</v>
      </c>
      <c r="B890" s="5" t="s">
        <v>36</v>
      </c>
      <c r="C890" s="4" t="s">
        <v>13</v>
      </c>
      <c r="D890" s="4" t="s">
        <v>125</v>
      </c>
      <c r="E890" s="4" t="s">
        <v>126</v>
      </c>
      <c r="F890" s="4" t="s">
        <v>37</v>
      </c>
      <c r="G890" s="4" t="s">
        <v>148</v>
      </c>
      <c r="H890" s="4" t="s">
        <v>18</v>
      </c>
      <c r="I890" s="4" t="s">
        <v>19</v>
      </c>
      <c r="J890" s="3">
        <v>1</v>
      </c>
      <c r="K890" s="6">
        <v>35934</v>
      </c>
      <c r="L890" s="6">
        <f t="shared" si="39"/>
        <v>25153.8</v>
      </c>
      <c r="M890" s="6">
        <v>10780.2</v>
      </c>
      <c r="N890" s="5" t="str">
        <f t="shared" si="40"/>
        <v>Feb</v>
      </c>
      <c r="O890" s="5" t="str">
        <f t="shared" si="41"/>
        <v xml:space="preserve"> 2023</v>
      </c>
    </row>
    <row r="891" spans="1:15" x14ac:dyDescent="0.35">
      <c r="A891" t="s">
        <v>1482</v>
      </c>
      <c r="B891" s="5" t="s">
        <v>388</v>
      </c>
      <c r="C891" s="4" t="s">
        <v>55</v>
      </c>
      <c r="D891" s="4" t="s">
        <v>56</v>
      </c>
      <c r="E891" s="4" t="s">
        <v>57</v>
      </c>
      <c r="F891" s="4" t="s">
        <v>25</v>
      </c>
      <c r="G891" s="4" t="s">
        <v>77</v>
      </c>
      <c r="H891" s="4" t="s">
        <v>27</v>
      </c>
      <c r="I891" s="4" t="s">
        <v>60</v>
      </c>
      <c r="J891" s="3">
        <v>4</v>
      </c>
      <c r="K891" s="6">
        <v>60764</v>
      </c>
      <c r="L891" s="6">
        <f t="shared" si="39"/>
        <v>42534.799999999996</v>
      </c>
      <c r="M891" s="6">
        <v>18229.200000000004</v>
      </c>
      <c r="N891" s="5" t="str">
        <f t="shared" si="40"/>
        <v>Dec</v>
      </c>
      <c r="O891" s="5" t="str">
        <f t="shared" si="41"/>
        <v xml:space="preserve"> 2023</v>
      </c>
    </row>
    <row r="892" spans="1:15" x14ac:dyDescent="0.35">
      <c r="A892" t="s">
        <v>1483</v>
      </c>
      <c r="B892" s="5" t="s">
        <v>367</v>
      </c>
      <c r="C892" s="4" t="s">
        <v>22</v>
      </c>
      <c r="D892" s="4" t="s">
        <v>23</v>
      </c>
      <c r="E892" s="4" t="s">
        <v>24</v>
      </c>
      <c r="F892" s="4" t="s">
        <v>25</v>
      </c>
      <c r="G892" s="4" t="s">
        <v>26</v>
      </c>
      <c r="H892" s="4" t="s">
        <v>72</v>
      </c>
      <c r="I892" s="4" t="s">
        <v>47</v>
      </c>
      <c r="J892" s="3">
        <v>6</v>
      </c>
      <c r="K892" s="6">
        <v>178344</v>
      </c>
      <c r="L892" s="6">
        <f t="shared" si="39"/>
        <v>124840.79999999999</v>
      </c>
      <c r="M892" s="6">
        <v>53503.200000000012</v>
      </c>
      <c r="N892" s="5" t="str">
        <f t="shared" si="40"/>
        <v>Jun</v>
      </c>
      <c r="O892" s="5" t="str">
        <f t="shared" si="41"/>
        <v xml:space="preserve"> 2024</v>
      </c>
    </row>
    <row r="893" spans="1:15" x14ac:dyDescent="0.35">
      <c r="A893" t="s">
        <v>1484</v>
      </c>
      <c r="B893" s="5" t="s">
        <v>1311</v>
      </c>
      <c r="C893" s="4" t="s">
        <v>13</v>
      </c>
      <c r="D893" s="4" t="s">
        <v>118</v>
      </c>
      <c r="E893" s="4" t="s">
        <v>119</v>
      </c>
      <c r="F893" s="4" t="s">
        <v>37</v>
      </c>
      <c r="G893" s="4" t="s">
        <v>148</v>
      </c>
      <c r="H893" s="4" t="s">
        <v>18</v>
      </c>
      <c r="I893" s="4" t="s">
        <v>60</v>
      </c>
      <c r="J893" s="3">
        <v>3</v>
      </c>
      <c r="K893" s="6">
        <v>108285</v>
      </c>
      <c r="L893" s="6">
        <f t="shared" si="39"/>
        <v>75799.5</v>
      </c>
      <c r="M893" s="6">
        <v>32485.5</v>
      </c>
      <c r="N893" s="5" t="str">
        <f t="shared" si="40"/>
        <v>Aug</v>
      </c>
      <c r="O893" s="5" t="str">
        <f t="shared" si="41"/>
        <v xml:space="preserve"> 2024</v>
      </c>
    </row>
    <row r="894" spans="1:15" x14ac:dyDescent="0.35">
      <c r="A894" t="s">
        <v>1485</v>
      </c>
      <c r="B894" s="5" t="s">
        <v>958</v>
      </c>
      <c r="C894" s="4" t="s">
        <v>55</v>
      </c>
      <c r="D894" s="4" t="s">
        <v>63</v>
      </c>
      <c r="E894" s="4" t="s">
        <v>64</v>
      </c>
      <c r="F894" s="4" t="s">
        <v>37</v>
      </c>
      <c r="G894" s="4" t="s">
        <v>148</v>
      </c>
      <c r="H894" s="4" t="s">
        <v>18</v>
      </c>
      <c r="I894" s="4" t="s">
        <v>39</v>
      </c>
      <c r="J894" s="3">
        <v>5</v>
      </c>
      <c r="K894" s="6">
        <v>105825</v>
      </c>
      <c r="L894" s="6">
        <f t="shared" si="39"/>
        <v>74077.5</v>
      </c>
      <c r="M894" s="6">
        <v>31747.5</v>
      </c>
      <c r="N894" s="5" t="str">
        <f t="shared" si="40"/>
        <v>Sep</v>
      </c>
      <c r="O894" s="5" t="str">
        <f t="shared" si="41"/>
        <v xml:space="preserve"> 2023</v>
      </c>
    </row>
    <row r="895" spans="1:15" x14ac:dyDescent="0.35">
      <c r="A895" t="s">
        <v>1486</v>
      </c>
      <c r="B895" s="5" t="s">
        <v>283</v>
      </c>
      <c r="C895" s="4" t="s">
        <v>55</v>
      </c>
      <c r="D895" s="4" t="s">
        <v>56</v>
      </c>
      <c r="E895" s="4" t="s">
        <v>57</v>
      </c>
      <c r="F895" s="4" t="s">
        <v>25</v>
      </c>
      <c r="G895" s="4" t="s">
        <v>52</v>
      </c>
      <c r="H895" s="4" t="s">
        <v>18</v>
      </c>
      <c r="I895" s="4" t="s">
        <v>47</v>
      </c>
      <c r="J895" s="3">
        <v>10</v>
      </c>
      <c r="K895" s="6">
        <v>417730</v>
      </c>
      <c r="L895" s="6">
        <f t="shared" si="39"/>
        <v>292411</v>
      </c>
      <c r="M895" s="6">
        <v>125319</v>
      </c>
      <c r="N895" s="5" t="str">
        <f t="shared" si="40"/>
        <v>Jun</v>
      </c>
      <c r="O895" s="5" t="str">
        <f t="shared" si="41"/>
        <v xml:space="preserve"> 2023</v>
      </c>
    </row>
    <row r="896" spans="1:15" x14ac:dyDescent="0.35">
      <c r="A896" t="s">
        <v>1487</v>
      </c>
      <c r="B896" s="5" t="s">
        <v>785</v>
      </c>
      <c r="C896" s="4" t="s">
        <v>31</v>
      </c>
      <c r="D896" s="4" t="s">
        <v>45</v>
      </c>
      <c r="E896" s="4" t="s">
        <v>46</v>
      </c>
      <c r="F896" s="4" t="s">
        <v>37</v>
      </c>
      <c r="G896" s="4" t="s">
        <v>186</v>
      </c>
      <c r="H896" s="4" t="s">
        <v>27</v>
      </c>
      <c r="I896" s="4" t="s">
        <v>60</v>
      </c>
      <c r="J896" s="3">
        <v>1</v>
      </c>
      <c r="K896" s="6">
        <v>3910</v>
      </c>
      <c r="L896" s="6">
        <f t="shared" si="39"/>
        <v>2737</v>
      </c>
      <c r="M896" s="6">
        <v>1173</v>
      </c>
      <c r="N896" s="5" t="str">
        <f t="shared" si="40"/>
        <v>Jan</v>
      </c>
      <c r="O896" s="5" t="str">
        <f t="shared" si="41"/>
        <v xml:space="preserve"> 2023</v>
      </c>
    </row>
    <row r="897" spans="1:15" x14ac:dyDescent="0.35">
      <c r="A897" t="s">
        <v>1488</v>
      </c>
      <c r="B897" s="5" t="s">
        <v>1489</v>
      </c>
      <c r="C897" s="4" t="s">
        <v>31</v>
      </c>
      <c r="D897" s="4" t="s">
        <v>104</v>
      </c>
      <c r="E897" s="4" t="s">
        <v>105</v>
      </c>
      <c r="F897" s="4" t="s">
        <v>67</v>
      </c>
      <c r="G897" s="4" t="s">
        <v>180</v>
      </c>
      <c r="H897" s="4" t="s">
        <v>18</v>
      </c>
      <c r="I897" s="4" t="s">
        <v>60</v>
      </c>
      <c r="J897" s="3">
        <v>7</v>
      </c>
      <c r="K897" s="6">
        <v>88718</v>
      </c>
      <c r="L897" s="6">
        <f t="shared" si="39"/>
        <v>62102.6</v>
      </c>
      <c r="M897" s="6">
        <v>26615.4</v>
      </c>
      <c r="N897" s="5" t="str">
        <f t="shared" si="40"/>
        <v>Jan</v>
      </c>
      <c r="O897" s="5" t="str">
        <f t="shared" si="41"/>
        <v xml:space="preserve"> 2024</v>
      </c>
    </row>
    <row r="898" spans="1:15" x14ac:dyDescent="0.35">
      <c r="A898" t="s">
        <v>1490</v>
      </c>
      <c r="B898" s="5" t="s">
        <v>1491</v>
      </c>
      <c r="C898" s="4" t="s">
        <v>31</v>
      </c>
      <c r="D898" s="4" t="s">
        <v>45</v>
      </c>
      <c r="E898" s="4" t="s">
        <v>46</v>
      </c>
      <c r="F898" s="4" t="s">
        <v>37</v>
      </c>
      <c r="G898" s="4" t="s">
        <v>148</v>
      </c>
      <c r="H898" s="4" t="s">
        <v>27</v>
      </c>
      <c r="I898" s="4" t="s">
        <v>19</v>
      </c>
      <c r="J898" s="3">
        <v>4</v>
      </c>
      <c r="K898" s="6">
        <v>27044</v>
      </c>
      <c r="L898" s="6">
        <f t="shared" ref="L898:L961" si="42">K898*0.7</f>
        <v>18930.8</v>
      </c>
      <c r="M898" s="6">
        <v>8113.2000000000007</v>
      </c>
      <c r="N898" s="5" t="str">
        <f t="shared" ref="N898:N961" si="43">TEXT(B898,"mmm")</f>
        <v>Aug</v>
      </c>
      <c r="O898" s="5" t="str">
        <f t="shared" ref="O898:O961" si="44">TEXT(B898," yyyy")</f>
        <v xml:space="preserve"> 2024</v>
      </c>
    </row>
    <row r="899" spans="1:15" x14ac:dyDescent="0.35">
      <c r="A899" t="s">
        <v>1492</v>
      </c>
      <c r="B899" s="5" t="s">
        <v>205</v>
      </c>
      <c r="C899" s="4" t="s">
        <v>22</v>
      </c>
      <c r="D899" s="4" t="s">
        <v>90</v>
      </c>
      <c r="E899" s="4" t="s">
        <v>110</v>
      </c>
      <c r="F899" s="4" t="s">
        <v>25</v>
      </c>
      <c r="G899" s="4" t="s">
        <v>77</v>
      </c>
      <c r="H899" s="4" t="s">
        <v>72</v>
      </c>
      <c r="I899" s="4" t="s">
        <v>28</v>
      </c>
      <c r="J899" s="3">
        <v>5</v>
      </c>
      <c r="K899" s="6">
        <v>239115</v>
      </c>
      <c r="L899" s="6">
        <f t="shared" si="42"/>
        <v>167380.5</v>
      </c>
      <c r="M899" s="6">
        <v>71734.5</v>
      </c>
      <c r="N899" s="5" t="str">
        <f t="shared" si="43"/>
        <v>Oct</v>
      </c>
      <c r="O899" s="5" t="str">
        <f t="shared" si="44"/>
        <v xml:space="preserve"> 2024</v>
      </c>
    </row>
    <row r="900" spans="1:15" x14ac:dyDescent="0.35">
      <c r="A900" t="s">
        <v>1493</v>
      </c>
      <c r="B900" s="5" t="s">
        <v>101</v>
      </c>
      <c r="C900" s="4" t="s">
        <v>55</v>
      </c>
      <c r="D900" s="4" t="s">
        <v>82</v>
      </c>
      <c r="E900" s="4" t="s">
        <v>83</v>
      </c>
      <c r="F900" s="4" t="s">
        <v>67</v>
      </c>
      <c r="G900" s="4" t="s">
        <v>68</v>
      </c>
      <c r="H900" s="4" t="s">
        <v>27</v>
      </c>
      <c r="I900" s="4" t="s">
        <v>28</v>
      </c>
      <c r="J900" s="3">
        <v>3</v>
      </c>
      <c r="K900" s="6">
        <v>42699</v>
      </c>
      <c r="L900" s="6">
        <f t="shared" si="42"/>
        <v>29889.3</v>
      </c>
      <c r="M900" s="6">
        <v>12809.7</v>
      </c>
      <c r="N900" s="5" t="str">
        <f t="shared" si="43"/>
        <v>Dec</v>
      </c>
      <c r="O900" s="5" t="str">
        <f t="shared" si="44"/>
        <v xml:space="preserve"> 2023</v>
      </c>
    </row>
    <row r="901" spans="1:15" x14ac:dyDescent="0.35">
      <c r="A901" t="s">
        <v>1494</v>
      </c>
      <c r="B901" s="5" t="s">
        <v>527</v>
      </c>
      <c r="C901" s="4" t="s">
        <v>55</v>
      </c>
      <c r="D901" s="4" t="s">
        <v>63</v>
      </c>
      <c r="E901" s="4" t="s">
        <v>64</v>
      </c>
      <c r="F901" s="4" t="s">
        <v>25</v>
      </c>
      <c r="G901" s="4" t="s">
        <v>52</v>
      </c>
      <c r="H901" s="4" t="s">
        <v>72</v>
      </c>
      <c r="I901" s="4" t="s">
        <v>60</v>
      </c>
      <c r="J901" s="3">
        <v>4</v>
      </c>
      <c r="K901" s="6">
        <v>92012</v>
      </c>
      <c r="L901" s="6">
        <f t="shared" si="42"/>
        <v>64408.399999999994</v>
      </c>
      <c r="M901" s="6">
        <v>27603.600000000006</v>
      </c>
      <c r="N901" s="5" t="str">
        <f t="shared" si="43"/>
        <v>Aug</v>
      </c>
      <c r="O901" s="5" t="str">
        <f t="shared" si="44"/>
        <v xml:space="preserve"> 2023</v>
      </c>
    </row>
    <row r="902" spans="1:15" x14ac:dyDescent="0.35">
      <c r="A902" t="s">
        <v>1495</v>
      </c>
      <c r="B902" s="5" t="s">
        <v>1433</v>
      </c>
      <c r="C902" s="4" t="s">
        <v>22</v>
      </c>
      <c r="D902" s="4" t="s">
        <v>23</v>
      </c>
      <c r="E902" s="4" t="s">
        <v>24</v>
      </c>
      <c r="F902" s="4" t="s">
        <v>16</v>
      </c>
      <c r="G902" s="4" t="s">
        <v>42</v>
      </c>
      <c r="H902" s="4" t="s">
        <v>27</v>
      </c>
      <c r="I902" s="4" t="s">
        <v>60</v>
      </c>
      <c r="J902" s="3">
        <v>10</v>
      </c>
      <c r="K902" s="6">
        <v>206280</v>
      </c>
      <c r="L902" s="6">
        <f t="shared" si="42"/>
        <v>144396</v>
      </c>
      <c r="M902" s="6">
        <v>61884</v>
      </c>
      <c r="N902" s="5" t="str">
        <f t="shared" si="43"/>
        <v>Nov</v>
      </c>
      <c r="O902" s="5" t="str">
        <f t="shared" si="44"/>
        <v xml:space="preserve"> 2024</v>
      </c>
    </row>
    <row r="903" spans="1:15" x14ac:dyDescent="0.35">
      <c r="A903" t="s">
        <v>1496</v>
      </c>
      <c r="B903" s="5" t="s">
        <v>529</v>
      </c>
      <c r="C903" s="4" t="s">
        <v>55</v>
      </c>
      <c r="D903" s="4" t="s">
        <v>63</v>
      </c>
      <c r="E903" s="4" t="s">
        <v>64</v>
      </c>
      <c r="F903" s="4" t="s">
        <v>37</v>
      </c>
      <c r="G903" s="4" t="s">
        <v>38</v>
      </c>
      <c r="H903" s="4" t="s">
        <v>18</v>
      </c>
      <c r="I903" s="4" t="s">
        <v>39</v>
      </c>
      <c r="J903" s="3">
        <v>1</v>
      </c>
      <c r="K903" s="6">
        <v>11201</v>
      </c>
      <c r="L903" s="6">
        <f t="shared" si="42"/>
        <v>7840.7</v>
      </c>
      <c r="M903" s="6">
        <v>3360.3</v>
      </c>
      <c r="N903" s="5" t="str">
        <f t="shared" si="43"/>
        <v>Nov</v>
      </c>
      <c r="O903" s="5" t="str">
        <f t="shared" si="44"/>
        <v xml:space="preserve"> 2023</v>
      </c>
    </row>
    <row r="904" spans="1:15" x14ac:dyDescent="0.35">
      <c r="A904" t="s">
        <v>1497</v>
      </c>
      <c r="B904" s="5" t="s">
        <v>1498</v>
      </c>
      <c r="C904" s="4" t="s">
        <v>22</v>
      </c>
      <c r="D904" s="4" t="s">
        <v>86</v>
      </c>
      <c r="E904" s="4" t="s">
        <v>87</v>
      </c>
      <c r="F904" s="4" t="s">
        <v>37</v>
      </c>
      <c r="G904" s="4" t="s">
        <v>186</v>
      </c>
      <c r="H904" s="4" t="s">
        <v>18</v>
      </c>
      <c r="I904" s="4" t="s">
        <v>60</v>
      </c>
      <c r="J904" s="3">
        <v>5</v>
      </c>
      <c r="K904" s="6">
        <v>66445</v>
      </c>
      <c r="L904" s="6">
        <f t="shared" si="42"/>
        <v>46511.5</v>
      </c>
      <c r="M904" s="6">
        <v>19933.5</v>
      </c>
      <c r="N904" s="5" t="str">
        <f t="shared" si="43"/>
        <v>Jul</v>
      </c>
      <c r="O904" s="5" t="str">
        <f t="shared" si="44"/>
        <v xml:space="preserve"> 2024</v>
      </c>
    </row>
    <row r="905" spans="1:15" x14ac:dyDescent="0.35">
      <c r="A905" t="s">
        <v>1499</v>
      </c>
      <c r="B905" s="5" t="s">
        <v>213</v>
      </c>
      <c r="C905" s="4" t="s">
        <v>31</v>
      </c>
      <c r="D905" s="4" t="s">
        <v>50</v>
      </c>
      <c r="E905" s="4" t="s">
        <v>51</v>
      </c>
      <c r="F905" s="4" t="s">
        <v>37</v>
      </c>
      <c r="G905" s="4" t="s">
        <v>183</v>
      </c>
      <c r="H905" s="4" t="s">
        <v>18</v>
      </c>
      <c r="I905" s="4" t="s">
        <v>47</v>
      </c>
      <c r="J905" s="3">
        <v>8</v>
      </c>
      <c r="K905" s="6">
        <v>177688</v>
      </c>
      <c r="L905" s="6">
        <f t="shared" si="42"/>
        <v>124381.59999999999</v>
      </c>
      <c r="M905" s="6">
        <v>53306.400000000009</v>
      </c>
      <c r="N905" s="5" t="str">
        <f t="shared" si="43"/>
        <v>Jun</v>
      </c>
      <c r="O905" s="5" t="str">
        <f t="shared" si="44"/>
        <v xml:space="preserve"> 2024</v>
      </c>
    </row>
    <row r="906" spans="1:15" x14ac:dyDescent="0.35">
      <c r="A906" t="s">
        <v>1500</v>
      </c>
      <c r="B906" s="5" t="s">
        <v>1101</v>
      </c>
      <c r="C906" s="4" t="s">
        <v>13</v>
      </c>
      <c r="D906" s="4" t="s">
        <v>14</v>
      </c>
      <c r="E906" s="4" t="s">
        <v>15</v>
      </c>
      <c r="F906" s="4" t="s">
        <v>25</v>
      </c>
      <c r="G906" s="4" t="s">
        <v>26</v>
      </c>
      <c r="H906" s="4" t="s">
        <v>18</v>
      </c>
      <c r="I906" s="4" t="s">
        <v>39</v>
      </c>
      <c r="J906" s="3">
        <v>10</v>
      </c>
      <c r="K906" s="6">
        <v>454400</v>
      </c>
      <c r="L906" s="6">
        <f t="shared" si="42"/>
        <v>318080</v>
      </c>
      <c r="M906" s="6">
        <v>136320</v>
      </c>
      <c r="N906" s="5" t="str">
        <f t="shared" si="43"/>
        <v>Nov</v>
      </c>
      <c r="O906" s="5" t="str">
        <f t="shared" si="44"/>
        <v xml:space="preserve"> 2023</v>
      </c>
    </row>
    <row r="907" spans="1:15" x14ac:dyDescent="0.35">
      <c r="A907" t="s">
        <v>1501</v>
      </c>
      <c r="B907" s="5" t="s">
        <v>1206</v>
      </c>
      <c r="C907" s="4" t="s">
        <v>13</v>
      </c>
      <c r="D907" s="4" t="s">
        <v>162</v>
      </c>
      <c r="E907" s="4" t="s">
        <v>163</v>
      </c>
      <c r="F907" s="4" t="s">
        <v>37</v>
      </c>
      <c r="G907" s="4" t="s">
        <v>183</v>
      </c>
      <c r="H907" s="4" t="s">
        <v>27</v>
      </c>
      <c r="I907" s="4" t="s">
        <v>28</v>
      </c>
      <c r="J907" s="3">
        <v>3</v>
      </c>
      <c r="K907" s="6">
        <v>50796</v>
      </c>
      <c r="L907" s="6">
        <f t="shared" si="42"/>
        <v>35557.199999999997</v>
      </c>
      <c r="M907" s="6">
        <v>15238.800000000003</v>
      </c>
      <c r="N907" s="5" t="str">
        <f t="shared" si="43"/>
        <v>Feb</v>
      </c>
      <c r="O907" s="5" t="str">
        <f t="shared" si="44"/>
        <v xml:space="preserve"> 2024</v>
      </c>
    </row>
    <row r="908" spans="1:15" x14ac:dyDescent="0.35">
      <c r="A908" t="s">
        <v>1502</v>
      </c>
      <c r="B908" s="5" t="s">
        <v>721</v>
      </c>
      <c r="C908" s="4" t="s">
        <v>55</v>
      </c>
      <c r="D908" s="4" t="s">
        <v>82</v>
      </c>
      <c r="E908" s="4" t="s">
        <v>83</v>
      </c>
      <c r="F908" s="4" t="s">
        <v>16</v>
      </c>
      <c r="G908" s="4" t="s">
        <v>122</v>
      </c>
      <c r="H908" s="4" t="s">
        <v>27</v>
      </c>
      <c r="I908" s="4" t="s">
        <v>60</v>
      </c>
      <c r="J908" s="3">
        <v>8</v>
      </c>
      <c r="K908" s="6">
        <v>102760</v>
      </c>
      <c r="L908" s="6">
        <f t="shared" si="42"/>
        <v>71932</v>
      </c>
      <c r="M908" s="6">
        <v>30828</v>
      </c>
      <c r="N908" s="5" t="str">
        <f t="shared" si="43"/>
        <v>May</v>
      </c>
      <c r="O908" s="5" t="str">
        <f t="shared" si="44"/>
        <v xml:space="preserve"> 2023</v>
      </c>
    </row>
    <row r="909" spans="1:15" x14ac:dyDescent="0.35">
      <c r="A909" t="s">
        <v>1503</v>
      </c>
      <c r="B909" s="5" t="s">
        <v>1433</v>
      </c>
      <c r="C909" s="4" t="s">
        <v>55</v>
      </c>
      <c r="D909" s="4" t="s">
        <v>63</v>
      </c>
      <c r="E909" s="4" t="s">
        <v>64</v>
      </c>
      <c r="F909" s="4" t="s">
        <v>37</v>
      </c>
      <c r="G909" s="4" t="s">
        <v>38</v>
      </c>
      <c r="H909" s="4" t="s">
        <v>27</v>
      </c>
      <c r="I909" s="4" t="s">
        <v>47</v>
      </c>
      <c r="J909" s="3">
        <v>6</v>
      </c>
      <c r="K909" s="6">
        <v>129216</v>
      </c>
      <c r="L909" s="6">
        <f t="shared" si="42"/>
        <v>90451.199999999997</v>
      </c>
      <c r="M909" s="6">
        <v>38764.800000000003</v>
      </c>
      <c r="N909" s="5" t="str">
        <f t="shared" si="43"/>
        <v>Nov</v>
      </c>
      <c r="O909" s="5" t="str">
        <f t="shared" si="44"/>
        <v xml:space="preserve"> 2024</v>
      </c>
    </row>
    <row r="910" spans="1:15" x14ac:dyDescent="0.35">
      <c r="A910" t="s">
        <v>1504</v>
      </c>
      <c r="B910" s="5" t="s">
        <v>1505</v>
      </c>
      <c r="C910" s="4" t="s">
        <v>31</v>
      </c>
      <c r="D910" s="4" t="s">
        <v>32</v>
      </c>
      <c r="E910" s="4" t="s">
        <v>33</v>
      </c>
      <c r="F910" s="4" t="s">
        <v>25</v>
      </c>
      <c r="G910" s="4" t="s">
        <v>52</v>
      </c>
      <c r="H910" s="4" t="s">
        <v>27</v>
      </c>
      <c r="I910" s="4" t="s">
        <v>39</v>
      </c>
      <c r="J910" s="3">
        <v>3</v>
      </c>
      <c r="K910" s="6">
        <v>75204</v>
      </c>
      <c r="L910" s="6">
        <f t="shared" si="42"/>
        <v>52642.799999999996</v>
      </c>
      <c r="M910" s="6">
        <v>22561.200000000004</v>
      </c>
      <c r="N910" s="5" t="str">
        <f t="shared" si="43"/>
        <v>Feb</v>
      </c>
      <c r="O910" s="5" t="str">
        <f t="shared" si="44"/>
        <v xml:space="preserve"> 2024</v>
      </c>
    </row>
    <row r="911" spans="1:15" x14ac:dyDescent="0.35">
      <c r="A911" t="s">
        <v>1506</v>
      </c>
      <c r="B911" s="5" t="s">
        <v>1507</v>
      </c>
      <c r="C911" s="4" t="s">
        <v>13</v>
      </c>
      <c r="D911" s="4" t="s">
        <v>162</v>
      </c>
      <c r="E911" s="4" t="s">
        <v>163</v>
      </c>
      <c r="F911" s="4" t="s">
        <v>25</v>
      </c>
      <c r="G911" s="4" t="s">
        <v>71</v>
      </c>
      <c r="H911" s="4" t="s">
        <v>27</v>
      </c>
      <c r="I911" s="4" t="s">
        <v>47</v>
      </c>
      <c r="J911" s="3">
        <v>5</v>
      </c>
      <c r="K911" s="6">
        <v>62770</v>
      </c>
      <c r="L911" s="6">
        <f t="shared" si="42"/>
        <v>43939</v>
      </c>
      <c r="M911" s="6">
        <v>18831</v>
      </c>
      <c r="N911" s="5" t="str">
        <f t="shared" si="43"/>
        <v>Oct</v>
      </c>
      <c r="O911" s="5" t="str">
        <f t="shared" si="44"/>
        <v xml:space="preserve"> 2023</v>
      </c>
    </row>
    <row r="912" spans="1:15" x14ac:dyDescent="0.35">
      <c r="A912" t="s">
        <v>1508</v>
      </c>
      <c r="B912" s="5" t="s">
        <v>977</v>
      </c>
      <c r="C912" s="4" t="s">
        <v>22</v>
      </c>
      <c r="D912" s="4" t="s">
        <v>86</v>
      </c>
      <c r="E912" s="4" t="s">
        <v>87</v>
      </c>
      <c r="F912" s="4" t="s">
        <v>37</v>
      </c>
      <c r="G912" s="4" t="s">
        <v>38</v>
      </c>
      <c r="H912" s="4" t="s">
        <v>18</v>
      </c>
      <c r="I912" s="4" t="s">
        <v>47</v>
      </c>
      <c r="J912" s="3">
        <v>3</v>
      </c>
      <c r="K912" s="6">
        <v>145902</v>
      </c>
      <c r="L912" s="6">
        <f t="shared" si="42"/>
        <v>102131.4</v>
      </c>
      <c r="M912" s="6">
        <v>43770.600000000006</v>
      </c>
      <c r="N912" s="5" t="str">
        <f t="shared" si="43"/>
        <v>Aug</v>
      </c>
      <c r="O912" s="5" t="str">
        <f t="shared" si="44"/>
        <v xml:space="preserve"> 2023</v>
      </c>
    </row>
    <row r="913" spans="1:15" x14ac:dyDescent="0.35">
      <c r="A913" t="s">
        <v>1509</v>
      </c>
      <c r="B913" s="5" t="s">
        <v>223</v>
      </c>
      <c r="C913" s="4" t="s">
        <v>22</v>
      </c>
      <c r="D913" s="4" t="s">
        <v>86</v>
      </c>
      <c r="E913" s="4" t="s">
        <v>87</v>
      </c>
      <c r="F913" s="4" t="s">
        <v>67</v>
      </c>
      <c r="G913" s="4" t="s">
        <v>134</v>
      </c>
      <c r="H913" s="4" t="s">
        <v>27</v>
      </c>
      <c r="I913" s="4" t="s">
        <v>28</v>
      </c>
      <c r="J913" s="3">
        <v>9</v>
      </c>
      <c r="K913" s="6">
        <v>267597</v>
      </c>
      <c r="L913" s="6">
        <f t="shared" si="42"/>
        <v>187317.9</v>
      </c>
      <c r="M913" s="6">
        <v>80279.100000000006</v>
      </c>
      <c r="N913" s="5" t="str">
        <f t="shared" si="43"/>
        <v>Nov</v>
      </c>
      <c r="O913" s="5" t="str">
        <f t="shared" si="44"/>
        <v xml:space="preserve"> 2024</v>
      </c>
    </row>
    <row r="914" spans="1:15" x14ac:dyDescent="0.35">
      <c r="A914" t="s">
        <v>1510</v>
      </c>
      <c r="B914" s="5" t="s">
        <v>448</v>
      </c>
      <c r="C914" s="4" t="s">
        <v>55</v>
      </c>
      <c r="D914" s="4" t="s">
        <v>63</v>
      </c>
      <c r="E914" s="4" t="s">
        <v>64</v>
      </c>
      <c r="F914" s="4" t="s">
        <v>25</v>
      </c>
      <c r="G914" s="4" t="s">
        <v>71</v>
      </c>
      <c r="H914" s="4" t="s">
        <v>18</v>
      </c>
      <c r="I914" s="4" t="s">
        <v>39</v>
      </c>
      <c r="J914" s="3">
        <v>10</v>
      </c>
      <c r="K914" s="6">
        <v>309780</v>
      </c>
      <c r="L914" s="6">
        <f t="shared" si="42"/>
        <v>216846</v>
      </c>
      <c r="M914" s="6">
        <v>92934</v>
      </c>
      <c r="N914" s="5" t="str">
        <f t="shared" si="43"/>
        <v>Jul</v>
      </c>
      <c r="O914" s="5" t="str">
        <f t="shared" si="44"/>
        <v xml:space="preserve"> 2023</v>
      </c>
    </row>
    <row r="915" spans="1:15" x14ac:dyDescent="0.35">
      <c r="A915" t="s">
        <v>1511</v>
      </c>
      <c r="B915" s="5" t="s">
        <v>500</v>
      </c>
      <c r="C915" s="4" t="s">
        <v>22</v>
      </c>
      <c r="D915" s="4" t="s">
        <v>23</v>
      </c>
      <c r="E915" s="4" t="s">
        <v>24</v>
      </c>
      <c r="F915" s="4" t="s">
        <v>16</v>
      </c>
      <c r="G915" s="4" t="s">
        <v>17</v>
      </c>
      <c r="H915" s="4" t="s">
        <v>27</v>
      </c>
      <c r="I915" s="4" t="s">
        <v>28</v>
      </c>
      <c r="J915" s="3">
        <v>10</v>
      </c>
      <c r="K915" s="6">
        <v>367840</v>
      </c>
      <c r="L915" s="6">
        <f t="shared" si="42"/>
        <v>257487.99999999997</v>
      </c>
      <c r="M915" s="6">
        <v>110352.00000000003</v>
      </c>
      <c r="N915" s="5" t="str">
        <f t="shared" si="43"/>
        <v>Apr</v>
      </c>
      <c r="O915" s="5" t="str">
        <f t="shared" si="44"/>
        <v xml:space="preserve"> 2023</v>
      </c>
    </row>
    <row r="916" spans="1:15" x14ac:dyDescent="0.35">
      <c r="A916" t="s">
        <v>1512</v>
      </c>
      <c r="B916" s="5" t="s">
        <v>1234</v>
      </c>
      <c r="C916" s="4" t="s">
        <v>13</v>
      </c>
      <c r="D916" s="4" t="s">
        <v>118</v>
      </c>
      <c r="E916" s="4" t="s">
        <v>119</v>
      </c>
      <c r="F916" s="4" t="s">
        <v>16</v>
      </c>
      <c r="G916" s="4" t="s">
        <v>34</v>
      </c>
      <c r="H916" s="4" t="s">
        <v>27</v>
      </c>
      <c r="I916" s="4" t="s">
        <v>19</v>
      </c>
      <c r="J916" s="3">
        <v>2</v>
      </c>
      <c r="K916" s="6">
        <v>40672</v>
      </c>
      <c r="L916" s="6">
        <f t="shared" si="42"/>
        <v>28470.399999999998</v>
      </c>
      <c r="M916" s="6">
        <v>12201.600000000002</v>
      </c>
      <c r="N916" s="5" t="str">
        <f t="shared" si="43"/>
        <v>Oct</v>
      </c>
      <c r="O916" s="5" t="str">
        <f t="shared" si="44"/>
        <v xml:space="preserve"> 2024</v>
      </c>
    </row>
    <row r="917" spans="1:15" x14ac:dyDescent="0.35">
      <c r="A917" t="s">
        <v>1513</v>
      </c>
      <c r="B917" s="5" t="s">
        <v>1514</v>
      </c>
      <c r="C917" s="4" t="s">
        <v>22</v>
      </c>
      <c r="D917" s="4" t="s">
        <v>23</v>
      </c>
      <c r="E917" s="4" t="s">
        <v>24</v>
      </c>
      <c r="F917" s="4" t="s">
        <v>25</v>
      </c>
      <c r="G917" s="4" t="s">
        <v>26</v>
      </c>
      <c r="H917" s="4" t="s">
        <v>18</v>
      </c>
      <c r="I917" s="4" t="s">
        <v>19</v>
      </c>
      <c r="J917" s="3">
        <v>7</v>
      </c>
      <c r="K917" s="6">
        <v>33110</v>
      </c>
      <c r="L917" s="6">
        <f t="shared" si="42"/>
        <v>23177</v>
      </c>
      <c r="M917" s="6">
        <v>9933</v>
      </c>
      <c r="N917" s="5" t="str">
        <f t="shared" si="43"/>
        <v>Jul</v>
      </c>
      <c r="O917" s="5" t="str">
        <f t="shared" si="44"/>
        <v xml:space="preserve"> 2023</v>
      </c>
    </row>
    <row r="918" spans="1:15" x14ac:dyDescent="0.35">
      <c r="A918" t="s">
        <v>1515</v>
      </c>
      <c r="B918" s="5" t="s">
        <v>307</v>
      </c>
      <c r="C918" s="4" t="s">
        <v>22</v>
      </c>
      <c r="D918" s="4" t="s">
        <v>90</v>
      </c>
      <c r="E918" s="4" t="s">
        <v>110</v>
      </c>
      <c r="F918" s="4" t="s">
        <v>67</v>
      </c>
      <c r="G918" s="4" t="s">
        <v>180</v>
      </c>
      <c r="H918" s="4" t="s">
        <v>72</v>
      </c>
      <c r="I918" s="4" t="s">
        <v>47</v>
      </c>
      <c r="J918" s="3">
        <v>3</v>
      </c>
      <c r="K918" s="6">
        <v>30510</v>
      </c>
      <c r="L918" s="6">
        <f t="shared" si="42"/>
        <v>21357</v>
      </c>
      <c r="M918" s="6">
        <v>9153</v>
      </c>
      <c r="N918" s="5" t="str">
        <f t="shared" si="43"/>
        <v>Oct</v>
      </c>
      <c r="O918" s="5" t="str">
        <f t="shared" si="44"/>
        <v xml:space="preserve"> 2023</v>
      </c>
    </row>
    <row r="919" spans="1:15" x14ac:dyDescent="0.35">
      <c r="A919" t="s">
        <v>1516</v>
      </c>
      <c r="B919" s="5" t="s">
        <v>269</v>
      </c>
      <c r="C919" s="4" t="s">
        <v>55</v>
      </c>
      <c r="D919" s="4" t="s">
        <v>82</v>
      </c>
      <c r="E919" s="4" t="s">
        <v>83</v>
      </c>
      <c r="F919" s="4" t="s">
        <v>67</v>
      </c>
      <c r="G919" s="4" t="s">
        <v>134</v>
      </c>
      <c r="H919" s="4" t="s">
        <v>72</v>
      </c>
      <c r="I919" s="4" t="s">
        <v>47</v>
      </c>
      <c r="J919" s="3">
        <v>4</v>
      </c>
      <c r="K919" s="6">
        <v>194240</v>
      </c>
      <c r="L919" s="6">
        <f t="shared" si="42"/>
        <v>135968</v>
      </c>
      <c r="M919" s="6">
        <v>58272</v>
      </c>
      <c r="N919" s="5" t="str">
        <f t="shared" si="43"/>
        <v>Apr</v>
      </c>
      <c r="O919" s="5" t="str">
        <f t="shared" si="44"/>
        <v xml:space="preserve"> 2023</v>
      </c>
    </row>
    <row r="920" spans="1:15" x14ac:dyDescent="0.35">
      <c r="A920" t="s">
        <v>1517</v>
      </c>
      <c r="B920" s="5" t="s">
        <v>1518</v>
      </c>
      <c r="C920" s="4" t="s">
        <v>13</v>
      </c>
      <c r="D920" s="4" t="s">
        <v>118</v>
      </c>
      <c r="E920" s="4" t="s">
        <v>119</v>
      </c>
      <c r="F920" s="4" t="s">
        <v>25</v>
      </c>
      <c r="G920" s="4" t="s">
        <v>71</v>
      </c>
      <c r="H920" s="4" t="s">
        <v>18</v>
      </c>
      <c r="I920" s="4" t="s">
        <v>47</v>
      </c>
      <c r="J920" s="3">
        <v>2</v>
      </c>
      <c r="K920" s="6">
        <v>2242</v>
      </c>
      <c r="L920" s="6">
        <f t="shared" si="42"/>
        <v>1569.3999999999999</v>
      </c>
      <c r="M920" s="6">
        <v>672.60000000000014</v>
      </c>
      <c r="N920" s="5" t="str">
        <f t="shared" si="43"/>
        <v>Sep</v>
      </c>
      <c r="O920" s="5" t="str">
        <f t="shared" si="44"/>
        <v xml:space="preserve"> 2024</v>
      </c>
    </row>
    <row r="921" spans="1:15" x14ac:dyDescent="0.35">
      <c r="A921" t="s">
        <v>1519</v>
      </c>
      <c r="B921" s="5" t="s">
        <v>1419</v>
      </c>
      <c r="C921" s="4" t="s">
        <v>22</v>
      </c>
      <c r="D921" s="4" t="s">
        <v>86</v>
      </c>
      <c r="E921" s="4" t="s">
        <v>87</v>
      </c>
      <c r="F921" s="4" t="s">
        <v>16</v>
      </c>
      <c r="G921" s="4" t="s">
        <v>122</v>
      </c>
      <c r="H921" s="4" t="s">
        <v>27</v>
      </c>
      <c r="I921" s="4" t="s">
        <v>47</v>
      </c>
      <c r="J921" s="3">
        <v>8</v>
      </c>
      <c r="K921" s="6">
        <v>355112</v>
      </c>
      <c r="L921" s="6">
        <f t="shared" si="42"/>
        <v>248578.4</v>
      </c>
      <c r="M921" s="6">
        <v>106533.6</v>
      </c>
      <c r="N921" s="5" t="str">
        <f t="shared" si="43"/>
        <v>Dec</v>
      </c>
      <c r="O921" s="5" t="str">
        <f t="shared" si="44"/>
        <v xml:space="preserve"> 2023</v>
      </c>
    </row>
    <row r="922" spans="1:15" x14ac:dyDescent="0.35">
      <c r="A922" t="s">
        <v>1520</v>
      </c>
      <c r="B922" s="5" t="s">
        <v>1437</v>
      </c>
      <c r="C922" s="4" t="s">
        <v>22</v>
      </c>
      <c r="D922" s="4" t="s">
        <v>23</v>
      </c>
      <c r="E922" s="4" t="s">
        <v>24</v>
      </c>
      <c r="F922" s="4" t="s">
        <v>37</v>
      </c>
      <c r="G922" s="4" t="s">
        <v>38</v>
      </c>
      <c r="H922" s="4" t="s">
        <v>27</v>
      </c>
      <c r="I922" s="4" t="s">
        <v>28</v>
      </c>
      <c r="J922" s="3">
        <v>8</v>
      </c>
      <c r="K922" s="6">
        <v>191224</v>
      </c>
      <c r="L922" s="6">
        <f t="shared" si="42"/>
        <v>133856.79999999999</v>
      </c>
      <c r="M922" s="6">
        <v>57367.200000000012</v>
      </c>
      <c r="N922" s="5" t="str">
        <f t="shared" si="43"/>
        <v>Mar</v>
      </c>
      <c r="O922" s="5" t="str">
        <f t="shared" si="44"/>
        <v xml:space="preserve"> 2023</v>
      </c>
    </row>
    <row r="923" spans="1:15" x14ac:dyDescent="0.35">
      <c r="A923" t="s">
        <v>1521</v>
      </c>
      <c r="B923" s="5" t="s">
        <v>345</v>
      </c>
      <c r="C923" s="4" t="s">
        <v>55</v>
      </c>
      <c r="D923" s="4" t="s">
        <v>56</v>
      </c>
      <c r="E923" s="4" t="s">
        <v>57</v>
      </c>
      <c r="F923" s="4" t="s">
        <v>67</v>
      </c>
      <c r="G923" s="4" t="s">
        <v>113</v>
      </c>
      <c r="H923" s="4" t="s">
        <v>18</v>
      </c>
      <c r="I923" s="4" t="s">
        <v>28</v>
      </c>
      <c r="J923" s="3">
        <v>10</v>
      </c>
      <c r="K923" s="6">
        <v>466250</v>
      </c>
      <c r="L923" s="6">
        <f t="shared" si="42"/>
        <v>326375</v>
      </c>
      <c r="M923" s="6">
        <v>139875</v>
      </c>
      <c r="N923" s="5" t="str">
        <f t="shared" si="43"/>
        <v>Dec</v>
      </c>
      <c r="O923" s="5" t="str">
        <f t="shared" si="44"/>
        <v xml:space="preserve"> 2023</v>
      </c>
    </row>
    <row r="924" spans="1:15" x14ac:dyDescent="0.35">
      <c r="A924" t="s">
        <v>1522</v>
      </c>
      <c r="B924" s="5" t="s">
        <v>748</v>
      </c>
      <c r="C924" s="4" t="s">
        <v>31</v>
      </c>
      <c r="D924" s="4" t="s">
        <v>45</v>
      </c>
      <c r="E924" s="4" t="s">
        <v>46</v>
      </c>
      <c r="F924" s="4" t="s">
        <v>16</v>
      </c>
      <c r="G924" s="4" t="s">
        <v>122</v>
      </c>
      <c r="H924" s="4" t="s">
        <v>18</v>
      </c>
      <c r="I924" s="4" t="s">
        <v>39</v>
      </c>
      <c r="J924" s="3">
        <v>5</v>
      </c>
      <c r="K924" s="6">
        <v>142325</v>
      </c>
      <c r="L924" s="6">
        <f t="shared" si="42"/>
        <v>99627.5</v>
      </c>
      <c r="M924" s="6">
        <v>42697.5</v>
      </c>
      <c r="N924" s="5" t="str">
        <f t="shared" si="43"/>
        <v>Jun</v>
      </c>
      <c r="O924" s="5" t="str">
        <f t="shared" si="44"/>
        <v xml:space="preserve"> 2023</v>
      </c>
    </row>
    <row r="925" spans="1:15" x14ac:dyDescent="0.35">
      <c r="A925" t="s">
        <v>1523</v>
      </c>
      <c r="B925" s="5" t="s">
        <v>1440</v>
      </c>
      <c r="C925" s="4" t="s">
        <v>31</v>
      </c>
      <c r="D925" s="4" t="s">
        <v>32</v>
      </c>
      <c r="E925" s="4" t="s">
        <v>33</v>
      </c>
      <c r="F925" s="4" t="s">
        <v>67</v>
      </c>
      <c r="G925" s="4" t="s">
        <v>113</v>
      </c>
      <c r="H925" s="4" t="s">
        <v>27</v>
      </c>
      <c r="I925" s="4" t="s">
        <v>28</v>
      </c>
      <c r="J925" s="3">
        <v>5</v>
      </c>
      <c r="K925" s="6">
        <v>37080</v>
      </c>
      <c r="L925" s="6">
        <f t="shared" si="42"/>
        <v>25956</v>
      </c>
      <c r="M925" s="6">
        <v>11124</v>
      </c>
      <c r="N925" s="5" t="str">
        <f t="shared" si="43"/>
        <v>May</v>
      </c>
      <c r="O925" s="5" t="str">
        <f t="shared" si="44"/>
        <v xml:space="preserve"> 2023</v>
      </c>
    </row>
    <row r="926" spans="1:15" x14ac:dyDescent="0.35">
      <c r="A926" t="s">
        <v>1524</v>
      </c>
      <c r="B926" s="5" t="s">
        <v>979</v>
      </c>
      <c r="C926" s="4" t="s">
        <v>13</v>
      </c>
      <c r="D926" s="4" t="s">
        <v>162</v>
      </c>
      <c r="E926" s="4" t="s">
        <v>163</v>
      </c>
      <c r="F926" s="4" t="s">
        <v>16</v>
      </c>
      <c r="G926" s="4" t="s">
        <v>122</v>
      </c>
      <c r="H926" s="4" t="s">
        <v>18</v>
      </c>
      <c r="I926" s="4" t="s">
        <v>47</v>
      </c>
      <c r="J926" s="3">
        <v>8</v>
      </c>
      <c r="K926" s="6">
        <v>276144</v>
      </c>
      <c r="L926" s="6">
        <f t="shared" si="42"/>
        <v>193300.8</v>
      </c>
      <c r="M926" s="6">
        <v>82843.200000000012</v>
      </c>
      <c r="N926" s="5" t="str">
        <f t="shared" si="43"/>
        <v>Jan</v>
      </c>
      <c r="O926" s="5" t="str">
        <f t="shared" si="44"/>
        <v xml:space="preserve"> 2024</v>
      </c>
    </row>
    <row r="927" spans="1:15" x14ac:dyDescent="0.35">
      <c r="A927" t="s">
        <v>1525</v>
      </c>
      <c r="B927" s="5" t="s">
        <v>1143</v>
      </c>
      <c r="C927" s="4" t="s">
        <v>22</v>
      </c>
      <c r="D927" s="4" t="s">
        <v>23</v>
      </c>
      <c r="E927" s="4" t="s">
        <v>24</v>
      </c>
      <c r="F927" s="4" t="s">
        <v>37</v>
      </c>
      <c r="G927" s="4" t="s">
        <v>148</v>
      </c>
      <c r="H927" s="4" t="s">
        <v>27</v>
      </c>
      <c r="I927" s="4" t="s">
        <v>19</v>
      </c>
      <c r="J927" s="3">
        <v>4</v>
      </c>
      <c r="K927" s="6">
        <v>150576</v>
      </c>
      <c r="L927" s="6">
        <f t="shared" si="42"/>
        <v>105403.2</v>
      </c>
      <c r="M927" s="6">
        <v>45172.800000000003</v>
      </c>
      <c r="N927" s="5" t="str">
        <f t="shared" si="43"/>
        <v>Aug</v>
      </c>
      <c r="O927" s="5" t="str">
        <f t="shared" si="44"/>
        <v xml:space="preserve"> 2024</v>
      </c>
    </row>
    <row r="928" spans="1:15" x14ac:dyDescent="0.35">
      <c r="A928" t="s">
        <v>1526</v>
      </c>
      <c r="B928" s="5" t="s">
        <v>1010</v>
      </c>
      <c r="C928" s="4" t="s">
        <v>13</v>
      </c>
      <c r="D928" s="4" t="s">
        <v>125</v>
      </c>
      <c r="E928" s="4" t="s">
        <v>126</v>
      </c>
      <c r="F928" s="4" t="s">
        <v>37</v>
      </c>
      <c r="G928" s="4" t="s">
        <v>38</v>
      </c>
      <c r="H928" s="4" t="s">
        <v>18</v>
      </c>
      <c r="I928" s="4" t="s">
        <v>47</v>
      </c>
      <c r="J928" s="3">
        <v>2</v>
      </c>
      <c r="K928" s="6">
        <v>78360</v>
      </c>
      <c r="L928" s="6">
        <f t="shared" si="42"/>
        <v>54852</v>
      </c>
      <c r="M928" s="6">
        <v>23508</v>
      </c>
      <c r="N928" s="5" t="str">
        <f t="shared" si="43"/>
        <v>Apr</v>
      </c>
      <c r="O928" s="5" t="str">
        <f t="shared" si="44"/>
        <v xml:space="preserve"> 2024</v>
      </c>
    </row>
    <row r="929" spans="1:15" x14ac:dyDescent="0.35">
      <c r="A929" t="s">
        <v>1527</v>
      </c>
      <c r="B929" s="5" t="s">
        <v>1060</v>
      </c>
      <c r="C929" s="4" t="s">
        <v>55</v>
      </c>
      <c r="D929" s="4" t="s">
        <v>56</v>
      </c>
      <c r="E929" s="4" t="s">
        <v>57</v>
      </c>
      <c r="F929" s="4" t="s">
        <v>25</v>
      </c>
      <c r="G929" s="4" t="s">
        <v>52</v>
      </c>
      <c r="H929" s="4" t="s">
        <v>18</v>
      </c>
      <c r="I929" s="4" t="s">
        <v>47</v>
      </c>
      <c r="J929" s="3">
        <v>7</v>
      </c>
      <c r="K929" s="6">
        <v>265804</v>
      </c>
      <c r="L929" s="6">
        <f t="shared" si="42"/>
        <v>186062.8</v>
      </c>
      <c r="M929" s="6">
        <v>79741.200000000012</v>
      </c>
      <c r="N929" s="5" t="str">
        <f t="shared" si="43"/>
        <v>May</v>
      </c>
      <c r="O929" s="5" t="str">
        <f t="shared" si="44"/>
        <v xml:space="preserve"> 2024</v>
      </c>
    </row>
    <row r="930" spans="1:15" x14ac:dyDescent="0.35">
      <c r="A930" t="s">
        <v>1528</v>
      </c>
      <c r="B930" s="5" t="s">
        <v>313</v>
      </c>
      <c r="C930" s="4" t="s">
        <v>31</v>
      </c>
      <c r="D930" s="4" t="s">
        <v>32</v>
      </c>
      <c r="E930" s="4" t="s">
        <v>33</v>
      </c>
      <c r="F930" s="4" t="s">
        <v>37</v>
      </c>
      <c r="G930" s="4" t="s">
        <v>183</v>
      </c>
      <c r="H930" s="4" t="s">
        <v>72</v>
      </c>
      <c r="I930" s="4" t="s">
        <v>28</v>
      </c>
      <c r="J930" s="3">
        <v>1</v>
      </c>
      <c r="K930" s="6">
        <v>32924</v>
      </c>
      <c r="L930" s="6">
        <f t="shared" si="42"/>
        <v>23046.799999999999</v>
      </c>
      <c r="M930" s="6">
        <v>9877.2000000000007</v>
      </c>
      <c r="N930" s="5" t="str">
        <f t="shared" si="43"/>
        <v>Dec</v>
      </c>
      <c r="O930" s="5" t="str">
        <f t="shared" si="44"/>
        <v xml:space="preserve"> 2023</v>
      </c>
    </row>
    <row r="931" spans="1:15" x14ac:dyDescent="0.35">
      <c r="A931" t="s">
        <v>1529</v>
      </c>
      <c r="B931" s="5" t="s">
        <v>746</v>
      </c>
      <c r="C931" s="4" t="s">
        <v>31</v>
      </c>
      <c r="D931" s="4" t="s">
        <v>45</v>
      </c>
      <c r="E931" s="4" t="s">
        <v>46</v>
      </c>
      <c r="F931" s="4" t="s">
        <v>25</v>
      </c>
      <c r="G931" s="4" t="s">
        <v>77</v>
      </c>
      <c r="H931" s="4" t="s">
        <v>18</v>
      </c>
      <c r="I931" s="4" t="s">
        <v>39</v>
      </c>
      <c r="J931" s="3">
        <v>7</v>
      </c>
      <c r="K931" s="6">
        <v>241318</v>
      </c>
      <c r="L931" s="6">
        <f t="shared" si="42"/>
        <v>168922.59999999998</v>
      </c>
      <c r="M931" s="6">
        <v>72395.400000000023</v>
      </c>
      <c r="N931" s="5" t="str">
        <f t="shared" si="43"/>
        <v>May</v>
      </c>
      <c r="O931" s="5" t="str">
        <f t="shared" si="44"/>
        <v xml:space="preserve"> 2024</v>
      </c>
    </row>
    <row r="932" spans="1:15" x14ac:dyDescent="0.35">
      <c r="A932" t="s">
        <v>1530</v>
      </c>
      <c r="B932" s="5" t="s">
        <v>816</v>
      </c>
      <c r="C932" s="4" t="s">
        <v>13</v>
      </c>
      <c r="D932" s="4" t="s">
        <v>162</v>
      </c>
      <c r="E932" s="4" t="s">
        <v>163</v>
      </c>
      <c r="F932" s="4" t="s">
        <v>16</v>
      </c>
      <c r="G932" s="4" t="s">
        <v>34</v>
      </c>
      <c r="H932" s="4" t="s">
        <v>72</v>
      </c>
      <c r="I932" s="4" t="s">
        <v>28</v>
      </c>
      <c r="J932" s="3">
        <v>9</v>
      </c>
      <c r="K932" s="6">
        <v>198099</v>
      </c>
      <c r="L932" s="6">
        <f t="shared" si="42"/>
        <v>138669.29999999999</v>
      </c>
      <c r="M932" s="6">
        <v>59429.700000000012</v>
      </c>
      <c r="N932" s="5" t="str">
        <f t="shared" si="43"/>
        <v>Jun</v>
      </c>
      <c r="O932" s="5" t="str">
        <f t="shared" si="44"/>
        <v xml:space="preserve"> 2023</v>
      </c>
    </row>
    <row r="933" spans="1:15" x14ac:dyDescent="0.35">
      <c r="A933" t="s">
        <v>1531</v>
      </c>
      <c r="B933" s="5" t="s">
        <v>548</v>
      </c>
      <c r="C933" s="4" t="s">
        <v>31</v>
      </c>
      <c r="D933" s="4" t="s">
        <v>104</v>
      </c>
      <c r="E933" s="4" t="s">
        <v>105</v>
      </c>
      <c r="F933" s="4" t="s">
        <v>25</v>
      </c>
      <c r="G933" s="4" t="s">
        <v>52</v>
      </c>
      <c r="H933" s="4" t="s">
        <v>18</v>
      </c>
      <c r="I933" s="4" t="s">
        <v>28</v>
      </c>
      <c r="J933" s="3">
        <v>3</v>
      </c>
      <c r="K933" s="6">
        <v>10971</v>
      </c>
      <c r="L933" s="6">
        <f t="shared" si="42"/>
        <v>7679.7</v>
      </c>
      <c r="M933" s="6">
        <v>3291.3</v>
      </c>
      <c r="N933" s="5" t="str">
        <f t="shared" si="43"/>
        <v>Nov</v>
      </c>
      <c r="O933" s="5" t="str">
        <f t="shared" si="44"/>
        <v xml:space="preserve"> 2023</v>
      </c>
    </row>
    <row r="934" spans="1:15" x14ac:dyDescent="0.35">
      <c r="A934" t="s">
        <v>1532</v>
      </c>
      <c r="B934" s="5" t="s">
        <v>1155</v>
      </c>
      <c r="C934" s="4" t="s">
        <v>13</v>
      </c>
      <c r="D934" s="4" t="s">
        <v>14</v>
      </c>
      <c r="E934" s="4" t="s">
        <v>15</v>
      </c>
      <c r="F934" s="4" t="s">
        <v>16</v>
      </c>
      <c r="G934" s="4" t="s">
        <v>122</v>
      </c>
      <c r="H934" s="4" t="s">
        <v>18</v>
      </c>
      <c r="I934" s="4" t="s">
        <v>19</v>
      </c>
      <c r="J934" s="3">
        <v>2</v>
      </c>
      <c r="K934" s="6">
        <v>20590</v>
      </c>
      <c r="L934" s="6">
        <f t="shared" si="42"/>
        <v>14412.999999999998</v>
      </c>
      <c r="M934" s="6">
        <v>6177.0000000000018</v>
      </c>
      <c r="N934" s="5" t="str">
        <f t="shared" si="43"/>
        <v>Mar</v>
      </c>
      <c r="O934" s="5" t="str">
        <f t="shared" si="44"/>
        <v xml:space="preserve"> 2023</v>
      </c>
    </row>
    <row r="935" spans="1:15" x14ac:dyDescent="0.35">
      <c r="A935" t="s">
        <v>1533</v>
      </c>
      <c r="B935" s="5" t="s">
        <v>238</v>
      </c>
      <c r="C935" s="4" t="s">
        <v>31</v>
      </c>
      <c r="D935" s="4" t="s">
        <v>32</v>
      </c>
      <c r="E935" s="4" t="s">
        <v>33</v>
      </c>
      <c r="F935" s="4" t="s">
        <v>25</v>
      </c>
      <c r="G935" s="4" t="s">
        <v>26</v>
      </c>
      <c r="H935" s="4" t="s">
        <v>27</v>
      </c>
      <c r="I935" s="4" t="s">
        <v>60</v>
      </c>
      <c r="J935" s="3">
        <v>5</v>
      </c>
      <c r="K935" s="6">
        <v>142435</v>
      </c>
      <c r="L935" s="6">
        <f t="shared" si="42"/>
        <v>99704.5</v>
      </c>
      <c r="M935" s="6">
        <v>42730.5</v>
      </c>
      <c r="N935" s="5" t="str">
        <f t="shared" si="43"/>
        <v>Sep</v>
      </c>
      <c r="O935" s="5" t="str">
        <f t="shared" si="44"/>
        <v xml:space="preserve"> 2023</v>
      </c>
    </row>
    <row r="936" spans="1:15" x14ac:dyDescent="0.35">
      <c r="A936" t="s">
        <v>1534</v>
      </c>
      <c r="B936" s="5" t="s">
        <v>1535</v>
      </c>
      <c r="C936" s="4" t="s">
        <v>13</v>
      </c>
      <c r="D936" s="4" t="s">
        <v>162</v>
      </c>
      <c r="E936" s="4" t="s">
        <v>163</v>
      </c>
      <c r="F936" s="4" t="s">
        <v>16</v>
      </c>
      <c r="G936" s="4" t="s">
        <v>122</v>
      </c>
      <c r="H936" s="4" t="s">
        <v>27</v>
      </c>
      <c r="I936" s="4" t="s">
        <v>47</v>
      </c>
      <c r="J936" s="3">
        <v>4</v>
      </c>
      <c r="K936" s="6">
        <v>143692</v>
      </c>
      <c r="L936" s="6">
        <f t="shared" si="42"/>
        <v>100584.4</v>
      </c>
      <c r="M936" s="6">
        <v>43107.600000000006</v>
      </c>
      <c r="N936" s="5" t="str">
        <f t="shared" si="43"/>
        <v>Aug</v>
      </c>
      <c r="O936" s="5" t="str">
        <f t="shared" si="44"/>
        <v xml:space="preserve"> 2023</v>
      </c>
    </row>
    <row r="937" spans="1:15" x14ac:dyDescent="0.35">
      <c r="A937" t="s">
        <v>1536</v>
      </c>
      <c r="B937" s="5" t="s">
        <v>1537</v>
      </c>
      <c r="C937" s="4" t="s">
        <v>31</v>
      </c>
      <c r="D937" s="4" t="s">
        <v>32</v>
      </c>
      <c r="E937" s="4" t="s">
        <v>33</v>
      </c>
      <c r="F937" s="4" t="s">
        <v>67</v>
      </c>
      <c r="G937" s="4" t="s">
        <v>113</v>
      </c>
      <c r="H937" s="4" t="s">
        <v>27</v>
      </c>
      <c r="I937" s="4" t="s">
        <v>39</v>
      </c>
      <c r="J937" s="3">
        <v>8</v>
      </c>
      <c r="K937" s="6">
        <v>10552</v>
      </c>
      <c r="L937" s="6">
        <f t="shared" si="42"/>
        <v>7386.4</v>
      </c>
      <c r="M937" s="6">
        <v>3165.6000000000004</v>
      </c>
      <c r="N937" s="5" t="str">
        <f t="shared" si="43"/>
        <v>Jan</v>
      </c>
      <c r="O937" s="5" t="str">
        <f t="shared" si="44"/>
        <v xml:space="preserve"> 2024</v>
      </c>
    </row>
    <row r="938" spans="1:15" x14ac:dyDescent="0.35">
      <c r="A938" t="s">
        <v>1538</v>
      </c>
      <c r="B938" s="5" t="s">
        <v>1539</v>
      </c>
      <c r="C938" s="4" t="s">
        <v>31</v>
      </c>
      <c r="D938" s="4" t="s">
        <v>32</v>
      </c>
      <c r="E938" s="4" t="s">
        <v>33</v>
      </c>
      <c r="F938" s="4" t="s">
        <v>25</v>
      </c>
      <c r="G938" s="4" t="s">
        <v>77</v>
      </c>
      <c r="H938" s="4" t="s">
        <v>27</v>
      </c>
      <c r="I938" s="4" t="s">
        <v>39</v>
      </c>
      <c r="J938" s="3">
        <v>5</v>
      </c>
      <c r="K938" s="6">
        <v>37070</v>
      </c>
      <c r="L938" s="6">
        <f t="shared" si="42"/>
        <v>25949</v>
      </c>
      <c r="M938" s="6">
        <v>11121</v>
      </c>
      <c r="N938" s="5" t="str">
        <f t="shared" si="43"/>
        <v>Apr</v>
      </c>
      <c r="O938" s="5" t="str">
        <f t="shared" si="44"/>
        <v xml:space="preserve"> 2023</v>
      </c>
    </row>
    <row r="939" spans="1:15" x14ac:dyDescent="0.35">
      <c r="A939" t="s">
        <v>1540</v>
      </c>
      <c r="B939" s="5" t="s">
        <v>711</v>
      </c>
      <c r="C939" s="4" t="s">
        <v>55</v>
      </c>
      <c r="D939" s="4" t="s">
        <v>63</v>
      </c>
      <c r="E939" s="4" t="s">
        <v>64</v>
      </c>
      <c r="F939" s="4" t="s">
        <v>16</v>
      </c>
      <c r="G939" s="4" t="s">
        <v>34</v>
      </c>
      <c r="H939" s="4" t="s">
        <v>27</v>
      </c>
      <c r="I939" s="4" t="s">
        <v>47</v>
      </c>
      <c r="J939" s="3">
        <v>8</v>
      </c>
      <c r="K939" s="6">
        <v>104744</v>
      </c>
      <c r="L939" s="6">
        <f t="shared" si="42"/>
        <v>73320.799999999988</v>
      </c>
      <c r="M939" s="6">
        <v>31423.200000000012</v>
      </c>
      <c r="N939" s="5" t="str">
        <f t="shared" si="43"/>
        <v>Nov</v>
      </c>
      <c r="O939" s="5" t="str">
        <f t="shared" si="44"/>
        <v xml:space="preserve"> 2024</v>
      </c>
    </row>
    <row r="940" spans="1:15" x14ac:dyDescent="0.35">
      <c r="A940" t="s">
        <v>1541</v>
      </c>
      <c r="B940" s="5" t="s">
        <v>1542</v>
      </c>
      <c r="C940" s="4" t="s">
        <v>22</v>
      </c>
      <c r="D940" s="4" t="s">
        <v>90</v>
      </c>
      <c r="E940" s="4" t="s">
        <v>110</v>
      </c>
      <c r="F940" s="4" t="s">
        <v>16</v>
      </c>
      <c r="G940" s="4" t="s">
        <v>34</v>
      </c>
      <c r="H940" s="4" t="s">
        <v>27</v>
      </c>
      <c r="I940" s="4" t="s">
        <v>28</v>
      </c>
      <c r="J940" s="3">
        <v>7</v>
      </c>
      <c r="K940" s="6">
        <v>265139</v>
      </c>
      <c r="L940" s="6">
        <f t="shared" si="42"/>
        <v>185597.3</v>
      </c>
      <c r="M940" s="6">
        <v>79541.700000000012</v>
      </c>
      <c r="N940" s="5" t="str">
        <f t="shared" si="43"/>
        <v>Jun</v>
      </c>
      <c r="O940" s="5" t="str">
        <f t="shared" si="44"/>
        <v xml:space="preserve"> 2024</v>
      </c>
    </row>
    <row r="941" spans="1:15" x14ac:dyDescent="0.35">
      <c r="A941" t="s">
        <v>1543</v>
      </c>
      <c r="B941" s="5" t="s">
        <v>1038</v>
      </c>
      <c r="C941" s="4" t="s">
        <v>31</v>
      </c>
      <c r="D941" s="4" t="s">
        <v>50</v>
      </c>
      <c r="E941" s="4" t="s">
        <v>51</v>
      </c>
      <c r="F941" s="4" t="s">
        <v>67</v>
      </c>
      <c r="G941" s="4" t="s">
        <v>180</v>
      </c>
      <c r="H941" s="4" t="s">
        <v>27</v>
      </c>
      <c r="I941" s="4" t="s">
        <v>19</v>
      </c>
      <c r="J941" s="3">
        <v>10</v>
      </c>
      <c r="K941" s="6">
        <v>467390</v>
      </c>
      <c r="L941" s="6">
        <f t="shared" si="42"/>
        <v>327173</v>
      </c>
      <c r="M941" s="6">
        <v>140217</v>
      </c>
      <c r="N941" s="5" t="str">
        <f t="shared" si="43"/>
        <v>Sep</v>
      </c>
      <c r="O941" s="5" t="str">
        <f t="shared" si="44"/>
        <v xml:space="preserve"> 2023</v>
      </c>
    </row>
    <row r="942" spans="1:15" x14ac:dyDescent="0.35">
      <c r="A942" t="s">
        <v>1544</v>
      </c>
      <c r="B942" s="5" t="s">
        <v>1369</v>
      </c>
      <c r="C942" s="4" t="s">
        <v>13</v>
      </c>
      <c r="D942" s="4" t="s">
        <v>125</v>
      </c>
      <c r="E942" s="4" t="s">
        <v>126</v>
      </c>
      <c r="F942" s="4" t="s">
        <v>67</v>
      </c>
      <c r="G942" s="4" t="s">
        <v>180</v>
      </c>
      <c r="H942" s="4" t="s">
        <v>27</v>
      </c>
      <c r="I942" s="4" t="s">
        <v>60</v>
      </c>
      <c r="J942" s="3">
        <v>1</v>
      </c>
      <c r="K942" s="6">
        <v>31501</v>
      </c>
      <c r="L942" s="6">
        <f t="shared" si="42"/>
        <v>22050.699999999997</v>
      </c>
      <c r="M942" s="6">
        <v>9450.3000000000029</v>
      </c>
      <c r="N942" s="5" t="str">
        <f t="shared" si="43"/>
        <v>Aug</v>
      </c>
      <c r="O942" s="5" t="str">
        <f t="shared" si="44"/>
        <v xml:space="preserve"> 2023</v>
      </c>
    </row>
    <row r="943" spans="1:15" x14ac:dyDescent="0.35">
      <c r="A943" t="s">
        <v>1545</v>
      </c>
      <c r="B943" s="5" t="s">
        <v>888</v>
      </c>
      <c r="C943" s="4" t="s">
        <v>22</v>
      </c>
      <c r="D943" s="4" t="s">
        <v>90</v>
      </c>
      <c r="E943" s="4" t="s">
        <v>110</v>
      </c>
      <c r="F943" s="4" t="s">
        <v>67</v>
      </c>
      <c r="G943" s="4" t="s">
        <v>134</v>
      </c>
      <c r="H943" s="4" t="s">
        <v>27</v>
      </c>
      <c r="I943" s="4" t="s">
        <v>47</v>
      </c>
      <c r="J943" s="3">
        <v>1</v>
      </c>
      <c r="K943" s="6">
        <v>6322</v>
      </c>
      <c r="L943" s="6">
        <f t="shared" si="42"/>
        <v>4425.3999999999996</v>
      </c>
      <c r="M943" s="6">
        <v>1896.6000000000004</v>
      </c>
      <c r="N943" s="5" t="str">
        <f t="shared" si="43"/>
        <v>Apr</v>
      </c>
      <c r="O943" s="5" t="str">
        <f t="shared" si="44"/>
        <v xml:space="preserve"> 2023</v>
      </c>
    </row>
    <row r="944" spans="1:15" x14ac:dyDescent="0.35">
      <c r="A944" t="s">
        <v>1546</v>
      </c>
      <c r="B944" s="5" t="s">
        <v>1547</v>
      </c>
      <c r="C944" s="4" t="s">
        <v>31</v>
      </c>
      <c r="D944" s="4" t="s">
        <v>104</v>
      </c>
      <c r="E944" s="4" t="s">
        <v>105</v>
      </c>
      <c r="F944" s="4" t="s">
        <v>16</v>
      </c>
      <c r="G944" s="4" t="s">
        <v>42</v>
      </c>
      <c r="H944" s="4" t="s">
        <v>18</v>
      </c>
      <c r="I944" s="4" t="s">
        <v>28</v>
      </c>
      <c r="J944" s="3">
        <v>7</v>
      </c>
      <c r="K944" s="6">
        <v>320446</v>
      </c>
      <c r="L944" s="6">
        <f t="shared" si="42"/>
        <v>224312.19999999998</v>
      </c>
      <c r="M944" s="6">
        <v>96133.800000000017</v>
      </c>
      <c r="N944" s="5" t="str">
        <f t="shared" si="43"/>
        <v>Nov</v>
      </c>
      <c r="O944" s="5" t="str">
        <f t="shared" si="44"/>
        <v xml:space="preserve"> 2024</v>
      </c>
    </row>
    <row r="945" spans="1:15" x14ac:dyDescent="0.35">
      <c r="A945" t="s">
        <v>1548</v>
      </c>
      <c r="B945" s="5" t="s">
        <v>1549</v>
      </c>
      <c r="C945" s="4" t="s">
        <v>13</v>
      </c>
      <c r="D945" s="4" t="s">
        <v>162</v>
      </c>
      <c r="E945" s="4" t="s">
        <v>163</v>
      </c>
      <c r="F945" s="4" t="s">
        <v>37</v>
      </c>
      <c r="G945" s="4" t="s">
        <v>38</v>
      </c>
      <c r="H945" s="4" t="s">
        <v>18</v>
      </c>
      <c r="I945" s="4" t="s">
        <v>28</v>
      </c>
      <c r="J945" s="3">
        <v>3</v>
      </c>
      <c r="K945" s="6">
        <v>72780</v>
      </c>
      <c r="L945" s="6">
        <f t="shared" si="42"/>
        <v>50946</v>
      </c>
      <c r="M945" s="6">
        <v>21834</v>
      </c>
      <c r="N945" s="5" t="str">
        <f t="shared" si="43"/>
        <v>Jul</v>
      </c>
      <c r="O945" s="5" t="str">
        <f t="shared" si="44"/>
        <v xml:space="preserve"> 2023</v>
      </c>
    </row>
    <row r="946" spans="1:15" x14ac:dyDescent="0.35">
      <c r="A946" t="s">
        <v>1550</v>
      </c>
      <c r="B946" s="5" t="s">
        <v>1551</v>
      </c>
      <c r="C946" s="4" t="s">
        <v>31</v>
      </c>
      <c r="D946" s="4" t="s">
        <v>50</v>
      </c>
      <c r="E946" s="4" t="s">
        <v>51</v>
      </c>
      <c r="F946" s="4" t="s">
        <v>37</v>
      </c>
      <c r="G946" s="4" t="s">
        <v>183</v>
      </c>
      <c r="H946" s="4" t="s">
        <v>27</v>
      </c>
      <c r="I946" s="4" t="s">
        <v>39</v>
      </c>
      <c r="J946" s="3">
        <v>3</v>
      </c>
      <c r="K946" s="6">
        <v>99648</v>
      </c>
      <c r="L946" s="6">
        <f t="shared" si="42"/>
        <v>69753.599999999991</v>
      </c>
      <c r="M946" s="6">
        <v>29894.400000000009</v>
      </c>
      <c r="N946" s="5" t="str">
        <f t="shared" si="43"/>
        <v>Dec</v>
      </c>
      <c r="O946" s="5" t="str">
        <f t="shared" si="44"/>
        <v xml:space="preserve"> 2023</v>
      </c>
    </row>
    <row r="947" spans="1:15" x14ac:dyDescent="0.35">
      <c r="A947" t="s">
        <v>1552</v>
      </c>
      <c r="B947" s="5" t="s">
        <v>1017</v>
      </c>
      <c r="C947" s="4" t="s">
        <v>13</v>
      </c>
      <c r="D947" s="4" t="s">
        <v>14</v>
      </c>
      <c r="E947" s="4" t="s">
        <v>15</v>
      </c>
      <c r="F947" s="4" t="s">
        <v>25</v>
      </c>
      <c r="G947" s="4" t="s">
        <v>77</v>
      </c>
      <c r="H947" s="4" t="s">
        <v>72</v>
      </c>
      <c r="I947" s="4" t="s">
        <v>60</v>
      </c>
      <c r="J947" s="3">
        <v>8</v>
      </c>
      <c r="K947" s="6">
        <v>19632</v>
      </c>
      <c r="L947" s="6">
        <f t="shared" si="42"/>
        <v>13742.4</v>
      </c>
      <c r="M947" s="6">
        <v>5889.6</v>
      </c>
      <c r="N947" s="5" t="str">
        <f t="shared" si="43"/>
        <v>May</v>
      </c>
      <c r="O947" s="5" t="str">
        <f t="shared" si="44"/>
        <v xml:space="preserve"> 2024</v>
      </c>
    </row>
    <row r="948" spans="1:15" x14ac:dyDescent="0.35">
      <c r="A948" t="s">
        <v>1553</v>
      </c>
      <c r="B948" s="5" t="s">
        <v>30</v>
      </c>
      <c r="C948" s="4" t="s">
        <v>22</v>
      </c>
      <c r="D948" s="4" t="s">
        <v>23</v>
      </c>
      <c r="E948" s="4" t="s">
        <v>24</v>
      </c>
      <c r="F948" s="4" t="s">
        <v>16</v>
      </c>
      <c r="G948" s="4" t="s">
        <v>42</v>
      </c>
      <c r="H948" s="4" t="s">
        <v>18</v>
      </c>
      <c r="I948" s="4" t="s">
        <v>28</v>
      </c>
      <c r="J948" s="3">
        <v>1</v>
      </c>
      <c r="K948" s="6">
        <v>28990</v>
      </c>
      <c r="L948" s="6">
        <f t="shared" si="42"/>
        <v>20293</v>
      </c>
      <c r="M948" s="6">
        <v>8697</v>
      </c>
      <c r="N948" s="5" t="str">
        <f t="shared" si="43"/>
        <v>Mar</v>
      </c>
      <c r="O948" s="5" t="str">
        <f t="shared" si="44"/>
        <v xml:space="preserve"> 2023</v>
      </c>
    </row>
    <row r="949" spans="1:15" x14ac:dyDescent="0.35">
      <c r="A949" t="s">
        <v>1554</v>
      </c>
      <c r="B949" s="5" t="s">
        <v>1329</v>
      </c>
      <c r="C949" s="4" t="s">
        <v>22</v>
      </c>
      <c r="D949" s="4" t="s">
        <v>90</v>
      </c>
      <c r="E949" s="4" t="s">
        <v>110</v>
      </c>
      <c r="F949" s="4" t="s">
        <v>25</v>
      </c>
      <c r="G949" s="4" t="s">
        <v>71</v>
      </c>
      <c r="H949" s="4" t="s">
        <v>27</v>
      </c>
      <c r="I949" s="4" t="s">
        <v>28</v>
      </c>
      <c r="J949" s="3">
        <v>4</v>
      </c>
      <c r="K949" s="6">
        <v>82112</v>
      </c>
      <c r="L949" s="6">
        <f t="shared" si="42"/>
        <v>57478.399999999994</v>
      </c>
      <c r="M949" s="6">
        <v>24633.600000000006</v>
      </c>
      <c r="N949" s="5" t="str">
        <f t="shared" si="43"/>
        <v>Aug</v>
      </c>
      <c r="O949" s="5" t="str">
        <f t="shared" si="44"/>
        <v xml:space="preserve"> 2024</v>
      </c>
    </row>
    <row r="950" spans="1:15" x14ac:dyDescent="0.35">
      <c r="A950" t="s">
        <v>1555</v>
      </c>
      <c r="B950" s="5" t="s">
        <v>1556</v>
      </c>
      <c r="C950" s="4" t="s">
        <v>31</v>
      </c>
      <c r="D950" s="4" t="s">
        <v>50</v>
      </c>
      <c r="E950" s="4" t="s">
        <v>51</v>
      </c>
      <c r="F950" s="4" t="s">
        <v>16</v>
      </c>
      <c r="G950" s="4" t="s">
        <v>122</v>
      </c>
      <c r="H950" s="4" t="s">
        <v>72</v>
      </c>
      <c r="I950" s="4" t="s">
        <v>28</v>
      </c>
      <c r="J950" s="3">
        <v>2</v>
      </c>
      <c r="K950" s="6">
        <v>48546</v>
      </c>
      <c r="L950" s="6">
        <f t="shared" si="42"/>
        <v>33982.199999999997</v>
      </c>
      <c r="M950" s="6">
        <v>14563.800000000003</v>
      </c>
      <c r="N950" s="5" t="str">
        <f t="shared" si="43"/>
        <v>Jun</v>
      </c>
      <c r="O950" s="5" t="str">
        <f t="shared" si="44"/>
        <v xml:space="preserve"> 2023</v>
      </c>
    </row>
    <row r="951" spans="1:15" x14ac:dyDescent="0.35">
      <c r="A951" t="s">
        <v>1557</v>
      </c>
      <c r="B951" s="5" t="s">
        <v>648</v>
      </c>
      <c r="C951" s="4" t="s">
        <v>55</v>
      </c>
      <c r="D951" s="4" t="s">
        <v>56</v>
      </c>
      <c r="E951" s="4" t="s">
        <v>57</v>
      </c>
      <c r="F951" s="4" t="s">
        <v>25</v>
      </c>
      <c r="G951" s="4" t="s">
        <v>71</v>
      </c>
      <c r="H951" s="4" t="s">
        <v>72</v>
      </c>
      <c r="I951" s="4" t="s">
        <v>60</v>
      </c>
      <c r="J951" s="3">
        <v>3</v>
      </c>
      <c r="K951" s="6">
        <v>129114</v>
      </c>
      <c r="L951" s="6">
        <f t="shared" si="42"/>
        <v>90379.799999999988</v>
      </c>
      <c r="M951" s="6">
        <v>38734.200000000012</v>
      </c>
      <c r="N951" s="5" t="str">
        <f t="shared" si="43"/>
        <v>Oct</v>
      </c>
      <c r="O951" s="5" t="str">
        <f t="shared" si="44"/>
        <v xml:space="preserve"> 2023</v>
      </c>
    </row>
    <row r="952" spans="1:15" x14ac:dyDescent="0.35">
      <c r="A952" t="s">
        <v>1558</v>
      </c>
      <c r="B952" s="5" t="s">
        <v>565</v>
      </c>
      <c r="C952" s="4" t="s">
        <v>55</v>
      </c>
      <c r="D952" s="4" t="s">
        <v>98</v>
      </c>
      <c r="E952" s="4" t="s">
        <v>99</v>
      </c>
      <c r="F952" s="4" t="s">
        <v>67</v>
      </c>
      <c r="G952" s="4" t="s">
        <v>134</v>
      </c>
      <c r="H952" s="4" t="s">
        <v>27</v>
      </c>
      <c r="I952" s="4" t="s">
        <v>19</v>
      </c>
      <c r="J952" s="3">
        <v>3</v>
      </c>
      <c r="K952" s="6">
        <v>52281</v>
      </c>
      <c r="L952" s="6">
        <f t="shared" si="42"/>
        <v>36596.699999999997</v>
      </c>
      <c r="M952" s="6">
        <v>15684.300000000003</v>
      </c>
      <c r="N952" s="5" t="str">
        <f t="shared" si="43"/>
        <v>Jul</v>
      </c>
      <c r="O952" s="5" t="str">
        <f t="shared" si="44"/>
        <v xml:space="preserve"> 2023</v>
      </c>
    </row>
    <row r="953" spans="1:15" x14ac:dyDescent="0.35">
      <c r="A953" t="s">
        <v>1559</v>
      </c>
      <c r="B953" s="5" t="s">
        <v>1560</v>
      </c>
      <c r="C953" s="4" t="s">
        <v>31</v>
      </c>
      <c r="D953" s="4" t="s">
        <v>32</v>
      </c>
      <c r="E953" s="4" t="s">
        <v>33</v>
      </c>
      <c r="F953" s="4" t="s">
        <v>25</v>
      </c>
      <c r="G953" s="4" t="s">
        <v>52</v>
      </c>
      <c r="H953" s="4" t="s">
        <v>27</v>
      </c>
      <c r="I953" s="4" t="s">
        <v>19</v>
      </c>
      <c r="J953" s="3">
        <v>7</v>
      </c>
      <c r="K953" s="6">
        <v>189812</v>
      </c>
      <c r="L953" s="6">
        <f t="shared" si="42"/>
        <v>132868.4</v>
      </c>
      <c r="M953" s="6">
        <v>56943.600000000006</v>
      </c>
      <c r="N953" s="5" t="str">
        <f t="shared" si="43"/>
        <v>Feb</v>
      </c>
      <c r="O953" s="5" t="str">
        <f t="shared" si="44"/>
        <v xml:space="preserve"> 2024</v>
      </c>
    </row>
    <row r="954" spans="1:15" x14ac:dyDescent="0.35">
      <c r="A954" t="s">
        <v>1561</v>
      </c>
      <c r="B954" s="5" t="s">
        <v>1419</v>
      </c>
      <c r="C954" s="4" t="s">
        <v>13</v>
      </c>
      <c r="D954" s="4" t="s">
        <v>118</v>
      </c>
      <c r="E954" s="4" t="s">
        <v>119</v>
      </c>
      <c r="F954" s="4" t="s">
        <v>25</v>
      </c>
      <c r="G954" s="4" t="s">
        <v>26</v>
      </c>
      <c r="H954" s="4" t="s">
        <v>27</v>
      </c>
      <c r="I954" s="4" t="s">
        <v>39</v>
      </c>
      <c r="J954" s="3">
        <v>1</v>
      </c>
      <c r="K954" s="6">
        <v>2108</v>
      </c>
      <c r="L954" s="6">
        <f t="shared" si="42"/>
        <v>1475.6</v>
      </c>
      <c r="M954" s="6">
        <v>632.40000000000009</v>
      </c>
      <c r="N954" s="5" t="str">
        <f t="shared" si="43"/>
        <v>Dec</v>
      </c>
      <c r="O954" s="5" t="str">
        <f t="shared" si="44"/>
        <v xml:space="preserve"> 2023</v>
      </c>
    </row>
    <row r="955" spans="1:15" x14ac:dyDescent="0.35">
      <c r="A955" t="s">
        <v>1562</v>
      </c>
      <c r="B955" s="5" t="s">
        <v>1563</v>
      </c>
      <c r="C955" s="4" t="s">
        <v>13</v>
      </c>
      <c r="D955" s="4" t="s">
        <v>125</v>
      </c>
      <c r="E955" s="4" t="s">
        <v>126</v>
      </c>
      <c r="F955" s="4" t="s">
        <v>16</v>
      </c>
      <c r="G955" s="4" t="s">
        <v>122</v>
      </c>
      <c r="H955" s="4" t="s">
        <v>18</v>
      </c>
      <c r="I955" s="4" t="s">
        <v>60</v>
      </c>
      <c r="J955" s="3">
        <v>1</v>
      </c>
      <c r="K955" s="6">
        <v>22072</v>
      </c>
      <c r="L955" s="6">
        <f t="shared" si="42"/>
        <v>15450.4</v>
      </c>
      <c r="M955" s="6">
        <v>6621.6</v>
      </c>
      <c r="N955" s="5" t="str">
        <f t="shared" si="43"/>
        <v>Jun</v>
      </c>
      <c r="O955" s="5" t="str">
        <f t="shared" si="44"/>
        <v xml:space="preserve"> 2024</v>
      </c>
    </row>
    <row r="956" spans="1:15" x14ac:dyDescent="0.35">
      <c r="A956" t="s">
        <v>1564</v>
      </c>
      <c r="B956" s="5" t="s">
        <v>1565</v>
      </c>
      <c r="C956" s="4" t="s">
        <v>13</v>
      </c>
      <c r="D956" s="4" t="s">
        <v>118</v>
      </c>
      <c r="E956" s="4" t="s">
        <v>119</v>
      </c>
      <c r="F956" s="4" t="s">
        <v>16</v>
      </c>
      <c r="G956" s="4" t="s">
        <v>17</v>
      </c>
      <c r="H956" s="4" t="s">
        <v>18</v>
      </c>
      <c r="I956" s="4" t="s">
        <v>19</v>
      </c>
      <c r="J956" s="3">
        <v>10</v>
      </c>
      <c r="K956" s="6">
        <v>445580</v>
      </c>
      <c r="L956" s="6">
        <f t="shared" si="42"/>
        <v>311906</v>
      </c>
      <c r="M956" s="6">
        <v>133674</v>
      </c>
      <c r="N956" s="5" t="str">
        <f t="shared" si="43"/>
        <v>Sep</v>
      </c>
      <c r="O956" s="5" t="str">
        <f t="shared" si="44"/>
        <v xml:space="preserve"> 2024</v>
      </c>
    </row>
    <row r="957" spans="1:15" x14ac:dyDescent="0.35">
      <c r="A957" t="s">
        <v>1566</v>
      </c>
      <c r="B957" s="5" t="s">
        <v>1567</v>
      </c>
      <c r="C957" s="4" t="s">
        <v>22</v>
      </c>
      <c r="D957" s="4" t="s">
        <v>90</v>
      </c>
      <c r="E957" s="4" t="s">
        <v>110</v>
      </c>
      <c r="F957" s="4" t="s">
        <v>25</v>
      </c>
      <c r="G957" s="4" t="s">
        <v>77</v>
      </c>
      <c r="H957" s="4" t="s">
        <v>27</v>
      </c>
      <c r="I957" s="4" t="s">
        <v>28</v>
      </c>
      <c r="J957" s="3">
        <v>5</v>
      </c>
      <c r="K957" s="6">
        <v>37205</v>
      </c>
      <c r="L957" s="6">
        <f t="shared" si="42"/>
        <v>26043.5</v>
      </c>
      <c r="M957" s="6">
        <v>11161.5</v>
      </c>
      <c r="N957" s="5" t="str">
        <f t="shared" si="43"/>
        <v>Nov</v>
      </c>
      <c r="O957" s="5" t="str">
        <f t="shared" si="44"/>
        <v xml:space="preserve"> 2024</v>
      </c>
    </row>
    <row r="958" spans="1:15" x14ac:dyDescent="0.35">
      <c r="A958" t="s">
        <v>1568</v>
      </c>
      <c r="B958" s="5" t="s">
        <v>1569</v>
      </c>
      <c r="C958" s="4" t="s">
        <v>31</v>
      </c>
      <c r="D958" s="4" t="s">
        <v>50</v>
      </c>
      <c r="E958" s="4" t="s">
        <v>51</v>
      </c>
      <c r="F958" s="4" t="s">
        <v>16</v>
      </c>
      <c r="G958" s="4" t="s">
        <v>34</v>
      </c>
      <c r="H958" s="4" t="s">
        <v>72</v>
      </c>
      <c r="I958" s="4" t="s">
        <v>19</v>
      </c>
      <c r="J958" s="3">
        <v>8</v>
      </c>
      <c r="K958" s="6">
        <v>168344</v>
      </c>
      <c r="L958" s="6">
        <f t="shared" si="42"/>
        <v>117840.79999999999</v>
      </c>
      <c r="M958" s="6">
        <v>50503.200000000012</v>
      </c>
      <c r="N958" s="5" t="str">
        <f t="shared" si="43"/>
        <v>Feb</v>
      </c>
      <c r="O958" s="5" t="str">
        <f t="shared" si="44"/>
        <v xml:space="preserve"> 2024</v>
      </c>
    </row>
    <row r="959" spans="1:15" x14ac:dyDescent="0.35">
      <c r="A959" t="s">
        <v>1570</v>
      </c>
      <c r="B959" s="5" t="s">
        <v>1111</v>
      </c>
      <c r="C959" s="4" t="s">
        <v>55</v>
      </c>
      <c r="D959" s="4" t="s">
        <v>98</v>
      </c>
      <c r="E959" s="4" t="s">
        <v>99</v>
      </c>
      <c r="F959" s="4" t="s">
        <v>37</v>
      </c>
      <c r="G959" s="4" t="s">
        <v>186</v>
      </c>
      <c r="H959" s="4" t="s">
        <v>72</v>
      </c>
      <c r="I959" s="4" t="s">
        <v>47</v>
      </c>
      <c r="J959" s="3">
        <v>4</v>
      </c>
      <c r="K959" s="6">
        <v>42456</v>
      </c>
      <c r="L959" s="6">
        <f t="shared" si="42"/>
        <v>29719.199999999997</v>
      </c>
      <c r="M959" s="6">
        <v>12736.800000000003</v>
      </c>
      <c r="N959" s="5" t="str">
        <f t="shared" si="43"/>
        <v>May</v>
      </c>
      <c r="O959" s="5" t="str">
        <f t="shared" si="44"/>
        <v xml:space="preserve"> 2023</v>
      </c>
    </row>
    <row r="960" spans="1:15" x14ac:dyDescent="0.35">
      <c r="A960" t="s">
        <v>1571</v>
      </c>
      <c r="B960" s="5" t="s">
        <v>1032</v>
      </c>
      <c r="C960" s="4" t="s">
        <v>13</v>
      </c>
      <c r="D960" s="4" t="s">
        <v>118</v>
      </c>
      <c r="E960" s="4" t="s">
        <v>119</v>
      </c>
      <c r="F960" s="4" t="s">
        <v>37</v>
      </c>
      <c r="G960" s="4" t="s">
        <v>38</v>
      </c>
      <c r="H960" s="4" t="s">
        <v>72</v>
      </c>
      <c r="I960" s="4" t="s">
        <v>28</v>
      </c>
      <c r="J960" s="3">
        <v>2</v>
      </c>
      <c r="K960" s="6">
        <v>61082</v>
      </c>
      <c r="L960" s="6">
        <f t="shared" si="42"/>
        <v>42757.399999999994</v>
      </c>
      <c r="M960" s="6">
        <v>18324.600000000006</v>
      </c>
      <c r="N960" s="5" t="str">
        <f t="shared" si="43"/>
        <v>Feb</v>
      </c>
      <c r="O960" s="5" t="str">
        <f t="shared" si="44"/>
        <v xml:space="preserve"> 2023</v>
      </c>
    </row>
    <row r="961" spans="1:15" x14ac:dyDescent="0.35">
      <c r="A961" t="s">
        <v>1572</v>
      </c>
      <c r="B961" s="5" t="s">
        <v>1573</v>
      </c>
      <c r="C961" s="4" t="s">
        <v>22</v>
      </c>
      <c r="D961" s="4" t="s">
        <v>86</v>
      </c>
      <c r="E961" s="4" t="s">
        <v>87</v>
      </c>
      <c r="F961" s="4" t="s">
        <v>16</v>
      </c>
      <c r="G961" s="4" t="s">
        <v>34</v>
      </c>
      <c r="H961" s="4" t="s">
        <v>72</v>
      </c>
      <c r="I961" s="4" t="s">
        <v>28</v>
      </c>
      <c r="J961" s="3">
        <v>10</v>
      </c>
      <c r="K961" s="6">
        <v>171830</v>
      </c>
      <c r="L961" s="6">
        <f t="shared" si="42"/>
        <v>120280.99999999999</v>
      </c>
      <c r="M961" s="6">
        <v>51549.000000000015</v>
      </c>
      <c r="N961" s="5" t="str">
        <f t="shared" si="43"/>
        <v>Jan</v>
      </c>
      <c r="O961" s="5" t="str">
        <f t="shared" si="44"/>
        <v xml:space="preserve"> 2024</v>
      </c>
    </row>
    <row r="962" spans="1:15" x14ac:dyDescent="0.35">
      <c r="A962" t="s">
        <v>1574</v>
      </c>
      <c r="B962" s="5" t="s">
        <v>36</v>
      </c>
      <c r="C962" s="4" t="s">
        <v>31</v>
      </c>
      <c r="D962" s="4" t="s">
        <v>45</v>
      </c>
      <c r="E962" s="4" t="s">
        <v>46</v>
      </c>
      <c r="F962" s="4" t="s">
        <v>25</v>
      </c>
      <c r="G962" s="4" t="s">
        <v>26</v>
      </c>
      <c r="H962" s="4" t="s">
        <v>72</v>
      </c>
      <c r="I962" s="4" t="s">
        <v>39</v>
      </c>
      <c r="J962" s="3">
        <v>8</v>
      </c>
      <c r="K962" s="6">
        <v>51512</v>
      </c>
      <c r="L962" s="6">
        <f t="shared" ref="L962:L1025" si="45">K962*0.7</f>
        <v>36058.399999999994</v>
      </c>
      <c r="M962" s="6">
        <v>15453.600000000006</v>
      </c>
      <c r="N962" s="5" t="str">
        <f t="shared" ref="N962:N1025" si="46">TEXT(B962,"mmm")</f>
        <v>Feb</v>
      </c>
      <c r="O962" s="5" t="str">
        <f t="shared" ref="O962:O1025" si="47">TEXT(B962," yyyy")</f>
        <v xml:space="preserve"> 2023</v>
      </c>
    </row>
    <row r="963" spans="1:15" x14ac:dyDescent="0.35">
      <c r="A963" t="s">
        <v>1575</v>
      </c>
      <c r="B963" s="5" t="s">
        <v>1576</v>
      </c>
      <c r="C963" s="4" t="s">
        <v>31</v>
      </c>
      <c r="D963" s="4" t="s">
        <v>50</v>
      </c>
      <c r="E963" s="4" t="s">
        <v>51</v>
      </c>
      <c r="F963" s="4" t="s">
        <v>67</v>
      </c>
      <c r="G963" s="4" t="s">
        <v>68</v>
      </c>
      <c r="H963" s="4" t="s">
        <v>27</v>
      </c>
      <c r="I963" s="4" t="s">
        <v>19</v>
      </c>
      <c r="J963" s="3">
        <v>3</v>
      </c>
      <c r="K963" s="6">
        <v>7356</v>
      </c>
      <c r="L963" s="6">
        <f t="shared" si="45"/>
        <v>5149.2</v>
      </c>
      <c r="M963" s="6">
        <v>2206.8000000000002</v>
      </c>
      <c r="N963" s="5" t="str">
        <f t="shared" si="46"/>
        <v>Jun</v>
      </c>
      <c r="O963" s="5" t="str">
        <f t="shared" si="47"/>
        <v xml:space="preserve"> 2023</v>
      </c>
    </row>
    <row r="964" spans="1:15" x14ac:dyDescent="0.35">
      <c r="A964" t="s">
        <v>1577</v>
      </c>
      <c r="B964" s="5" t="s">
        <v>593</v>
      </c>
      <c r="C964" s="4" t="s">
        <v>22</v>
      </c>
      <c r="D964" s="4" t="s">
        <v>86</v>
      </c>
      <c r="E964" s="4" t="s">
        <v>87</v>
      </c>
      <c r="F964" s="4" t="s">
        <v>25</v>
      </c>
      <c r="G964" s="4" t="s">
        <v>71</v>
      </c>
      <c r="H964" s="4" t="s">
        <v>18</v>
      </c>
      <c r="I964" s="4" t="s">
        <v>60</v>
      </c>
      <c r="J964" s="3">
        <v>5</v>
      </c>
      <c r="K964" s="6">
        <v>11580</v>
      </c>
      <c r="L964" s="6">
        <f t="shared" si="45"/>
        <v>8105.9999999999991</v>
      </c>
      <c r="M964" s="6">
        <v>3474.0000000000009</v>
      </c>
      <c r="N964" s="5" t="str">
        <f t="shared" si="46"/>
        <v>Dec</v>
      </c>
      <c r="O964" s="5" t="str">
        <f t="shared" si="47"/>
        <v xml:space="preserve"> 2023</v>
      </c>
    </row>
    <row r="965" spans="1:15" x14ac:dyDescent="0.35">
      <c r="A965" t="s">
        <v>1578</v>
      </c>
      <c r="B965" s="5" t="s">
        <v>1579</v>
      </c>
      <c r="C965" s="4" t="s">
        <v>13</v>
      </c>
      <c r="D965" s="4" t="s">
        <v>14</v>
      </c>
      <c r="E965" s="4" t="s">
        <v>15</v>
      </c>
      <c r="F965" s="4" t="s">
        <v>25</v>
      </c>
      <c r="G965" s="4" t="s">
        <v>52</v>
      </c>
      <c r="H965" s="4" t="s">
        <v>18</v>
      </c>
      <c r="I965" s="4" t="s">
        <v>39</v>
      </c>
      <c r="J965" s="3">
        <v>2</v>
      </c>
      <c r="K965" s="6">
        <v>75364</v>
      </c>
      <c r="L965" s="6">
        <f t="shared" si="45"/>
        <v>52754.799999999996</v>
      </c>
      <c r="M965" s="6">
        <v>22609.200000000004</v>
      </c>
      <c r="N965" s="5" t="str">
        <f t="shared" si="46"/>
        <v>Sep</v>
      </c>
      <c r="O965" s="5" t="str">
        <f t="shared" si="47"/>
        <v xml:space="preserve"> 2023</v>
      </c>
    </row>
    <row r="966" spans="1:15" x14ac:dyDescent="0.35">
      <c r="A966" t="s">
        <v>1580</v>
      </c>
      <c r="B966" s="5" t="s">
        <v>281</v>
      </c>
      <c r="C966" s="4" t="s">
        <v>22</v>
      </c>
      <c r="D966" s="4" t="s">
        <v>90</v>
      </c>
      <c r="E966" s="4" t="s">
        <v>110</v>
      </c>
      <c r="F966" s="4" t="s">
        <v>37</v>
      </c>
      <c r="G966" s="4" t="s">
        <v>186</v>
      </c>
      <c r="H966" s="4" t="s">
        <v>27</v>
      </c>
      <c r="I966" s="4" t="s">
        <v>19</v>
      </c>
      <c r="J966" s="3">
        <v>5</v>
      </c>
      <c r="K966" s="6">
        <v>229795</v>
      </c>
      <c r="L966" s="6">
        <f t="shared" si="45"/>
        <v>160856.5</v>
      </c>
      <c r="M966" s="6">
        <v>68938.5</v>
      </c>
      <c r="N966" s="5" t="str">
        <f t="shared" si="46"/>
        <v>Jun</v>
      </c>
      <c r="O966" s="5" t="str">
        <f t="shared" si="47"/>
        <v xml:space="preserve"> 2024</v>
      </c>
    </row>
    <row r="967" spans="1:15" x14ac:dyDescent="0.35">
      <c r="A967" t="s">
        <v>1581</v>
      </c>
      <c r="B967" s="5" t="s">
        <v>1055</v>
      </c>
      <c r="C967" s="4" t="s">
        <v>22</v>
      </c>
      <c r="D967" s="4" t="s">
        <v>90</v>
      </c>
      <c r="E967" s="4" t="s">
        <v>110</v>
      </c>
      <c r="F967" s="4" t="s">
        <v>37</v>
      </c>
      <c r="G967" s="4" t="s">
        <v>183</v>
      </c>
      <c r="H967" s="4" t="s">
        <v>27</v>
      </c>
      <c r="I967" s="4" t="s">
        <v>39</v>
      </c>
      <c r="J967" s="3">
        <v>8</v>
      </c>
      <c r="K967" s="6">
        <v>274120</v>
      </c>
      <c r="L967" s="6">
        <f t="shared" si="45"/>
        <v>191884</v>
      </c>
      <c r="M967" s="6">
        <v>82236</v>
      </c>
      <c r="N967" s="5" t="str">
        <f t="shared" si="46"/>
        <v>Nov</v>
      </c>
      <c r="O967" s="5" t="str">
        <f t="shared" si="47"/>
        <v xml:space="preserve"> 2023</v>
      </c>
    </row>
    <row r="968" spans="1:15" x14ac:dyDescent="0.35">
      <c r="A968" t="s">
        <v>1582</v>
      </c>
      <c r="B968" s="5" t="s">
        <v>988</v>
      </c>
      <c r="C968" s="4" t="s">
        <v>13</v>
      </c>
      <c r="D968" s="4" t="s">
        <v>125</v>
      </c>
      <c r="E968" s="4" t="s">
        <v>126</v>
      </c>
      <c r="F968" s="4" t="s">
        <v>25</v>
      </c>
      <c r="G968" s="4" t="s">
        <v>71</v>
      </c>
      <c r="H968" s="4" t="s">
        <v>18</v>
      </c>
      <c r="I968" s="4" t="s">
        <v>47</v>
      </c>
      <c r="J968" s="3">
        <v>7</v>
      </c>
      <c r="K968" s="6">
        <v>181132</v>
      </c>
      <c r="L968" s="6">
        <f t="shared" si="45"/>
        <v>126792.4</v>
      </c>
      <c r="M968" s="6">
        <v>54339.600000000006</v>
      </c>
      <c r="N968" s="5" t="str">
        <f t="shared" si="46"/>
        <v>Apr</v>
      </c>
      <c r="O968" s="5" t="str">
        <f t="shared" si="47"/>
        <v xml:space="preserve"> 2023</v>
      </c>
    </row>
    <row r="969" spans="1:15" x14ac:dyDescent="0.35">
      <c r="A969" t="s">
        <v>1583</v>
      </c>
      <c r="B969" s="5" t="s">
        <v>1584</v>
      </c>
      <c r="C969" s="4" t="s">
        <v>13</v>
      </c>
      <c r="D969" s="4" t="s">
        <v>125</v>
      </c>
      <c r="E969" s="4" t="s">
        <v>126</v>
      </c>
      <c r="F969" s="4" t="s">
        <v>67</v>
      </c>
      <c r="G969" s="4" t="s">
        <v>180</v>
      </c>
      <c r="H969" s="4" t="s">
        <v>27</v>
      </c>
      <c r="I969" s="4" t="s">
        <v>28</v>
      </c>
      <c r="J969" s="3">
        <v>7</v>
      </c>
      <c r="K969" s="6">
        <v>23569</v>
      </c>
      <c r="L969" s="6">
        <f t="shared" si="45"/>
        <v>16498.3</v>
      </c>
      <c r="M969" s="6">
        <v>7070.7000000000007</v>
      </c>
      <c r="N969" s="5" t="str">
        <f t="shared" si="46"/>
        <v>Jun</v>
      </c>
      <c r="O969" s="5" t="str">
        <f t="shared" si="47"/>
        <v xml:space="preserve"> 2023</v>
      </c>
    </row>
    <row r="970" spans="1:15" x14ac:dyDescent="0.35">
      <c r="A970" t="s">
        <v>1585</v>
      </c>
      <c r="B970" s="5" t="s">
        <v>451</v>
      </c>
      <c r="C970" s="4" t="s">
        <v>13</v>
      </c>
      <c r="D970" s="4" t="s">
        <v>125</v>
      </c>
      <c r="E970" s="4" t="s">
        <v>126</v>
      </c>
      <c r="F970" s="4" t="s">
        <v>25</v>
      </c>
      <c r="G970" s="4" t="s">
        <v>26</v>
      </c>
      <c r="H970" s="4" t="s">
        <v>27</v>
      </c>
      <c r="I970" s="4" t="s">
        <v>28</v>
      </c>
      <c r="J970" s="3">
        <v>1</v>
      </c>
      <c r="K970" s="6">
        <v>14572</v>
      </c>
      <c r="L970" s="6">
        <f t="shared" si="45"/>
        <v>10200.4</v>
      </c>
      <c r="M970" s="6">
        <v>4371.6000000000004</v>
      </c>
      <c r="N970" s="5" t="str">
        <f t="shared" si="46"/>
        <v>Feb</v>
      </c>
      <c r="O970" s="5" t="str">
        <f t="shared" si="47"/>
        <v xml:space="preserve"> 2024</v>
      </c>
    </row>
    <row r="971" spans="1:15" x14ac:dyDescent="0.35">
      <c r="A971" t="s">
        <v>1586</v>
      </c>
      <c r="B971" s="5" t="s">
        <v>1587</v>
      </c>
      <c r="C971" s="4" t="s">
        <v>22</v>
      </c>
      <c r="D971" s="4" t="s">
        <v>90</v>
      </c>
      <c r="E971" s="4" t="s">
        <v>91</v>
      </c>
      <c r="F971" s="4" t="s">
        <v>67</v>
      </c>
      <c r="G971" s="4" t="s">
        <v>113</v>
      </c>
      <c r="H971" s="4" t="s">
        <v>27</v>
      </c>
      <c r="I971" s="4" t="s">
        <v>19</v>
      </c>
      <c r="J971" s="3">
        <v>1</v>
      </c>
      <c r="K971" s="6">
        <v>28311</v>
      </c>
      <c r="L971" s="6">
        <f t="shared" si="45"/>
        <v>19817.699999999997</v>
      </c>
      <c r="M971" s="6">
        <v>8493.3000000000029</v>
      </c>
      <c r="N971" s="5" t="str">
        <f t="shared" si="46"/>
        <v>Nov</v>
      </c>
      <c r="O971" s="5" t="str">
        <f t="shared" si="47"/>
        <v xml:space="preserve"> 2023</v>
      </c>
    </row>
    <row r="972" spans="1:15" x14ac:dyDescent="0.35">
      <c r="A972" t="s">
        <v>1588</v>
      </c>
      <c r="B972" s="5" t="s">
        <v>1385</v>
      </c>
      <c r="C972" s="4" t="s">
        <v>22</v>
      </c>
      <c r="D972" s="4" t="s">
        <v>90</v>
      </c>
      <c r="E972" s="4" t="s">
        <v>91</v>
      </c>
      <c r="F972" s="4" t="s">
        <v>67</v>
      </c>
      <c r="G972" s="4" t="s">
        <v>180</v>
      </c>
      <c r="H972" s="4" t="s">
        <v>27</v>
      </c>
      <c r="I972" s="4" t="s">
        <v>60</v>
      </c>
      <c r="J972" s="3">
        <v>5</v>
      </c>
      <c r="K972" s="6">
        <v>162825</v>
      </c>
      <c r="L972" s="6">
        <f t="shared" si="45"/>
        <v>113977.5</v>
      </c>
      <c r="M972" s="6">
        <v>48847.5</v>
      </c>
      <c r="N972" s="5" t="str">
        <f t="shared" si="46"/>
        <v>Jun</v>
      </c>
      <c r="O972" s="5" t="str">
        <f t="shared" si="47"/>
        <v xml:space="preserve"> 2024</v>
      </c>
    </row>
    <row r="973" spans="1:15" x14ac:dyDescent="0.35">
      <c r="A973" t="s">
        <v>1589</v>
      </c>
      <c r="B973" s="5" t="s">
        <v>1399</v>
      </c>
      <c r="C973" s="4" t="s">
        <v>13</v>
      </c>
      <c r="D973" s="4" t="s">
        <v>118</v>
      </c>
      <c r="E973" s="4" t="s">
        <v>119</v>
      </c>
      <c r="F973" s="4" t="s">
        <v>37</v>
      </c>
      <c r="G973" s="4" t="s">
        <v>38</v>
      </c>
      <c r="H973" s="4" t="s">
        <v>18</v>
      </c>
      <c r="I973" s="4" t="s">
        <v>60</v>
      </c>
      <c r="J973" s="3">
        <v>10</v>
      </c>
      <c r="K973" s="6">
        <v>485210</v>
      </c>
      <c r="L973" s="6">
        <f t="shared" si="45"/>
        <v>339647</v>
      </c>
      <c r="M973" s="6">
        <v>145563</v>
      </c>
      <c r="N973" s="5" t="str">
        <f t="shared" si="46"/>
        <v>Jun</v>
      </c>
      <c r="O973" s="5" t="str">
        <f t="shared" si="47"/>
        <v xml:space="preserve"> 2024</v>
      </c>
    </row>
    <row r="974" spans="1:15" x14ac:dyDescent="0.35">
      <c r="A974" t="s">
        <v>1590</v>
      </c>
      <c r="B974" s="5" t="s">
        <v>572</v>
      </c>
      <c r="C974" s="4" t="s">
        <v>13</v>
      </c>
      <c r="D974" s="4" t="s">
        <v>125</v>
      </c>
      <c r="E974" s="4" t="s">
        <v>126</v>
      </c>
      <c r="F974" s="4" t="s">
        <v>16</v>
      </c>
      <c r="G974" s="4" t="s">
        <v>42</v>
      </c>
      <c r="H974" s="4" t="s">
        <v>72</v>
      </c>
      <c r="I974" s="4" t="s">
        <v>60</v>
      </c>
      <c r="J974" s="3">
        <v>3</v>
      </c>
      <c r="K974" s="6">
        <v>120975</v>
      </c>
      <c r="L974" s="6">
        <f t="shared" si="45"/>
        <v>84682.5</v>
      </c>
      <c r="M974" s="6">
        <v>36292.5</v>
      </c>
      <c r="N974" s="5" t="str">
        <f t="shared" si="46"/>
        <v>Oct</v>
      </c>
      <c r="O974" s="5" t="str">
        <f t="shared" si="47"/>
        <v xml:space="preserve"> 2024</v>
      </c>
    </row>
    <row r="975" spans="1:15" x14ac:dyDescent="0.35">
      <c r="A975" t="s">
        <v>1591</v>
      </c>
      <c r="B975" s="5" t="s">
        <v>201</v>
      </c>
      <c r="C975" s="4" t="s">
        <v>55</v>
      </c>
      <c r="D975" s="4" t="s">
        <v>56</v>
      </c>
      <c r="E975" s="4" t="s">
        <v>57</v>
      </c>
      <c r="F975" s="4" t="s">
        <v>67</v>
      </c>
      <c r="G975" s="4" t="s">
        <v>180</v>
      </c>
      <c r="H975" s="4" t="s">
        <v>72</v>
      </c>
      <c r="I975" s="4" t="s">
        <v>28</v>
      </c>
      <c r="J975" s="3">
        <v>6</v>
      </c>
      <c r="K975" s="6">
        <v>183084</v>
      </c>
      <c r="L975" s="6">
        <f t="shared" si="45"/>
        <v>128158.79999999999</v>
      </c>
      <c r="M975" s="6">
        <v>54925.200000000012</v>
      </c>
      <c r="N975" s="5" t="str">
        <f t="shared" si="46"/>
        <v>Nov</v>
      </c>
      <c r="O975" s="5" t="str">
        <f t="shared" si="47"/>
        <v xml:space="preserve"> 2023</v>
      </c>
    </row>
    <row r="976" spans="1:15" x14ac:dyDescent="0.35">
      <c r="A976" t="s">
        <v>1592</v>
      </c>
      <c r="B976" s="5" t="s">
        <v>1593</v>
      </c>
      <c r="C976" s="4" t="s">
        <v>31</v>
      </c>
      <c r="D976" s="4" t="s">
        <v>45</v>
      </c>
      <c r="E976" s="4" t="s">
        <v>46</v>
      </c>
      <c r="F976" s="4" t="s">
        <v>37</v>
      </c>
      <c r="G976" s="4" t="s">
        <v>183</v>
      </c>
      <c r="H976" s="4" t="s">
        <v>18</v>
      </c>
      <c r="I976" s="4" t="s">
        <v>19</v>
      </c>
      <c r="J976" s="3">
        <v>7</v>
      </c>
      <c r="K976" s="6">
        <v>185486</v>
      </c>
      <c r="L976" s="6">
        <f t="shared" si="45"/>
        <v>129840.2</v>
      </c>
      <c r="M976" s="6">
        <v>55645.8</v>
      </c>
      <c r="N976" s="5" t="str">
        <f t="shared" si="46"/>
        <v>Dec</v>
      </c>
      <c r="O976" s="5" t="str">
        <f t="shared" si="47"/>
        <v xml:space="preserve"> 2023</v>
      </c>
    </row>
    <row r="977" spans="1:15" x14ac:dyDescent="0.35">
      <c r="A977" t="s">
        <v>1594</v>
      </c>
      <c r="B977" s="5" t="s">
        <v>928</v>
      </c>
      <c r="C977" s="4" t="s">
        <v>22</v>
      </c>
      <c r="D977" s="4" t="s">
        <v>90</v>
      </c>
      <c r="E977" s="4" t="s">
        <v>110</v>
      </c>
      <c r="F977" s="4" t="s">
        <v>25</v>
      </c>
      <c r="G977" s="4" t="s">
        <v>26</v>
      </c>
      <c r="H977" s="4" t="s">
        <v>72</v>
      </c>
      <c r="I977" s="4" t="s">
        <v>39</v>
      </c>
      <c r="J977" s="3">
        <v>8</v>
      </c>
      <c r="K977" s="6">
        <v>384256</v>
      </c>
      <c r="L977" s="6">
        <f t="shared" si="45"/>
        <v>268979.20000000001</v>
      </c>
      <c r="M977" s="6">
        <v>115276.79999999999</v>
      </c>
      <c r="N977" s="5" t="str">
        <f t="shared" si="46"/>
        <v>Sep</v>
      </c>
      <c r="O977" s="5" t="str">
        <f t="shared" si="47"/>
        <v xml:space="preserve"> 2024</v>
      </c>
    </row>
    <row r="978" spans="1:15" x14ac:dyDescent="0.35">
      <c r="A978" t="s">
        <v>1595</v>
      </c>
      <c r="B978" s="5" t="s">
        <v>1596</v>
      </c>
      <c r="C978" s="4" t="s">
        <v>22</v>
      </c>
      <c r="D978" s="4" t="s">
        <v>23</v>
      </c>
      <c r="E978" s="4" t="s">
        <v>24</v>
      </c>
      <c r="F978" s="4" t="s">
        <v>16</v>
      </c>
      <c r="G978" s="4" t="s">
        <v>122</v>
      </c>
      <c r="H978" s="4" t="s">
        <v>27</v>
      </c>
      <c r="I978" s="4" t="s">
        <v>19</v>
      </c>
      <c r="J978" s="3">
        <v>1</v>
      </c>
      <c r="K978" s="6">
        <v>2499</v>
      </c>
      <c r="L978" s="6">
        <f t="shared" si="45"/>
        <v>1749.3</v>
      </c>
      <c r="M978" s="6">
        <v>749.7</v>
      </c>
      <c r="N978" s="5" t="str">
        <f t="shared" si="46"/>
        <v>Mar</v>
      </c>
      <c r="O978" s="5" t="str">
        <f t="shared" si="47"/>
        <v xml:space="preserve"> 2024</v>
      </c>
    </row>
    <row r="979" spans="1:15" x14ac:dyDescent="0.35">
      <c r="A979" t="s">
        <v>1597</v>
      </c>
      <c r="B979" s="5" t="s">
        <v>1393</v>
      </c>
      <c r="C979" s="4" t="s">
        <v>31</v>
      </c>
      <c r="D979" s="4" t="s">
        <v>104</v>
      </c>
      <c r="E979" s="4" t="s">
        <v>105</v>
      </c>
      <c r="F979" s="4" t="s">
        <v>25</v>
      </c>
      <c r="G979" s="4" t="s">
        <v>71</v>
      </c>
      <c r="H979" s="4" t="s">
        <v>27</v>
      </c>
      <c r="I979" s="4" t="s">
        <v>60</v>
      </c>
      <c r="J979" s="3">
        <v>1</v>
      </c>
      <c r="K979" s="6">
        <v>28839</v>
      </c>
      <c r="L979" s="6">
        <f t="shared" si="45"/>
        <v>20187.3</v>
      </c>
      <c r="M979" s="6">
        <v>8651.7000000000007</v>
      </c>
      <c r="N979" s="5" t="str">
        <f t="shared" si="46"/>
        <v>Mar</v>
      </c>
      <c r="O979" s="5" t="str">
        <f t="shared" si="47"/>
        <v xml:space="preserve"> 2024</v>
      </c>
    </row>
    <row r="980" spans="1:15" x14ac:dyDescent="0.35">
      <c r="A980" t="s">
        <v>1598</v>
      </c>
      <c r="B980" s="5" t="s">
        <v>1139</v>
      </c>
      <c r="C980" s="4" t="s">
        <v>22</v>
      </c>
      <c r="D980" s="4" t="s">
        <v>23</v>
      </c>
      <c r="E980" s="4" t="s">
        <v>24</v>
      </c>
      <c r="F980" s="4" t="s">
        <v>67</v>
      </c>
      <c r="G980" s="4" t="s">
        <v>113</v>
      </c>
      <c r="H980" s="4" t="s">
        <v>27</v>
      </c>
      <c r="I980" s="4" t="s">
        <v>28</v>
      </c>
      <c r="J980" s="3">
        <v>7</v>
      </c>
      <c r="K980" s="6">
        <v>208376</v>
      </c>
      <c r="L980" s="6">
        <f t="shared" si="45"/>
        <v>145863.19999999998</v>
      </c>
      <c r="M980" s="6">
        <v>62512.800000000017</v>
      </c>
      <c r="N980" s="5" t="str">
        <f t="shared" si="46"/>
        <v>Mar</v>
      </c>
      <c r="O980" s="5" t="str">
        <f t="shared" si="47"/>
        <v xml:space="preserve"> 2023</v>
      </c>
    </row>
    <row r="981" spans="1:15" x14ac:dyDescent="0.35">
      <c r="A981" t="s">
        <v>1599</v>
      </c>
      <c r="B981" s="5" t="s">
        <v>1465</v>
      </c>
      <c r="C981" s="4" t="s">
        <v>13</v>
      </c>
      <c r="D981" s="4" t="s">
        <v>162</v>
      </c>
      <c r="E981" s="4" t="s">
        <v>163</v>
      </c>
      <c r="F981" s="4" t="s">
        <v>25</v>
      </c>
      <c r="G981" s="4" t="s">
        <v>77</v>
      </c>
      <c r="H981" s="4" t="s">
        <v>27</v>
      </c>
      <c r="I981" s="4" t="s">
        <v>47</v>
      </c>
      <c r="J981" s="3">
        <v>10</v>
      </c>
      <c r="K981" s="6">
        <v>321910</v>
      </c>
      <c r="L981" s="6">
        <f t="shared" si="45"/>
        <v>225337</v>
      </c>
      <c r="M981" s="6">
        <v>96573</v>
      </c>
      <c r="N981" s="5" t="str">
        <f t="shared" si="46"/>
        <v>Aug</v>
      </c>
      <c r="O981" s="5" t="str">
        <f t="shared" si="47"/>
        <v xml:space="preserve"> 2023</v>
      </c>
    </row>
    <row r="982" spans="1:15" x14ac:dyDescent="0.35">
      <c r="A982" t="s">
        <v>1600</v>
      </c>
      <c r="B982" s="5" t="s">
        <v>1215</v>
      </c>
      <c r="C982" s="4" t="s">
        <v>13</v>
      </c>
      <c r="D982" s="4" t="s">
        <v>14</v>
      </c>
      <c r="E982" s="4" t="s">
        <v>15</v>
      </c>
      <c r="F982" s="4" t="s">
        <v>37</v>
      </c>
      <c r="G982" s="4" t="s">
        <v>183</v>
      </c>
      <c r="H982" s="4" t="s">
        <v>27</v>
      </c>
      <c r="I982" s="4" t="s">
        <v>39</v>
      </c>
      <c r="J982" s="3">
        <v>8</v>
      </c>
      <c r="K982" s="6">
        <v>346168</v>
      </c>
      <c r="L982" s="6">
        <f t="shared" si="45"/>
        <v>242317.59999999998</v>
      </c>
      <c r="M982" s="6">
        <v>103850.40000000002</v>
      </c>
      <c r="N982" s="5" t="str">
        <f t="shared" si="46"/>
        <v>Jan</v>
      </c>
      <c r="O982" s="5" t="str">
        <f t="shared" si="47"/>
        <v xml:space="preserve"> 2023</v>
      </c>
    </row>
    <row r="983" spans="1:15" x14ac:dyDescent="0.35">
      <c r="A983" t="s">
        <v>1601</v>
      </c>
      <c r="B983" s="5" t="s">
        <v>21</v>
      </c>
      <c r="C983" s="4" t="s">
        <v>31</v>
      </c>
      <c r="D983" s="4" t="s">
        <v>104</v>
      </c>
      <c r="E983" s="4" t="s">
        <v>105</v>
      </c>
      <c r="F983" s="4" t="s">
        <v>37</v>
      </c>
      <c r="G983" s="4" t="s">
        <v>38</v>
      </c>
      <c r="H983" s="4" t="s">
        <v>72</v>
      </c>
      <c r="I983" s="4" t="s">
        <v>60</v>
      </c>
      <c r="J983" s="3">
        <v>4</v>
      </c>
      <c r="K983" s="6">
        <v>21244</v>
      </c>
      <c r="L983" s="6">
        <f t="shared" si="45"/>
        <v>14870.8</v>
      </c>
      <c r="M983" s="6">
        <v>6373.2000000000007</v>
      </c>
      <c r="N983" s="5" t="str">
        <f t="shared" si="46"/>
        <v>Feb</v>
      </c>
      <c r="O983" s="5" t="str">
        <f t="shared" si="47"/>
        <v xml:space="preserve"> 2024</v>
      </c>
    </row>
    <row r="984" spans="1:15" x14ac:dyDescent="0.35">
      <c r="A984" t="s">
        <v>1602</v>
      </c>
      <c r="B984" s="5" t="s">
        <v>619</v>
      </c>
      <c r="C984" s="4" t="s">
        <v>31</v>
      </c>
      <c r="D984" s="4" t="s">
        <v>32</v>
      </c>
      <c r="E984" s="4" t="s">
        <v>33</v>
      </c>
      <c r="F984" s="4" t="s">
        <v>67</v>
      </c>
      <c r="G984" s="4" t="s">
        <v>113</v>
      </c>
      <c r="H984" s="4" t="s">
        <v>27</v>
      </c>
      <c r="I984" s="4" t="s">
        <v>39</v>
      </c>
      <c r="J984" s="3">
        <v>9</v>
      </c>
      <c r="K984" s="6">
        <v>25065</v>
      </c>
      <c r="L984" s="6">
        <f t="shared" si="45"/>
        <v>17545.5</v>
      </c>
      <c r="M984" s="6">
        <v>7519.5</v>
      </c>
      <c r="N984" s="5" t="str">
        <f t="shared" si="46"/>
        <v>Jul</v>
      </c>
      <c r="O984" s="5" t="str">
        <f t="shared" si="47"/>
        <v xml:space="preserve"> 2024</v>
      </c>
    </row>
    <row r="985" spans="1:15" x14ac:dyDescent="0.35">
      <c r="A985" t="s">
        <v>1603</v>
      </c>
      <c r="B985" s="5" t="s">
        <v>746</v>
      </c>
      <c r="C985" s="4" t="s">
        <v>31</v>
      </c>
      <c r="D985" s="4" t="s">
        <v>104</v>
      </c>
      <c r="E985" s="4" t="s">
        <v>105</v>
      </c>
      <c r="F985" s="4" t="s">
        <v>37</v>
      </c>
      <c r="G985" s="4" t="s">
        <v>186</v>
      </c>
      <c r="H985" s="4" t="s">
        <v>72</v>
      </c>
      <c r="I985" s="4" t="s">
        <v>19</v>
      </c>
      <c r="J985" s="3">
        <v>7</v>
      </c>
      <c r="K985" s="6">
        <v>86170</v>
      </c>
      <c r="L985" s="6">
        <f t="shared" si="45"/>
        <v>60318.999999999993</v>
      </c>
      <c r="M985" s="6">
        <v>25851.000000000007</v>
      </c>
      <c r="N985" s="5" t="str">
        <f t="shared" si="46"/>
        <v>May</v>
      </c>
      <c r="O985" s="5" t="str">
        <f t="shared" si="47"/>
        <v xml:space="preserve"> 2024</v>
      </c>
    </row>
    <row r="986" spans="1:15" x14ac:dyDescent="0.35">
      <c r="A986" t="s">
        <v>1604</v>
      </c>
      <c r="B986" s="5" t="s">
        <v>1605</v>
      </c>
      <c r="C986" s="4" t="s">
        <v>22</v>
      </c>
      <c r="D986" s="4" t="s">
        <v>86</v>
      </c>
      <c r="E986" s="4" t="s">
        <v>87</v>
      </c>
      <c r="F986" s="4" t="s">
        <v>16</v>
      </c>
      <c r="G986" s="4" t="s">
        <v>17</v>
      </c>
      <c r="H986" s="4" t="s">
        <v>27</v>
      </c>
      <c r="I986" s="4" t="s">
        <v>47</v>
      </c>
      <c r="J986" s="3">
        <v>5</v>
      </c>
      <c r="K986" s="6">
        <v>150430</v>
      </c>
      <c r="L986" s="6">
        <f t="shared" si="45"/>
        <v>105301</v>
      </c>
      <c r="M986" s="6">
        <v>45129</v>
      </c>
      <c r="N986" s="5" t="str">
        <f t="shared" si="46"/>
        <v>Aug</v>
      </c>
      <c r="O986" s="5" t="str">
        <f t="shared" si="47"/>
        <v xml:space="preserve"> 2023</v>
      </c>
    </row>
    <row r="987" spans="1:15" x14ac:dyDescent="0.35">
      <c r="A987" t="s">
        <v>1606</v>
      </c>
      <c r="B987" s="5" t="s">
        <v>156</v>
      </c>
      <c r="C987" s="4" t="s">
        <v>22</v>
      </c>
      <c r="D987" s="4" t="s">
        <v>90</v>
      </c>
      <c r="E987" s="4" t="s">
        <v>91</v>
      </c>
      <c r="F987" s="4" t="s">
        <v>16</v>
      </c>
      <c r="G987" s="4" t="s">
        <v>17</v>
      </c>
      <c r="H987" s="4" t="s">
        <v>27</v>
      </c>
      <c r="I987" s="4" t="s">
        <v>47</v>
      </c>
      <c r="J987" s="3">
        <v>10</v>
      </c>
      <c r="K987" s="6">
        <v>208120</v>
      </c>
      <c r="L987" s="6">
        <f t="shared" si="45"/>
        <v>145684</v>
      </c>
      <c r="M987" s="6">
        <v>62436</v>
      </c>
      <c r="N987" s="5" t="str">
        <f t="shared" si="46"/>
        <v>Feb</v>
      </c>
      <c r="O987" s="5" t="str">
        <f t="shared" si="47"/>
        <v xml:space="preserve"> 2024</v>
      </c>
    </row>
    <row r="988" spans="1:15" x14ac:dyDescent="0.35">
      <c r="A988" t="s">
        <v>1607</v>
      </c>
      <c r="B988" s="5" t="s">
        <v>686</v>
      </c>
      <c r="C988" s="4" t="s">
        <v>13</v>
      </c>
      <c r="D988" s="4" t="s">
        <v>118</v>
      </c>
      <c r="E988" s="4" t="s">
        <v>119</v>
      </c>
      <c r="F988" s="4" t="s">
        <v>37</v>
      </c>
      <c r="G988" s="4" t="s">
        <v>148</v>
      </c>
      <c r="H988" s="4" t="s">
        <v>72</v>
      </c>
      <c r="I988" s="4" t="s">
        <v>28</v>
      </c>
      <c r="J988" s="3">
        <v>7</v>
      </c>
      <c r="K988" s="6">
        <v>7126</v>
      </c>
      <c r="L988" s="6">
        <f t="shared" si="45"/>
        <v>4988.2</v>
      </c>
      <c r="M988" s="6">
        <v>2137.8000000000002</v>
      </c>
      <c r="N988" s="5" t="str">
        <f t="shared" si="46"/>
        <v>Apr</v>
      </c>
      <c r="O988" s="5" t="str">
        <f t="shared" si="47"/>
        <v xml:space="preserve"> 2024</v>
      </c>
    </row>
    <row r="989" spans="1:15" x14ac:dyDescent="0.35">
      <c r="A989" t="s">
        <v>1608</v>
      </c>
      <c r="B989" s="5" t="s">
        <v>837</v>
      </c>
      <c r="C989" s="4" t="s">
        <v>31</v>
      </c>
      <c r="D989" s="4" t="s">
        <v>104</v>
      </c>
      <c r="E989" s="4" t="s">
        <v>105</v>
      </c>
      <c r="F989" s="4" t="s">
        <v>67</v>
      </c>
      <c r="G989" s="4" t="s">
        <v>134</v>
      </c>
      <c r="H989" s="4" t="s">
        <v>72</v>
      </c>
      <c r="I989" s="4" t="s">
        <v>60</v>
      </c>
      <c r="J989" s="3">
        <v>7</v>
      </c>
      <c r="K989" s="6">
        <v>218946</v>
      </c>
      <c r="L989" s="6">
        <f t="shared" si="45"/>
        <v>153262.19999999998</v>
      </c>
      <c r="M989" s="6">
        <v>65683.800000000017</v>
      </c>
      <c r="N989" s="5" t="str">
        <f t="shared" si="46"/>
        <v>Oct</v>
      </c>
      <c r="O989" s="5" t="str">
        <f t="shared" si="47"/>
        <v xml:space="preserve"> 2023</v>
      </c>
    </row>
    <row r="990" spans="1:15" x14ac:dyDescent="0.35">
      <c r="A990" t="s">
        <v>1609</v>
      </c>
      <c r="B990" s="5" t="s">
        <v>1315</v>
      </c>
      <c r="C990" s="4" t="s">
        <v>55</v>
      </c>
      <c r="D990" s="4" t="s">
        <v>98</v>
      </c>
      <c r="E990" s="4" t="s">
        <v>99</v>
      </c>
      <c r="F990" s="4" t="s">
        <v>25</v>
      </c>
      <c r="G990" s="4" t="s">
        <v>52</v>
      </c>
      <c r="H990" s="4" t="s">
        <v>18</v>
      </c>
      <c r="I990" s="4" t="s">
        <v>47</v>
      </c>
      <c r="J990" s="3">
        <v>1</v>
      </c>
      <c r="K990" s="6">
        <v>40695</v>
      </c>
      <c r="L990" s="6">
        <f t="shared" si="45"/>
        <v>28486.5</v>
      </c>
      <c r="M990" s="6">
        <v>12208.5</v>
      </c>
      <c r="N990" s="5" t="str">
        <f t="shared" si="46"/>
        <v>May</v>
      </c>
      <c r="O990" s="5" t="str">
        <f t="shared" si="47"/>
        <v xml:space="preserve"> 2024</v>
      </c>
    </row>
    <row r="991" spans="1:15" x14ac:dyDescent="0.35">
      <c r="A991" t="s">
        <v>1610</v>
      </c>
      <c r="B991" s="5" t="s">
        <v>979</v>
      </c>
      <c r="C991" s="4" t="s">
        <v>22</v>
      </c>
      <c r="D991" s="4" t="s">
        <v>90</v>
      </c>
      <c r="E991" s="4" t="s">
        <v>91</v>
      </c>
      <c r="F991" s="4" t="s">
        <v>25</v>
      </c>
      <c r="G991" s="4" t="s">
        <v>52</v>
      </c>
      <c r="H991" s="4" t="s">
        <v>18</v>
      </c>
      <c r="I991" s="4" t="s">
        <v>28</v>
      </c>
      <c r="J991" s="3">
        <v>6</v>
      </c>
      <c r="K991" s="6">
        <v>118632</v>
      </c>
      <c r="L991" s="6">
        <f t="shared" si="45"/>
        <v>83042.399999999994</v>
      </c>
      <c r="M991" s="6">
        <v>35589.600000000006</v>
      </c>
      <c r="N991" s="5" t="str">
        <f t="shared" si="46"/>
        <v>Jan</v>
      </c>
      <c r="O991" s="5" t="str">
        <f t="shared" si="47"/>
        <v xml:space="preserve"> 2024</v>
      </c>
    </row>
    <row r="992" spans="1:15" x14ac:dyDescent="0.35">
      <c r="A992" t="s">
        <v>1611</v>
      </c>
      <c r="B992" s="5" t="s">
        <v>586</v>
      </c>
      <c r="C992" s="4" t="s">
        <v>55</v>
      </c>
      <c r="D992" s="4" t="s">
        <v>56</v>
      </c>
      <c r="E992" s="4" t="s">
        <v>57</v>
      </c>
      <c r="F992" s="4" t="s">
        <v>25</v>
      </c>
      <c r="G992" s="4" t="s">
        <v>52</v>
      </c>
      <c r="H992" s="4" t="s">
        <v>72</v>
      </c>
      <c r="I992" s="4" t="s">
        <v>39</v>
      </c>
      <c r="J992" s="3">
        <v>10</v>
      </c>
      <c r="K992" s="6">
        <v>280280</v>
      </c>
      <c r="L992" s="6">
        <f t="shared" si="45"/>
        <v>196196</v>
      </c>
      <c r="M992" s="6">
        <v>84084</v>
      </c>
      <c r="N992" s="5" t="str">
        <f t="shared" si="46"/>
        <v>Sep</v>
      </c>
      <c r="O992" s="5" t="str">
        <f t="shared" si="47"/>
        <v xml:space="preserve"> 2023</v>
      </c>
    </row>
    <row r="993" spans="1:15" x14ac:dyDescent="0.35">
      <c r="A993" t="s">
        <v>1612</v>
      </c>
      <c r="B993" s="5" t="s">
        <v>427</v>
      </c>
      <c r="C993" s="4" t="s">
        <v>55</v>
      </c>
      <c r="D993" s="4" t="s">
        <v>98</v>
      </c>
      <c r="E993" s="4" t="s">
        <v>99</v>
      </c>
      <c r="F993" s="4" t="s">
        <v>37</v>
      </c>
      <c r="G993" s="4" t="s">
        <v>148</v>
      </c>
      <c r="H993" s="4" t="s">
        <v>27</v>
      </c>
      <c r="I993" s="4" t="s">
        <v>60</v>
      </c>
      <c r="J993" s="3">
        <v>5</v>
      </c>
      <c r="K993" s="6">
        <v>117220</v>
      </c>
      <c r="L993" s="6">
        <f t="shared" si="45"/>
        <v>82054</v>
      </c>
      <c r="M993" s="6">
        <v>35166</v>
      </c>
      <c r="N993" s="5" t="str">
        <f t="shared" si="46"/>
        <v>Apr</v>
      </c>
      <c r="O993" s="5" t="str">
        <f t="shared" si="47"/>
        <v xml:space="preserve"> 2023</v>
      </c>
    </row>
    <row r="994" spans="1:15" x14ac:dyDescent="0.35">
      <c r="A994" t="s">
        <v>1613</v>
      </c>
      <c r="B994" s="5" t="s">
        <v>1130</v>
      </c>
      <c r="C994" s="4" t="s">
        <v>31</v>
      </c>
      <c r="D994" s="4" t="s">
        <v>45</v>
      </c>
      <c r="E994" s="4" t="s">
        <v>46</v>
      </c>
      <c r="F994" s="4" t="s">
        <v>25</v>
      </c>
      <c r="G994" s="4" t="s">
        <v>71</v>
      </c>
      <c r="H994" s="4" t="s">
        <v>27</v>
      </c>
      <c r="I994" s="4" t="s">
        <v>28</v>
      </c>
      <c r="J994" s="3">
        <v>5</v>
      </c>
      <c r="K994" s="6">
        <v>110250</v>
      </c>
      <c r="L994" s="6">
        <f t="shared" si="45"/>
        <v>77175</v>
      </c>
      <c r="M994" s="6">
        <v>33075</v>
      </c>
      <c r="N994" s="5" t="str">
        <f t="shared" si="46"/>
        <v>Jun</v>
      </c>
      <c r="O994" s="5" t="str">
        <f t="shared" si="47"/>
        <v xml:space="preserve"> 2023</v>
      </c>
    </row>
    <row r="995" spans="1:15" x14ac:dyDescent="0.35">
      <c r="A995" t="s">
        <v>1614</v>
      </c>
      <c r="B995" s="5" t="s">
        <v>851</v>
      </c>
      <c r="C995" s="4" t="s">
        <v>22</v>
      </c>
      <c r="D995" s="4" t="s">
        <v>90</v>
      </c>
      <c r="E995" s="4" t="s">
        <v>110</v>
      </c>
      <c r="F995" s="4" t="s">
        <v>37</v>
      </c>
      <c r="G995" s="4" t="s">
        <v>186</v>
      </c>
      <c r="H995" s="4" t="s">
        <v>18</v>
      </c>
      <c r="I995" s="4" t="s">
        <v>47</v>
      </c>
      <c r="J995" s="3">
        <v>2</v>
      </c>
      <c r="K995" s="6">
        <v>19878</v>
      </c>
      <c r="L995" s="6">
        <f t="shared" si="45"/>
        <v>13914.599999999999</v>
      </c>
      <c r="M995" s="6">
        <v>5963.4000000000015</v>
      </c>
      <c r="N995" s="5" t="str">
        <f t="shared" si="46"/>
        <v>Jun</v>
      </c>
      <c r="O995" s="5" t="str">
        <f t="shared" si="47"/>
        <v xml:space="preserve"> 2023</v>
      </c>
    </row>
    <row r="996" spans="1:15" x14ac:dyDescent="0.35">
      <c r="A996" t="s">
        <v>1615</v>
      </c>
      <c r="B996" s="5" t="s">
        <v>372</v>
      </c>
      <c r="C996" s="4" t="s">
        <v>22</v>
      </c>
      <c r="D996" s="4" t="s">
        <v>86</v>
      </c>
      <c r="E996" s="4" t="s">
        <v>87</v>
      </c>
      <c r="F996" s="4" t="s">
        <v>25</v>
      </c>
      <c r="G996" s="4" t="s">
        <v>52</v>
      </c>
      <c r="H996" s="4" t="s">
        <v>18</v>
      </c>
      <c r="I996" s="4" t="s">
        <v>39</v>
      </c>
      <c r="J996" s="3">
        <v>9</v>
      </c>
      <c r="K996" s="6">
        <v>151299</v>
      </c>
      <c r="L996" s="6">
        <f t="shared" si="45"/>
        <v>105909.29999999999</v>
      </c>
      <c r="M996" s="6">
        <v>45389.700000000012</v>
      </c>
      <c r="N996" s="5" t="str">
        <f t="shared" si="46"/>
        <v>Oct</v>
      </c>
      <c r="O996" s="5" t="str">
        <f t="shared" si="47"/>
        <v xml:space="preserve"> 2024</v>
      </c>
    </row>
    <row r="997" spans="1:15" x14ac:dyDescent="0.35">
      <c r="A997" t="s">
        <v>1616</v>
      </c>
      <c r="B997" s="5" t="s">
        <v>921</v>
      </c>
      <c r="C997" s="4" t="s">
        <v>55</v>
      </c>
      <c r="D997" s="4" t="s">
        <v>98</v>
      </c>
      <c r="E997" s="4" t="s">
        <v>99</v>
      </c>
      <c r="F997" s="4" t="s">
        <v>25</v>
      </c>
      <c r="G997" s="4" t="s">
        <v>71</v>
      </c>
      <c r="H997" s="4" t="s">
        <v>72</v>
      </c>
      <c r="I997" s="4" t="s">
        <v>19</v>
      </c>
      <c r="J997" s="3">
        <v>10</v>
      </c>
      <c r="K997" s="6">
        <v>137330</v>
      </c>
      <c r="L997" s="6">
        <f t="shared" si="45"/>
        <v>96131</v>
      </c>
      <c r="M997" s="6">
        <v>41199</v>
      </c>
      <c r="N997" s="5" t="str">
        <f t="shared" si="46"/>
        <v>Aug</v>
      </c>
      <c r="O997" s="5" t="str">
        <f t="shared" si="47"/>
        <v xml:space="preserve"> 2024</v>
      </c>
    </row>
    <row r="998" spans="1:15" x14ac:dyDescent="0.35">
      <c r="A998" t="s">
        <v>1617</v>
      </c>
      <c r="B998" s="5" t="s">
        <v>1618</v>
      </c>
      <c r="C998" s="4" t="s">
        <v>31</v>
      </c>
      <c r="D998" s="4" t="s">
        <v>104</v>
      </c>
      <c r="E998" s="4" t="s">
        <v>105</v>
      </c>
      <c r="F998" s="4" t="s">
        <v>25</v>
      </c>
      <c r="G998" s="4" t="s">
        <v>77</v>
      </c>
      <c r="H998" s="4" t="s">
        <v>18</v>
      </c>
      <c r="I998" s="4" t="s">
        <v>39</v>
      </c>
      <c r="J998" s="3">
        <v>3</v>
      </c>
      <c r="K998" s="6">
        <v>37161</v>
      </c>
      <c r="L998" s="6">
        <f t="shared" si="45"/>
        <v>26012.699999999997</v>
      </c>
      <c r="M998" s="6">
        <v>11148.300000000003</v>
      </c>
      <c r="N998" s="5" t="str">
        <f t="shared" si="46"/>
        <v>Apr</v>
      </c>
      <c r="O998" s="5" t="str">
        <f t="shared" si="47"/>
        <v xml:space="preserve"> 2024</v>
      </c>
    </row>
    <row r="999" spans="1:15" x14ac:dyDescent="0.35">
      <c r="A999" t="s">
        <v>1619</v>
      </c>
      <c r="B999" s="5" t="s">
        <v>1014</v>
      </c>
      <c r="C999" s="4" t="s">
        <v>55</v>
      </c>
      <c r="D999" s="4" t="s">
        <v>63</v>
      </c>
      <c r="E999" s="4" t="s">
        <v>64</v>
      </c>
      <c r="F999" s="4" t="s">
        <v>37</v>
      </c>
      <c r="G999" s="4" t="s">
        <v>148</v>
      </c>
      <c r="H999" s="4" t="s">
        <v>18</v>
      </c>
      <c r="I999" s="4" t="s">
        <v>28</v>
      </c>
      <c r="J999" s="3">
        <v>7</v>
      </c>
      <c r="K999" s="6">
        <v>310639</v>
      </c>
      <c r="L999" s="6">
        <f t="shared" si="45"/>
        <v>217447.3</v>
      </c>
      <c r="M999" s="6">
        <v>93191.700000000012</v>
      </c>
      <c r="N999" s="5" t="str">
        <f t="shared" si="46"/>
        <v>Aug</v>
      </c>
      <c r="O999" s="5" t="str">
        <f t="shared" si="47"/>
        <v xml:space="preserve"> 2024</v>
      </c>
    </row>
    <row r="1000" spans="1:15" x14ac:dyDescent="0.35">
      <c r="A1000" t="s">
        <v>1620</v>
      </c>
      <c r="B1000" s="5" t="s">
        <v>199</v>
      </c>
      <c r="C1000" s="4" t="s">
        <v>22</v>
      </c>
      <c r="D1000" s="4" t="s">
        <v>90</v>
      </c>
      <c r="E1000" s="4" t="s">
        <v>91</v>
      </c>
      <c r="F1000" s="4" t="s">
        <v>37</v>
      </c>
      <c r="G1000" s="4" t="s">
        <v>186</v>
      </c>
      <c r="H1000" s="4" t="s">
        <v>27</v>
      </c>
      <c r="I1000" s="4" t="s">
        <v>28</v>
      </c>
      <c r="J1000" s="3">
        <v>8</v>
      </c>
      <c r="K1000" s="6">
        <v>181912</v>
      </c>
      <c r="L1000" s="6">
        <f t="shared" si="45"/>
        <v>127338.4</v>
      </c>
      <c r="M1000" s="6">
        <v>54573.600000000006</v>
      </c>
      <c r="N1000" s="5" t="str">
        <f t="shared" si="46"/>
        <v>Jul</v>
      </c>
      <c r="O1000" s="5" t="str">
        <f t="shared" si="47"/>
        <v xml:space="preserve"> 2023</v>
      </c>
    </row>
    <row r="1001" spans="1:15" x14ac:dyDescent="0.35">
      <c r="A1001" t="s">
        <v>1621</v>
      </c>
      <c r="B1001" s="5" t="s">
        <v>1622</v>
      </c>
      <c r="C1001" s="4" t="s">
        <v>22</v>
      </c>
      <c r="D1001" s="4" t="s">
        <v>86</v>
      </c>
      <c r="E1001" s="4" t="s">
        <v>87</v>
      </c>
      <c r="F1001" s="4" t="s">
        <v>37</v>
      </c>
      <c r="G1001" s="4" t="s">
        <v>186</v>
      </c>
      <c r="H1001" s="4" t="s">
        <v>72</v>
      </c>
      <c r="I1001" s="4" t="s">
        <v>47</v>
      </c>
      <c r="J1001" s="3">
        <v>2</v>
      </c>
      <c r="K1001" s="6">
        <v>27384</v>
      </c>
      <c r="L1001" s="6">
        <f t="shared" si="45"/>
        <v>19168.8</v>
      </c>
      <c r="M1001" s="6">
        <v>8215.2000000000007</v>
      </c>
      <c r="N1001" s="5" t="str">
        <f t="shared" si="46"/>
        <v>Oct</v>
      </c>
      <c r="O1001" s="5" t="str">
        <f t="shared" si="47"/>
        <v xml:space="preserve"> 2024</v>
      </c>
    </row>
    <row r="1002" spans="1:15" x14ac:dyDescent="0.35">
      <c r="A1002" t="s">
        <v>1623</v>
      </c>
      <c r="B1002" s="5" t="s">
        <v>1373</v>
      </c>
      <c r="C1002" s="4" t="s">
        <v>31</v>
      </c>
      <c r="D1002" s="4" t="s">
        <v>104</v>
      </c>
      <c r="E1002" s="4" t="s">
        <v>105</v>
      </c>
      <c r="F1002" s="4" t="s">
        <v>16</v>
      </c>
      <c r="G1002" s="4" t="s">
        <v>17</v>
      </c>
      <c r="H1002" s="4" t="s">
        <v>18</v>
      </c>
      <c r="I1002" s="4" t="s">
        <v>60</v>
      </c>
      <c r="J1002" s="3">
        <v>10</v>
      </c>
      <c r="K1002" s="6">
        <v>260590</v>
      </c>
      <c r="L1002" s="6">
        <f t="shared" si="45"/>
        <v>182413</v>
      </c>
      <c r="M1002" s="6">
        <v>78177</v>
      </c>
      <c r="N1002" s="5" t="str">
        <f t="shared" si="46"/>
        <v>Dec</v>
      </c>
      <c r="O1002" s="5" t="str">
        <f t="shared" si="47"/>
        <v xml:space="preserve"> 2023</v>
      </c>
    </row>
    <row r="1003" spans="1:15" x14ac:dyDescent="0.35">
      <c r="A1003" t="s">
        <v>1624</v>
      </c>
      <c r="B1003" s="5" t="s">
        <v>1625</v>
      </c>
      <c r="C1003" s="4" t="s">
        <v>22</v>
      </c>
      <c r="D1003" s="4" t="s">
        <v>23</v>
      </c>
      <c r="E1003" s="4" t="s">
        <v>24</v>
      </c>
      <c r="F1003" s="4" t="s">
        <v>16</v>
      </c>
      <c r="G1003" s="4" t="s">
        <v>34</v>
      </c>
      <c r="H1003" s="4" t="s">
        <v>72</v>
      </c>
      <c r="I1003" s="4" t="s">
        <v>60</v>
      </c>
      <c r="J1003" s="3">
        <v>2</v>
      </c>
      <c r="K1003" s="6">
        <v>38158</v>
      </c>
      <c r="L1003" s="6">
        <f t="shared" si="45"/>
        <v>26710.6</v>
      </c>
      <c r="M1003" s="6">
        <v>11447.400000000001</v>
      </c>
      <c r="N1003" s="5" t="str">
        <f t="shared" si="46"/>
        <v>Jan</v>
      </c>
      <c r="O1003" s="5" t="str">
        <f t="shared" si="47"/>
        <v xml:space="preserve"> 2024</v>
      </c>
    </row>
    <row r="1004" spans="1:15" x14ac:dyDescent="0.35">
      <c r="A1004" t="s">
        <v>1626</v>
      </c>
      <c r="B1004" s="5" t="s">
        <v>662</v>
      </c>
      <c r="C1004" s="4" t="s">
        <v>13</v>
      </c>
      <c r="D1004" s="4" t="s">
        <v>125</v>
      </c>
      <c r="E1004" s="4" t="s">
        <v>126</v>
      </c>
      <c r="F1004" s="4" t="s">
        <v>37</v>
      </c>
      <c r="G1004" s="4" t="s">
        <v>183</v>
      </c>
      <c r="H1004" s="4" t="s">
        <v>72</v>
      </c>
      <c r="I1004" s="4" t="s">
        <v>19</v>
      </c>
      <c r="J1004" s="3">
        <v>8</v>
      </c>
      <c r="K1004" s="6">
        <v>114352</v>
      </c>
      <c r="L1004" s="6">
        <f t="shared" si="45"/>
        <v>80046.399999999994</v>
      </c>
      <c r="M1004" s="6">
        <v>34305.600000000006</v>
      </c>
      <c r="N1004" s="5" t="str">
        <f t="shared" si="46"/>
        <v>Sep</v>
      </c>
      <c r="O1004" s="5" t="str">
        <f t="shared" si="47"/>
        <v xml:space="preserve"> 2024</v>
      </c>
    </row>
    <row r="1005" spans="1:15" x14ac:dyDescent="0.35">
      <c r="A1005" t="s">
        <v>1627</v>
      </c>
      <c r="B1005" s="5" t="s">
        <v>902</v>
      </c>
      <c r="C1005" s="4" t="s">
        <v>31</v>
      </c>
      <c r="D1005" s="4" t="s">
        <v>32</v>
      </c>
      <c r="E1005" s="4" t="s">
        <v>33</v>
      </c>
      <c r="F1005" s="4" t="s">
        <v>67</v>
      </c>
      <c r="G1005" s="4" t="s">
        <v>68</v>
      </c>
      <c r="H1005" s="4" t="s">
        <v>27</v>
      </c>
      <c r="I1005" s="4" t="s">
        <v>60</v>
      </c>
      <c r="J1005" s="3">
        <v>2</v>
      </c>
      <c r="K1005" s="6">
        <v>58208</v>
      </c>
      <c r="L1005" s="6">
        <f t="shared" si="45"/>
        <v>40745.599999999999</v>
      </c>
      <c r="M1005" s="6">
        <v>17462.400000000001</v>
      </c>
      <c r="N1005" s="5" t="str">
        <f t="shared" si="46"/>
        <v>Mar</v>
      </c>
      <c r="O1005" s="5" t="str">
        <f t="shared" si="47"/>
        <v xml:space="preserve"> 2023</v>
      </c>
    </row>
    <row r="1006" spans="1:15" x14ac:dyDescent="0.35">
      <c r="A1006" t="s">
        <v>1628</v>
      </c>
      <c r="B1006" s="5" t="s">
        <v>1565</v>
      </c>
      <c r="C1006" s="4" t="s">
        <v>31</v>
      </c>
      <c r="D1006" s="4" t="s">
        <v>50</v>
      </c>
      <c r="E1006" s="4" t="s">
        <v>51</v>
      </c>
      <c r="F1006" s="4" t="s">
        <v>67</v>
      </c>
      <c r="G1006" s="4" t="s">
        <v>134</v>
      </c>
      <c r="H1006" s="4" t="s">
        <v>18</v>
      </c>
      <c r="I1006" s="4" t="s">
        <v>28</v>
      </c>
      <c r="J1006" s="3">
        <v>6</v>
      </c>
      <c r="K1006" s="6">
        <v>40392</v>
      </c>
      <c r="L1006" s="6">
        <f t="shared" si="45"/>
        <v>28274.399999999998</v>
      </c>
      <c r="M1006" s="6">
        <v>12117.600000000002</v>
      </c>
      <c r="N1006" s="5" t="str">
        <f t="shared" si="46"/>
        <v>Sep</v>
      </c>
      <c r="O1006" s="5" t="str">
        <f t="shared" si="47"/>
        <v xml:space="preserve"> 2024</v>
      </c>
    </row>
    <row r="1007" spans="1:15" x14ac:dyDescent="0.35">
      <c r="A1007" t="s">
        <v>1629</v>
      </c>
      <c r="B1007" s="5" t="s">
        <v>281</v>
      </c>
      <c r="C1007" s="4" t="s">
        <v>22</v>
      </c>
      <c r="D1007" s="4" t="s">
        <v>90</v>
      </c>
      <c r="E1007" s="4" t="s">
        <v>91</v>
      </c>
      <c r="F1007" s="4" t="s">
        <v>16</v>
      </c>
      <c r="G1007" s="4" t="s">
        <v>34</v>
      </c>
      <c r="H1007" s="4" t="s">
        <v>18</v>
      </c>
      <c r="I1007" s="4" t="s">
        <v>39</v>
      </c>
      <c r="J1007" s="3">
        <v>10</v>
      </c>
      <c r="K1007" s="6">
        <v>459250</v>
      </c>
      <c r="L1007" s="6">
        <f t="shared" si="45"/>
        <v>321475</v>
      </c>
      <c r="M1007" s="6">
        <v>137775</v>
      </c>
      <c r="N1007" s="5" t="str">
        <f t="shared" si="46"/>
        <v>Jun</v>
      </c>
      <c r="O1007" s="5" t="str">
        <f t="shared" si="47"/>
        <v xml:space="preserve"> 2024</v>
      </c>
    </row>
    <row r="1008" spans="1:15" x14ac:dyDescent="0.35">
      <c r="A1008" t="s">
        <v>1630</v>
      </c>
      <c r="B1008" s="5" t="s">
        <v>41</v>
      </c>
      <c r="C1008" s="4" t="s">
        <v>31</v>
      </c>
      <c r="D1008" s="4" t="s">
        <v>50</v>
      </c>
      <c r="E1008" s="4" t="s">
        <v>51</v>
      </c>
      <c r="F1008" s="4" t="s">
        <v>25</v>
      </c>
      <c r="G1008" s="4" t="s">
        <v>52</v>
      </c>
      <c r="H1008" s="4" t="s">
        <v>27</v>
      </c>
      <c r="I1008" s="4" t="s">
        <v>47</v>
      </c>
      <c r="J1008" s="3">
        <v>10</v>
      </c>
      <c r="K1008" s="6">
        <v>322760</v>
      </c>
      <c r="L1008" s="6">
        <f t="shared" si="45"/>
        <v>225932</v>
      </c>
      <c r="M1008" s="6">
        <v>96828</v>
      </c>
      <c r="N1008" s="5" t="str">
        <f t="shared" si="46"/>
        <v>Feb</v>
      </c>
      <c r="O1008" s="5" t="str">
        <f t="shared" si="47"/>
        <v xml:space="preserve"> 2024</v>
      </c>
    </row>
    <row r="1009" spans="1:15" x14ac:dyDescent="0.35">
      <c r="A1009" t="s">
        <v>1631</v>
      </c>
      <c r="B1009" s="5" t="s">
        <v>1632</v>
      </c>
      <c r="C1009" s="4" t="s">
        <v>31</v>
      </c>
      <c r="D1009" s="4" t="s">
        <v>32</v>
      </c>
      <c r="E1009" s="4" t="s">
        <v>33</v>
      </c>
      <c r="F1009" s="4" t="s">
        <v>25</v>
      </c>
      <c r="G1009" s="4" t="s">
        <v>71</v>
      </c>
      <c r="H1009" s="4" t="s">
        <v>27</v>
      </c>
      <c r="I1009" s="4" t="s">
        <v>60</v>
      </c>
      <c r="J1009" s="3">
        <v>7</v>
      </c>
      <c r="K1009" s="6">
        <v>97447</v>
      </c>
      <c r="L1009" s="6">
        <f t="shared" si="45"/>
        <v>68212.899999999994</v>
      </c>
      <c r="M1009" s="6">
        <v>29234.100000000006</v>
      </c>
      <c r="N1009" s="5" t="str">
        <f t="shared" si="46"/>
        <v>Mar</v>
      </c>
      <c r="O1009" s="5" t="str">
        <f t="shared" si="47"/>
        <v xml:space="preserve"> 2023</v>
      </c>
    </row>
    <row r="1010" spans="1:15" x14ac:dyDescent="0.35">
      <c r="A1010" t="s">
        <v>1633</v>
      </c>
      <c r="B1010" s="5" t="s">
        <v>616</v>
      </c>
      <c r="C1010" s="4" t="s">
        <v>22</v>
      </c>
      <c r="D1010" s="4" t="s">
        <v>90</v>
      </c>
      <c r="E1010" s="4" t="s">
        <v>91</v>
      </c>
      <c r="F1010" s="4" t="s">
        <v>37</v>
      </c>
      <c r="G1010" s="4" t="s">
        <v>148</v>
      </c>
      <c r="H1010" s="4" t="s">
        <v>18</v>
      </c>
      <c r="I1010" s="4" t="s">
        <v>60</v>
      </c>
      <c r="J1010" s="3">
        <v>10</v>
      </c>
      <c r="K1010" s="6">
        <v>299710</v>
      </c>
      <c r="L1010" s="6">
        <f t="shared" si="45"/>
        <v>209797</v>
      </c>
      <c r="M1010" s="6">
        <v>89913</v>
      </c>
      <c r="N1010" s="5" t="str">
        <f t="shared" si="46"/>
        <v>Feb</v>
      </c>
      <c r="O1010" s="5" t="str">
        <f t="shared" si="47"/>
        <v xml:space="preserve"> 2023</v>
      </c>
    </row>
    <row r="1011" spans="1:15" x14ac:dyDescent="0.35">
      <c r="A1011" t="s">
        <v>1634</v>
      </c>
      <c r="B1011" s="5" t="s">
        <v>1385</v>
      </c>
      <c r="C1011" s="4" t="s">
        <v>31</v>
      </c>
      <c r="D1011" s="4" t="s">
        <v>32</v>
      </c>
      <c r="E1011" s="4" t="s">
        <v>33</v>
      </c>
      <c r="F1011" s="4" t="s">
        <v>37</v>
      </c>
      <c r="G1011" s="4" t="s">
        <v>38</v>
      </c>
      <c r="H1011" s="4" t="s">
        <v>18</v>
      </c>
      <c r="I1011" s="4" t="s">
        <v>39</v>
      </c>
      <c r="J1011" s="3">
        <v>5</v>
      </c>
      <c r="K1011" s="6">
        <v>51730</v>
      </c>
      <c r="L1011" s="6">
        <f t="shared" si="45"/>
        <v>36211</v>
      </c>
      <c r="M1011" s="6">
        <v>15519</v>
      </c>
      <c r="N1011" s="5" t="str">
        <f t="shared" si="46"/>
        <v>Jun</v>
      </c>
      <c r="O1011" s="5" t="str">
        <f t="shared" si="47"/>
        <v xml:space="preserve"> 2024</v>
      </c>
    </row>
    <row r="1012" spans="1:15" x14ac:dyDescent="0.35">
      <c r="A1012" t="s">
        <v>1635</v>
      </c>
      <c r="B1012" s="5" t="s">
        <v>234</v>
      </c>
      <c r="C1012" s="4" t="s">
        <v>22</v>
      </c>
      <c r="D1012" s="4" t="s">
        <v>90</v>
      </c>
      <c r="E1012" s="4" t="s">
        <v>91</v>
      </c>
      <c r="F1012" s="4" t="s">
        <v>67</v>
      </c>
      <c r="G1012" s="4" t="s">
        <v>68</v>
      </c>
      <c r="H1012" s="4" t="s">
        <v>18</v>
      </c>
      <c r="I1012" s="4" t="s">
        <v>39</v>
      </c>
      <c r="J1012" s="3">
        <v>6</v>
      </c>
      <c r="K1012" s="6">
        <v>54504</v>
      </c>
      <c r="L1012" s="6">
        <f t="shared" si="45"/>
        <v>38152.799999999996</v>
      </c>
      <c r="M1012" s="6">
        <v>16351.200000000004</v>
      </c>
      <c r="N1012" s="5" t="str">
        <f t="shared" si="46"/>
        <v>May</v>
      </c>
      <c r="O1012" s="5" t="str">
        <f t="shared" si="47"/>
        <v xml:space="preserve"> 2024</v>
      </c>
    </row>
    <row r="1013" spans="1:15" x14ac:dyDescent="0.35">
      <c r="A1013" t="s">
        <v>1636</v>
      </c>
      <c r="B1013" s="5" t="s">
        <v>1155</v>
      </c>
      <c r="C1013" s="4" t="s">
        <v>22</v>
      </c>
      <c r="D1013" s="4" t="s">
        <v>90</v>
      </c>
      <c r="E1013" s="4" t="s">
        <v>91</v>
      </c>
      <c r="F1013" s="4" t="s">
        <v>37</v>
      </c>
      <c r="G1013" s="4" t="s">
        <v>148</v>
      </c>
      <c r="H1013" s="4" t="s">
        <v>18</v>
      </c>
      <c r="I1013" s="4" t="s">
        <v>60</v>
      </c>
      <c r="J1013" s="3">
        <v>9</v>
      </c>
      <c r="K1013" s="6">
        <v>319374</v>
      </c>
      <c r="L1013" s="6">
        <f t="shared" si="45"/>
        <v>223561.8</v>
      </c>
      <c r="M1013" s="6">
        <v>95812.200000000012</v>
      </c>
      <c r="N1013" s="5" t="str">
        <f t="shared" si="46"/>
        <v>Mar</v>
      </c>
      <c r="O1013" s="5" t="str">
        <f t="shared" si="47"/>
        <v xml:space="preserve"> 2023</v>
      </c>
    </row>
    <row r="1014" spans="1:15" x14ac:dyDescent="0.35">
      <c r="A1014" t="s">
        <v>1637</v>
      </c>
      <c r="B1014" s="5" t="s">
        <v>1373</v>
      </c>
      <c r="C1014" s="4" t="s">
        <v>31</v>
      </c>
      <c r="D1014" s="4" t="s">
        <v>32</v>
      </c>
      <c r="E1014" s="4" t="s">
        <v>33</v>
      </c>
      <c r="F1014" s="4" t="s">
        <v>25</v>
      </c>
      <c r="G1014" s="4" t="s">
        <v>71</v>
      </c>
      <c r="H1014" s="4" t="s">
        <v>27</v>
      </c>
      <c r="I1014" s="4" t="s">
        <v>47</v>
      </c>
      <c r="J1014" s="3">
        <v>1</v>
      </c>
      <c r="K1014" s="6">
        <v>35208</v>
      </c>
      <c r="L1014" s="6">
        <f t="shared" si="45"/>
        <v>24645.599999999999</v>
      </c>
      <c r="M1014" s="6">
        <v>10562.400000000001</v>
      </c>
      <c r="N1014" s="5" t="str">
        <f t="shared" si="46"/>
        <v>Dec</v>
      </c>
      <c r="O1014" s="5" t="str">
        <f t="shared" si="47"/>
        <v xml:space="preserve"> 2023</v>
      </c>
    </row>
    <row r="1015" spans="1:15" x14ac:dyDescent="0.35">
      <c r="A1015" t="s">
        <v>1638</v>
      </c>
      <c r="B1015" s="5" t="s">
        <v>1393</v>
      </c>
      <c r="C1015" s="4" t="s">
        <v>22</v>
      </c>
      <c r="D1015" s="4" t="s">
        <v>90</v>
      </c>
      <c r="E1015" s="4" t="s">
        <v>110</v>
      </c>
      <c r="F1015" s="4" t="s">
        <v>67</v>
      </c>
      <c r="G1015" s="4" t="s">
        <v>134</v>
      </c>
      <c r="H1015" s="4" t="s">
        <v>72</v>
      </c>
      <c r="I1015" s="4" t="s">
        <v>28</v>
      </c>
      <c r="J1015" s="3">
        <v>2</v>
      </c>
      <c r="K1015" s="6">
        <v>28352</v>
      </c>
      <c r="L1015" s="6">
        <f t="shared" si="45"/>
        <v>19846.399999999998</v>
      </c>
      <c r="M1015" s="6">
        <v>8505.6000000000022</v>
      </c>
      <c r="N1015" s="5" t="str">
        <f t="shared" si="46"/>
        <v>Mar</v>
      </c>
      <c r="O1015" s="5" t="str">
        <f t="shared" si="47"/>
        <v xml:space="preserve"> 2024</v>
      </c>
    </row>
    <row r="1016" spans="1:15" x14ac:dyDescent="0.35">
      <c r="A1016" t="s">
        <v>1639</v>
      </c>
      <c r="B1016" s="5" t="s">
        <v>506</v>
      </c>
      <c r="C1016" s="4" t="s">
        <v>55</v>
      </c>
      <c r="D1016" s="4" t="s">
        <v>63</v>
      </c>
      <c r="E1016" s="4" t="s">
        <v>64</v>
      </c>
      <c r="F1016" s="4" t="s">
        <v>67</v>
      </c>
      <c r="G1016" s="4" t="s">
        <v>68</v>
      </c>
      <c r="H1016" s="4" t="s">
        <v>27</v>
      </c>
      <c r="I1016" s="4" t="s">
        <v>19</v>
      </c>
      <c r="J1016" s="3">
        <v>7</v>
      </c>
      <c r="K1016" s="6">
        <v>86317</v>
      </c>
      <c r="L1016" s="6">
        <f t="shared" si="45"/>
        <v>60421.899999999994</v>
      </c>
      <c r="M1016" s="6">
        <v>25895.100000000006</v>
      </c>
      <c r="N1016" s="5" t="str">
        <f t="shared" si="46"/>
        <v>Jan</v>
      </c>
      <c r="O1016" s="5" t="str">
        <f t="shared" si="47"/>
        <v xml:space="preserve"> 2024</v>
      </c>
    </row>
    <row r="1017" spans="1:15" x14ac:dyDescent="0.35">
      <c r="A1017" t="s">
        <v>1640</v>
      </c>
      <c r="B1017" s="5" t="s">
        <v>1641</v>
      </c>
      <c r="C1017" s="4" t="s">
        <v>55</v>
      </c>
      <c r="D1017" s="4" t="s">
        <v>63</v>
      </c>
      <c r="E1017" s="4" t="s">
        <v>64</v>
      </c>
      <c r="F1017" s="4" t="s">
        <v>16</v>
      </c>
      <c r="G1017" s="4" t="s">
        <v>42</v>
      </c>
      <c r="H1017" s="4" t="s">
        <v>18</v>
      </c>
      <c r="I1017" s="4" t="s">
        <v>28</v>
      </c>
      <c r="J1017" s="3">
        <v>5</v>
      </c>
      <c r="K1017" s="6">
        <v>230570</v>
      </c>
      <c r="L1017" s="6">
        <f t="shared" si="45"/>
        <v>161399</v>
      </c>
      <c r="M1017" s="6">
        <v>69171</v>
      </c>
      <c r="N1017" s="5" t="str">
        <f t="shared" si="46"/>
        <v>Sep</v>
      </c>
      <c r="O1017" s="5" t="str">
        <f t="shared" si="47"/>
        <v xml:space="preserve"> 2024</v>
      </c>
    </row>
    <row r="1018" spans="1:15" x14ac:dyDescent="0.35">
      <c r="A1018" t="s">
        <v>1642</v>
      </c>
      <c r="B1018" s="5" t="s">
        <v>554</v>
      </c>
      <c r="C1018" s="4" t="s">
        <v>22</v>
      </c>
      <c r="D1018" s="4" t="s">
        <v>90</v>
      </c>
      <c r="E1018" s="4" t="s">
        <v>110</v>
      </c>
      <c r="F1018" s="4" t="s">
        <v>67</v>
      </c>
      <c r="G1018" s="4" t="s">
        <v>134</v>
      </c>
      <c r="H1018" s="4" t="s">
        <v>18</v>
      </c>
      <c r="I1018" s="4" t="s">
        <v>28</v>
      </c>
      <c r="J1018" s="3">
        <v>7</v>
      </c>
      <c r="K1018" s="6">
        <v>86121</v>
      </c>
      <c r="L1018" s="6">
        <f t="shared" si="45"/>
        <v>60284.7</v>
      </c>
      <c r="M1018" s="6">
        <v>25836.300000000003</v>
      </c>
      <c r="N1018" s="5" t="str">
        <f t="shared" si="46"/>
        <v>Sep</v>
      </c>
      <c r="O1018" s="5" t="str">
        <f t="shared" si="47"/>
        <v xml:space="preserve"> 2023</v>
      </c>
    </row>
    <row r="1019" spans="1:15" x14ac:dyDescent="0.35">
      <c r="A1019" t="s">
        <v>1643</v>
      </c>
      <c r="B1019" s="5" t="s">
        <v>1300</v>
      </c>
      <c r="C1019" s="4" t="s">
        <v>22</v>
      </c>
      <c r="D1019" s="4" t="s">
        <v>90</v>
      </c>
      <c r="E1019" s="4" t="s">
        <v>91</v>
      </c>
      <c r="F1019" s="4" t="s">
        <v>67</v>
      </c>
      <c r="G1019" s="4" t="s">
        <v>113</v>
      </c>
      <c r="H1019" s="4" t="s">
        <v>72</v>
      </c>
      <c r="I1019" s="4" t="s">
        <v>47</v>
      </c>
      <c r="J1019" s="3">
        <v>5</v>
      </c>
      <c r="K1019" s="6">
        <v>139815</v>
      </c>
      <c r="L1019" s="6">
        <f t="shared" si="45"/>
        <v>97870.5</v>
      </c>
      <c r="M1019" s="6">
        <v>41944.5</v>
      </c>
      <c r="N1019" s="5" t="str">
        <f t="shared" si="46"/>
        <v>Apr</v>
      </c>
      <c r="O1019" s="5" t="str">
        <f t="shared" si="47"/>
        <v xml:space="preserve"> 2023</v>
      </c>
    </row>
    <row r="1020" spans="1:15" x14ac:dyDescent="0.35">
      <c r="A1020" t="s">
        <v>1644</v>
      </c>
      <c r="B1020" s="5" t="s">
        <v>701</v>
      </c>
      <c r="C1020" s="4" t="s">
        <v>13</v>
      </c>
      <c r="D1020" s="4" t="s">
        <v>125</v>
      </c>
      <c r="E1020" s="4" t="s">
        <v>126</v>
      </c>
      <c r="F1020" s="4" t="s">
        <v>16</v>
      </c>
      <c r="G1020" s="4" t="s">
        <v>122</v>
      </c>
      <c r="H1020" s="4" t="s">
        <v>27</v>
      </c>
      <c r="I1020" s="4" t="s">
        <v>19</v>
      </c>
      <c r="J1020" s="3">
        <v>8</v>
      </c>
      <c r="K1020" s="6">
        <v>383208</v>
      </c>
      <c r="L1020" s="6">
        <f t="shared" si="45"/>
        <v>268245.59999999998</v>
      </c>
      <c r="M1020" s="6">
        <v>114962.40000000002</v>
      </c>
      <c r="N1020" s="5" t="str">
        <f t="shared" si="46"/>
        <v>May</v>
      </c>
      <c r="O1020" s="5" t="str">
        <f t="shared" si="47"/>
        <v xml:space="preserve"> 2023</v>
      </c>
    </row>
    <row r="1021" spans="1:15" x14ac:dyDescent="0.35">
      <c r="A1021" t="s">
        <v>1645</v>
      </c>
      <c r="B1021" s="5" t="s">
        <v>872</v>
      </c>
      <c r="C1021" s="4" t="s">
        <v>13</v>
      </c>
      <c r="D1021" s="4" t="s">
        <v>118</v>
      </c>
      <c r="E1021" s="4" t="s">
        <v>119</v>
      </c>
      <c r="F1021" s="4" t="s">
        <v>67</v>
      </c>
      <c r="G1021" s="4" t="s">
        <v>180</v>
      </c>
      <c r="H1021" s="4" t="s">
        <v>27</v>
      </c>
      <c r="I1021" s="4" t="s">
        <v>19</v>
      </c>
      <c r="J1021" s="3">
        <v>8</v>
      </c>
      <c r="K1021" s="6">
        <v>64136</v>
      </c>
      <c r="L1021" s="6">
        <f t="shared" si="45"/>
        <v>44895.199999999997</v>
      </c>
      <c r="M1021" s="6">
        <v>19240.800000000003</v>
      </c>
      <c r="N1021" s="5" t="str">
        <f t="shared" si="46"/>
        <v>Jul</v>
      </c>
      <c r="O1021" s="5" t="str">
        <f t="shared" si="47"/>
        <v xml:space="preserve"> 2024</v>
      </c>
    </row>
    <row r="1022" spans="1:15" x14ac:dyDescent="0.35">
      <c r="A1022" t="s">
        <v>1646</v>
      </c>
      <c r="B1022" s="5" t="s">
        <v>1505</v>
      </c>
      <c r="C1022" s="4" t="s">
        <v>22</v>
      </c>
      <c r="D1022" s="4" t="s">
        <v>86</v>
      </c>
      <c r="E1022" s="4" t="s">
        <v>87</v>
      </c>
      <c r="F1022" s="4" t="s">
        <v>16</v>
      </c>
      <c r="G1022" s="4" t="s">
        <v>42</v>
      </c>
      <c r="H1022" s="4" t="s">
        <v>27</v>
      </c>
      <c r="I1022" s="4" t="s">
        <v>28</v>
      </c>
      <c r="J1022" s="3">
        <v>3</v>
      </c>
      <c r="K1022" s="6">
        <v>114420</v>
      </c>
      <c r="L1022" s="6">
        <f t="shared" si="45"/>
        <v>80094</v>
      </c>
      <c r="M1022" s="6">
        <v>34326</v>
      </c>
      <c r="N1022" s="5" t="str">
        <f t="shared" si="46"/>
        <v>Feb</v>
      </c>
      <c r="O1022" s="5" t="str">
        <f t="shared" si="47"/>
        <v xml:space="preserve"> 2024</v>
      </c>
    </row>
    <row r="1023" spans="1:15" x14ac:dyDescent="0.35">
      <c r="A1023" t="s">
        <v>1647</v>
      </c>
      <c r="B1023" s="5" t="s">
        <v>719</v>
      </c>
      <c r="C1023" s="4" t="s">
        <v>13</v>
      </c>
      <c r="D1023" s="4" t="s">
        <v>14</v>
      </c>
      <c r="E1023" s="4" t="s">
        <v>15</v>
      </c>
      <c r="F1023" s="4" t="s">
        <v>16</v>
      </c>
      <c r="G1023" s="4" t="s">
        <v>34</v>
      </c>
      <c r="H1023" s="4" t="s">
        <v>18</v>
      </c>
      <c r="I1023" s="4" t="s">
        <v>60</v>
      </c>
      <c r="J1023" s="3">
        <v>6</v>
      </c>
      <c r="K1023" s="6">
        <v>49464</v>
      </c>
      <c r="L1023" s="6">
        <f t="shared" si="45"/>
        <v>34624.799999999996</v>
      </c>
      <c r="M1023" s="6">
        <v>14839.200000000004</v>
      </c>
      <c r="N1023" s="5" t="str">
        <f t="shared" si="46"/>
        <v>Jun</v>
      </c>
      <c r="O1023" s="5" t="str">
        <f t="shared" si="47"/>
        <v xml:space="preserve"> 2024</v>
      </c>
    </row>
    <row r="1024" spans="1:15" x14ac:dyDescent="0.35">
      <c r="A1024" t="s">
        <v>1648</v>
      </c>
      <c r="B1024" s="5" t="s">
        <v>818</v>
      </c>
      <c r="C1024" s="4" t="s">
        <v>13</v>
      </c>
      <c r="D1024" s="4" t="s">
        <v>118</v>
      </c>
      <c r="E1024" s="4" t="s">
        <v>119</v>
      </c>
      <c r="F1024" s="4" t="s">
        <v>25</v>
      </c>
      <c r="G1024" s="4" t="s">
        <v>71</v>
      </c>
      <c r="H1024" s="4" t="s">
        <v>18</v>
      </c>
      <c r="I1024" s="4" t="s">
        <v>28</v>
      </c>
      <c r="J1024" s="3">
        <v>8</v>
      </c>
      <c r="K1024" s="6">
        <v>209488</v>
      </c>
      <c r="L1024" s="6">
        <f t="shared" si="45"/>
        <v>146641.59999999998</v>
      </c>
      <c r="M1024" s="6">
        <v>62846.400000000023</v>
      </c>
      <c r="N1024" s="5" t="str">
        <f t="shared" si="46"/>
        <v>Aug</v>
      </c>
      <c r="O1024" s="5" t="str">
        <f t="shared" si="47"/>
        <v xml:space="preserve"> 2024</v>
      </c>
    </row>
    <row r="1025" spans="1:15" x14ac:dyDescent="0.35">
      <c r="A1025" t="s">
        <v>1649</v>
      </c>
      <c r="B1025" s="5" t="s">
        <v>169</v>
      </c>
      <c r="C1025" s="4" t="s">
        <v>55</v>
      </c>
      <c r="D1025" s="4" t="s">
        <v>63</v>
      </c>
      <c r="E1025" s="4" t="s">
        <v>64</v>
      </c>
      <c r="F1025" s="4" t="s">
        <v>37</v>
      </c>
      <c r="G1025" s="4" t="s">
        <v>38</v>
      </c>
      <c r="H1025" s="4" t="s">
        <v>18</v>
      </c>
      <c r="I1025" s="4" t="s">
        <v>39</v>
      </c>
      <c r="J1025" s="3">
        <v>8</v>
      </c>
      <c r="K1025" s="6">
        <v>360208</v>
      </c>
      <c r="L1025" s="6">
        <f t="shared" si="45"/>
        <v>252145.59999999998</v>
      </c>
      <c r="M1025" s="6">
        <v>108062.40000000002</v>
      </c>
      <c r="N1025" s="5" t="str">
        <f t="shared" si="46"/>
        <v>Jul</v>
      </c>
      <c r="O1025" s="5" t="str">
        <f t="shared" si="47"/>
        <v xml:space="preserve"> 2024</v>
      </c>
    </row>
    <row r="1026" spans="1:15" x14ac:dyDescent="0.35">
      <c r="A1026" t="s">
        <v>1650</v>
      </c>
      <c r="B1026" s="5" t="s">
        <v>49</v>
      </c>
      <c r="C1026" s="4" t="s">
        <v>22</v>
      </c>
      <c r="D1026" s="4" t="s">
        <v>90</v>
      </c>
      <c r="E1026" s="4" t="s">
        <v>91</v>
      </c>
      <c r="F1026" s="4" t="s">
        <v>37</v>
      </c>
      <c r="G1026" s="4" t="s">
        <v>38</v>
      </c>
      <c r="H1026" s="4" t="s">
        <v>27</v>
      </c>
      <c r="I1026" s="4" t="s">
        <v>28</v>
      </c>
      <c r="J1026" s="3">
        <v>3</v>
      </c>
      <c r="K1026" s="6">
        <v>92052</v>
      </c>
      <c r="L1026" s="6">
        <f t="shared" ref="L1026:L1089" si="48">K1026*0.7</f>
        <v>64436.399999999994</v>
      </c>
      <c r="M1026" s="6">
        <v>27615.600000000006</v>
      </c>
      <c r="N1026" s="5" t="str">
        <f t="shared" ref="N1026:N1089" si="49">TEXT(B1026,"mmm")</f>
        <v>Feb</v>
      </c>
      <c r="O1026" s="5" t="str">
        <f t="shared" ref="O1026:O1089" si="50">TEXT(B1026," yyyy")</f>
        <v xml:space="preserve"> 2024</v>
      </c>
    </row>
    <row r="1027" spans="1:15" x14ac:dyDescent="0.35">
      <c r="A1027" t="s">
        <v>1651</v>
      </c>
      <c r="B1027" s="5" t="s">
        <v>1136</v>
      </c>
      <c r="C1027" s="4" t="s">
        <v>55</v>
      </c>
      <c r="D1027" s="4" t="s">
        <v>82</v>
      </c>
      <c r="E1027" s="4" t="s">
        <v>83</v>
      </c>
      <c r="F1027" s="4" t="s">
        <v>25</v>
      </c>
      <c r="G1027" s="4" t="s">
        <v>77</v>
      </c>
      <c r="H1027" s="4" t="s">
        <v>27</v>
      </c>
      <c r="I1027" s="4" t="s">
        <v>19</v>
      </c>
      <c r="J1027" s="3">
        <v>6</v>
      </c>
      <c r="K1027" s="6">
        <v>248250</v>
      </c>
      <c r="L1027" s="6">
        <f t="shared" si="48"/>
        <v>173775</v>
      </c>
      <c r="M1027" s="6">
        <v>74475</v>
      </c>
      <c r="N1027" s="5" t="str">
        <f t="shared" si="49"/>
        <v>Nov</v>
      </c>
      <c r="O1027" s="5" t="str">
        <f t="shared" si="50"/>
        <v xml:space="preserve"> 2023</v>
      </c>
    </row>
    <row r="1028" spans="1:15" x14ac:dyDescent="0.35">
      <c r="A1028" t="s">
        <v>1652</v>
      </c>
      <c r="B1028" s="5" t="s">
        <v>1213</v>
      </c>
      <c r="C1028" s="4" t="s">
        <v>22</v>
      </c>
      <c r="D1028" s="4" t="s">
        <v>86</v>
      </c>
      <c r="E1028" s="4" t="s">
        <v>87</v>
      </c>
      <c r="F1028" s="4" t="s">
        <v>37</v>
      </c>
      <c r="G1028" s="4" t="s">
        <v>148</v>
      </c>
      <c r="H1028" s="4" t="s">
        <v>27</v>
      </c>
      <c r="I1028" s="4" t="s">
        <v>60</v>
      </c>
      <c r="J1028" s="3">
        <v>3</v>
      </c>
      <c r="K1028" s="6">
        <v>59751</v>
      </c>
      <c r="L1028" s="6">
        <f t="shared" si="48"/>
        <v>41825.699999999997</v>
      </c>
      <c r="M1028" s="6">
        <v>17925.300000000003</v>
      </c>
      <c r="N1028" s="5" t="str">
        <f t="shared" si="49"/>
        <v>Jan</v>
      </c>
      <c r="O1028" s="5" t="str">
        <f t="shared" si="50"/>
        <v xml:space="preserve"> 2024</v>
      </c>
    </row>
    <row r="1029" spans="1:15" x14ac:dyDescent="0.35">
      <c r="A1029" t="s">
        <v>1653</v>
      </c>
      <c r="B1029" s="5" t="s">
        <v>1654</v>
      </c>
      <c r="C1029" s="4" t="s">
        <v>22</v>
      </c>
      <c r="D1029" s="4" t="s">
        <v>90</v>
      </c>
      <c r="E1029" s="4" t="s">
        <v>110</v>
      </c>
      <c r="F1029" s="4" t="s">
        <v>25</v>
      </c>
      <c r="G1029" s="4" t="s">
        <v>77</v>
      </c>
      <c r="H1029" s="4" t="s">
        <v>18</v>
      </c>
      <c r="I1029" s="4" t="s">
        <v>47</v>
      </c>
      <c r="J1029" s="3">
        <v>7</v>
      </c>
      <c r="K1029" s="6">
        <v>129759</v>
      </c>
      <c r="L1029" s="6">
        <f t="shared" si="48"/>
        <v>90831.299999999988</v>
      </c>
      <c r="M1029" s="6">
        <v>38927.700000000012</v>
      </c>
      <c r="N1029" s="5" t="str">
        <f t="shared" si="49"/>
        <v>Jul</v>
      </c>
      <c r="O1029" s="5" t="str">
        <f t="shared" si="50"/>
        <v xml:space="preserve"> 2024</v>
      </c>
    </row>
    <row r="1030" spans="1:15" x14ac:dyDescent="0.35">
      <c r="A1030" t="s">
        <v>1655</v>
      </c>
      <c r="B1030" s="5" t="s">
        <v>662</v>
      </c>
      <c r="C1030" s="4" t="s">
        <v>55</v>
      </c>
      <c r="D1030" s="4" t="s">
        <v>63</v>
      </c>
      <c r="E1030" s="4" t="s">
        <v>64</v>
      </c>
      <c r="F1030" s="4" t="s">
        <v>37</v>
      </c>
      <c r="G1030" s="4" t="s">
        <v>186</v>
      </c>
      <c r="H1030" s="4" t="s">
        <v>27</v>
      </c>
      <c r="I1030" s="4" t="s">
        <v>19</v>
      </c>
      <c r="J1030" s="3">
        <v>1</v>
      </c>
      <c r="K1030" s="6">
        <v>28143</v>
      </c>
      <c r="L1030" s="6">
        <f t="shared" si="48"/>
        <v>19700.099999999999</v>
      </c>
      <c r="M1030" s="6">
        <v>8442.9000000000015</v>
      </c>
      <c r="N1030" s="5" t="str">
        <f t="shared" si="49"/>
        <v>Sep</v>
      </c>
      <c r="O1030" s="5" t="str">
        <f t="shared" si="50"/>
        <v xml:space="preserve"> 2024</v>
      </c>
    </row>
    <row r="1031" spans="1:15" x14ac:dyDescent="0.35">
      <c r="A1031" t="s">
        <v>1656</v>
      </c>
      <c r="B1031" s="5" t="s">
        <v>588</v>
      </c>
      <c r="C1031" s="4" t="s">
        <v>22</v>
      </c>
      <c r="D1031" s="4" t="s">
        <v>90</v>
      </c>
      <c r="E1031" s="4" t="s">
        <v>110</v>
      </c>
      <c r="F1031" s="4" t="s">
        <v>67</v>
      </c>
      <c r="G1031" s="4" t="s">
        <v>113</v>
      </c>
      <c r="H1031" s="4" t="s">
        <v>27</v>
      </c>
      <c r="I1031" s="4" t="s">
        <v>28</v>
      </c>
      <c r="J1031" s="3">
        <v>5</v>
      </c>
      <c r="K1031" s="6">
        <v>223905</v>
      </c>
      <c r="L1031" s="6">
        <f t="shared" si="48"/>
        <v>156733.5</v>
      </c>
      <c r="M1031" s="6">
        <v>67171.5</v>
      </c>
      <c r="N1031" s="5" t="str">
        <f t="shared" si="49"/>
        <v>Jun</v>
      </c>
      <c r="O1031" s="5" t="str">
        <f t="shared" si="50"/>
        <v xml:space="preserve"> 2023</v>
      </c>
    </row>
    <row r="1032" spans="1:15" x14ac:dyDescent="0.35">
      <c r="A1032" t="s">
        <v>1657</v>
      </c>
      <c r="B1032" s="5" t="s">
        <v>1658</v>
      </c>
      <c r="C1032" s="4" t="s">
        <v>31</v>
      </c>
      <c r="D1032" s="4" t="s">
        <v>45</v>
      </c>
      <c r="E1032" s="4" t="s">
        <v>46</v>
      </c>
      <c r="F1032" s="4" t="s">
        <v>25</v>
      </c>
      <c r="G1032" s="4" t="s">
        <v>77</v>
      </c>
      <c r="H1032" s="4" t="s">
        <v>18</v>
      </c>
      <c r="I1032" s="4" t="s">
        <v>39</v>
      </c>
      <c r="J1032" s="3">
        <v>1</v>
      </c>
      <c r="K1032" s="6">
        <v>21335</v>
      </c>
      <c r="L1032" s="6">
        <f t="shared" si="48"/>
        <v>14934.499999999998</v>
      </c>
      <c r="M1032" s="6">
        <v>6400.5000000000018</v>
      </c>
      <c r="N1032" s="5" t="str">
        <f t="shared" si="49"/>
        <v>Oct</v>
      </c>
      <c r="O1032" s="5" t="str">
        <f t="shared" si="50"/>
        <v xml:space="preserve"> 2023</v>
      </c>
    </row>
    <row r="1033" spans="1:15" x14ac:dyDescent="0.35">
      <c r="A1033" t="s">
        <v>1659</v>
      </c>
      <c r="B1033" s="5" t="s">
        <v>313</v>
      </c>
      <c r="C1033" s="4" t="s">
        <v>31</v>
      </c>
      <c r="D1033" s="4" t="s">
        <v>45</v>
      </c>
      <c r="E1033" s="4" t="s">
        <v>46</v>
      </c>
      <c r="F1033" s="4" t="s">
        <v>37</v>
      </c>
      <c r="G1033" s="4" t="s">
        <v>38</v>
      </c>
      <c r="H1033" s="4" t="s">
        <v>27</v>
      </c>
      <c r="I1033" s="4" t="s">
        <v>39</v>
      </c>
      <c r="J1033" s="3">
        <v>1</v>
      </c>
      <c r="K1033" s="6">
        <v>28534</v>
      </c>
      <c r="L1033" s="6">
        <f t="shared" si="48"/>
        <v>19973.8</v>
      </c>
      <c r="M1033" s="6">
        <v>8560.2000000000007</v>
      </c>
      <c r="N1033" s="5" t="str">
        <f t="shared" si="49"/>
        <v>Dec</v>
      </c>
      <c r="O1033" s="5" t="str">
        <f t="shared" si="50"/>
        <v xml:space="preserve"> 2023</v>
      </c>
    </row>
    <row r="1034" spans="1:15" x14ac:dyDescent="0.35">
      <c r="A1034" t="s">
        <v>1660</v>
      </c>
      <c r="B1034" s="5" t="s">
        <v>1661</v>
      </c>
      <c r="C1034" s="4" t="s">
        <v>31</v>
      </c>
      <c r="D1034" s="4" t="s">
        <v>50</v>
      </c>
      <c r="E1034" s="4" t="s">
        <v>51</v>
      </c>
      <c r="F1034" s="4" t="s">
        <v>25</v>
      </c>
      <c r="G1034" s="4" t="s">
        <v>52</v>
      </c>
      <c r="H1034" s="4" t="s">
        <v>72</v>
      </c>
      <c r="I1034" s="4" t="s">
        <v>39</v>
      </c>
      <c r="J1034" s="3">
        <v>3</v>
      </c>
      <c r="K1034" s="6">
        <v>72672</v>
      </c>
      <c r="L1034" s="6">
        <f t="shared" si="48"/>
        <v>50870.399999999994</v>
      </c>
      <c r="M1034" s="6">
        <v>21801.600000000006</v>
      </c>
      <c r="N1034" s="5" t="str">
        <f t="shared" si="49"/>
        <v>May</v>
      </c>
      <c r="O1034" s="5" t="str">
        <f t="shared" si="50"/>
        <v xml:space="preserve"> 2023</v>
      </c>
    </row>
    <row r="1035" spans="1:15" x14ac:dyDescent="0.35">
      <c r="A1035" t="s">
        <v>1662</v>
      </c>
      <c r="B1035" s="5" t="s">
        <v>1663</v>
      </c>
      <c r="C1035" s="4" t="s">
        <v>31</v>
      </c>
      <c r="D1035" s="4" t="s">
        <v>32</v>
      </c>
      <c r="E1035" s="4" t="s">
        <v>33</v>
      </c>
      <c r="F1035" s="4" t="s">
        <v>16</v>
      </c>
      <c r="G1035" s="4" t="s">
        <v>17</v>
      </c>
      <c r="H1035" s="4" t="s">
        <v>27</v>
      </c>
      <c r="I1035" s="4" t="s">
        <v>28</v>
      </c>
      <c r="J1035" s="3">
        <v>4</v>
      </c>
      <c r="K1035" s="6">
        <v>97108</v>
      </c>
      <c r="L1035" s="6">
        <f t="shared" si="48"/>
        <v>67975.599999999991</v>
      </c>
      <c r="M1035" s="6">
        <v>29132.400000000009</v>
      </c>
      <c r="N1035" s="5" t="str">
        <f t="shared" si="49"/>
        <v>Jun</v>
      </c>
      <c r="O1035" s="5" t="str">
        <f t="shared" si="50"/>
        <v xml:space="preserve"> 2023</v>
      </c>
    </row>
    <row r="1036" spans="1:15" x14ac:dyDescent="0.35">
      <c r="A1036" t="s">
        <v>1664</v>
      </c>
      <c r="B1036" s="5" t="s">
        <v>795</v>
      </c>
      <c r="C1036" s="4" t="s">
        <v>22</v>
      </c>
      <c r="D1036" s="4" t="s">
        <v>90</v>
      </c>
      <c r="E1036" s="4" t="s">
        <v>110</v>
      </c>
      <c r="F1036" s="4" t="s">
        <v>16</v>
      </c>
      <c r="G1036" s="4" t="s">
        <v>34</v>
      </c>
      <c r="H1036" s="4" t="s">
        <v>18</v>
      </c>
      <c r="I1036" s="4" t="s">
        <v>28</v>
      </c>
      <c r="J1036" s="3">
        <v>10</v>
      </c>
      <c r="K1036" s="6">
        <v>372750</v>
      </c>
      <c r="L1036" s="6">
        <f t="shared" si="48"/>
        <v>260924.99999999997</v>
      </c>
      <c r="M1036" s="6">
        <v>111825.00000000003</v>
      </c>
      <c r="N1036" s="5" t="str">
        <f t="shared" si="49"/>
        <v>Mar</v>
      </c>
      <c r="O1036" s="5" t="str">
        <f t="shared" si="50"/>
        <v xml:space="preserve"> 2024</v>
      </c>
    </row>
    <row r="1037" spans="1:15" x14ac:dyDescent="0.35">
      <c r="A1037" t="s">
        <v>1665</v>
      </c>
      <c r="B1037" s="5" t="s">
        <v>622</v>
      </c>
      <c r="C1037" s="4" t="s">
        <v>22</v>
      </c>
      <c r="D1037" s="4" t="s">
        <v>86</v>
      </c>
      <c r="E1037" s="4" t="s">
        <v>87</v>
      </c>
      <c r="F1037" s="4" t="s">
        <v>37</v>
      </c>
      <c r="G1037" s="4" t="s">
        <v>183</v>
      </c>
      <c r="H1037" s="4" t="s">
        <v>18</v>
      </c>
      <c r="I1037" s="4" t="s">
        <v>19</v>
      </c>
      <c r="J1037" s="3">
        <v>10</v>
      </c>
      <c r="K1037" s="6">
        <v>169090</v>
      </c>
      <c r="L1037" s="6">
        <f t="shared" si="48"/>
        <v>118362.99999999999</v>
      </c>
      <c r="M1037" s="6">
        <v>50727.000000000015</v>
      </c>
      <c r="N1037" s="5" t="str">
        <f t="shared" si="49"/>
        <v>Feb</v>
      </c>
      <c r="O1037" s="5" t="str">
        <f t="shared" si="50"/>
        <v xml:space="preserve"> 2023</v>
      </c>
    </row>
    <row r="1038" spans="1:15" x14ac:dyDescent="0.35">
      <c r="A1038" t="s">
        <v>1666</v>
      </c>
      <c r="B1038" s="5" t="s">
        <v>1080</v>
      </c>
      <c r="C1038" s="4" t="s">
        <v>22</v>
      </c>
      <c r="D1038" s="4" t="s">
        <v>90</v>
      </c>
      <c r="E1038" s="4" t="s">
        <v>91</v>
      </c>
      <c r="F1038" s="4" t="s">
        <v>37</v>
      </c>
      <c r="G1038" s="4" t="s">
        <v>38</v>
      </c>
      <c r="H1038" s="4" t="s">
        <v>18</v>
      </c>
      <c r="I1038" s="4" t="s">
        <v>47</v>
      </c>
      <c r="J1038" s="3">
        <v>7</v>
      </c>
      <c r="K1038" s="6">
        <v>227731</v>
      </c>
      <c r="L1038" s="6">
        <f t="shared" si="48"/>
        <v>159411.69999999998</v>
      </c>
      <c r="M1038" s="6">
        <v>68319.300000000017</v>
      </c>
      <c r="N1038" s="5" t="str">
        <f t="shared" si="49"/>
        <v>Nov</v>
      </c>
      <c r="O1038" s="5" t="str">
        <f t="shared" si="50"/>
        <v xml:space="preserve"> 2023</v>
      </c>
    </row>
    <row r="1039" spans="1:15" x14ac:dyDescent="0.35">
      <c r="A1039" t="s">
        <v>1667</v>
      </c>
      <c r="B1039" s="5" t="s">
        <v>1143</v>
      </c>
      <c r="C1039" s="4" t="s">
        <v>55</v>
      </c>
      <c r="D1039" s="4" t="s">
        <v>63</v>
      </c>
      <c r="E1039" s="4" t="s">
        <v>64</v>
      </c>
      <c r="F1039" s="4" t="s">
        <v>37</v>
      </c>
      <c r="G1039" s="4" t="s">
        <v>186</v>
      </c>
      <c r="H1039" s="4" t="s">
        <v>27</v>
      </c>
      <c r="I1039" s="4" t="s">
        <v>39</v>
      </c>
      <c r="J1039" s="3">
        <v>3</v>
      </c>
      <c r="K1039" s="6">
        <v>37647</v>
      </c>
      <c r="L1039" s="6">
        <f t="shared" si="48"/>
        <v>26352.899999999998</v>
      </c>
      <c r="M1039" s="6">
        <v>11294.100000000002</v>
      </c>
      <c r="N1039" s="5" t="str">
        <f t="shared" si="49"/>
        <v>Aug</v>
      </c>
      <c r="O1039" s="5" t="str">
        <f t="shared" si="50"/>
        <v xml:space="preserve"> 2024</v>
      </c>
    </row>
    <row r="1040" spans="1:15" x14ac:dyDescent="0.35">
      <c r="A1040" t="s">
        <v>1668</v>
      </c>
      <c r="B1040" s="5" t="s">
        <v>133</v>
      </c>
      <c r="C1040" s="4" t="s">
        <v>55</v>
      </c>
      <c r="D1040" s="4" t="s">
        <v>63</v>
      </c>
      <c r="E1040" s="4" t="s">
        <v>64</v>
      </c>
      <c r="F1040" s="4" t="s">
        <v>37</v>
      </c>
      <c r="G1040" s="4" t="s">
        <v>186</v>
      </c>
      <c r="H1040" s="4" t="s">
        <v>18</v>
      </c>
      <c r="I1040" s="4" t="s">
        <v>39</v>
      </c>
      <c r="J1040" s="3">
        <v>6</v>
      </c>
      <c r="K1040" s="6">
        <v>281778</v>
      </c>
      <c r="L1040" s="6">
        <f t="shared" si="48"/>
        <v>197244.59999999998</v>
      </c>
      <c r="M1040" s="6">
        <v>84533.400000000023</v>
      </c>
      <c r="N1040" s="5" t="str">
        <f t="shared" si="49"/>
        <v>Jun</v>
      </c>
      <c r="O1040" s="5" t="str">
        <f t="shared" si="50"/>
        <v xml:space="preserve"> 2023</v>
      </c>
    </row>
    <row r="1041" spans="1:15" x14ac:dyDescent="0.35">
      <c r="A1041" t="s">
        <v>1669</v>
      </c>
      <c r="B1041" s="5" t="s">
        <v>1670</v>
      </c>
      <c r="C1041" s="4" t="s">
        <v>22</v>
      </c>
      <c r="D1041" s="4" t="s">
        <v>86</v>
      </c>
      <c r="E1041" s="4" t="s">
        <v>87</v>
      </c>
      <c r="F1041" s="4" t="s">
        <v>25</v>
      </c>
      <c r="G1041" s="4" t="s">
        <v>77</v>
      </c>
      <c r="H1041" s="4" t="s">
        <v>27</v>
      </c>
      <c r="I1041" s="4" t="s">
        <v>28</v>
      </c>
      <c r="J1041" s="3">
        <v>1</v>
      </c>
      <c r="K1041" s="6">
        <v>15033</v>
      </c>
      <c r="L1041" s="6">
        <f t="shared" si="48"/>
        <v>10523.099999999999</v>
      </c>
      <c r="M1041" s="6">
        <v>4509.9000000000015</v>
      </c>
      <c r="N1041" s="5" t="str">
        <f t="shared" si="49"/>
        <v>Sep</v>
      </c>
      <c r="O1041" s="5" t="str">
        <f t="shared" si="50"/>
        <v xml:space="preserve"> 2024</v>
      </c>
    </row>
    <row r="1042" spans="1:15" x14ac:dyDescent="0.35">
      <c r="A1042" t="s">
        <v>1671</v>
      </c>
      <c r="B1042" s="5" t="s">
        <v>1672</v>
      </c>
      <c r="C1042" s="4" t="s">
        <v>31</v>
      </c>
      <c r="D1042" s="4" t="s">
        <v>45</v>
      </c>
      <c r="E1042" s="4" t="s">
        <v>46</v>
      </c>
      <c r="F1042" s="4" t="s">
        <v>67</v>
      </c>
      <c r="G1042" s="4" t="s">
        <v>68</v>
      </c>
      <c r="H1042" s="4" t="s">
        <v>72</v>
      </c>
      <c r="I1042" s="4" t="s">
        <v>47</v>
      </c>
      <c r="J1042" s="3">
        <v>4</v>
      </c>
      <c r="K1042" s="6">
        <v>123096</v>
      </c>
      <c r="L1042" s="6">
        <f t="shared" si="48"/>
        <v>86167.2</v>
      </c>
      <c r="M1042" s="6">
        <v>36928.800000000003</v>
      </c>
      <c r="N1042" s="5" t="str">
        <f t="shared" si="49"/>
        <v>Feb</v>
      </c>
      <c r="O1042" s="5" t="str">
        <f t="shared" si="50"/>
        <v xml:space="preserve"> 2024</v>
      </c>
    </row>
    <row r="1043" spans="1:15" x14ac:dyDescent="0.35">
      <c r="A1043" t="s">
        <v>1673</v>
      </c>
      <c r="B1043" s="5" t="s">
        <v>1674</v>
      </c>
      <c r="C1043" s="4" t="s">
        <v>22</v>
      </c>
      <c r="D1043" s="4" t="s">
        <v>86</v>
      </c>
      <c r="E1043" s="4" t="s">
        <v>87</v>
      </c>
      <c r="F1043" s="4" t="s">
        <v>16</v>
      </c>
      <c r="G1043" s="4" t="s">
        <v>122</v>
      </c>
      <c r="H1043" s="4" t="s">
        <v>27</v>
      </c>
      <c r="I1043" s="4" t="s">
        <v>28</v>
      </c>
      <c r="J1043" s="3">
        <v>3</v>
      </c>
      <c r="K1043" s="6">
        <v>100575</v>
      </c>
      <c r="L1043" s="6">
        <f t="shared" si="48"/>
        <v>70402.5</v>
      </c>
      <c r="M1043" s="6">
        <v>30172.5</v>
      </c>
      <c r="N1043" s="5" t="str">
        <f t="shared" si="49"/>
        <v>Apr</v>
      </c>
      <c r="O1043" s="5" t="str">
        <f t="shared" si="50"/>
        <v xml:space="preserve"> 2023</v>
      </c>
    </row>
    <row r="1044" spans="1:15" x14ac:dyDescent="0.35">
      <c r="A1044" t="s">
        <v>1675</v>
      </c>
      <c r="B1044" s="5" t="s">
        <v>293</v>
      </c>
      <c r="C1044" s="4" t="s">
        <v>55</v>
      </c>
      <c r="D1044" s="4" t="s">
        <v>63</v>
      </c>
      <c r="E1044" s="4" t="s">
        <v>64</v>
      </c>
      <c r="F1044" s="4" t="s">
        <v>67</v>
      </c>
      <c r="G1044" s="4" t="s">
        <v>113</v>
      </c>
      <c r="H1044" s="4" t="s">
        <v>27</v>
      </c>
      <c r="I1044" s="4" t="s">
        <v>28</v>
      </c>
      <c r="J1044" s="3">
        <v>4</v>
      </c>
      <c r="K1044" s="6">
        <v>150544</v>
      </c>
      <c r="L1044" s="6">
        <f t="shared" si="48"/>
        <v>105380.79999999999</v>
      </c>
      <c r="M1044" s="6">
        <v>45163.200000000012</v>
      </c>
      <c r="N1044" s="5" t="str">
        <f t="shared" si="49"/>
        <v>Apr</v>
      </c>
      <c r="O1044" s="5" t="str">
        <f t="shared" si="50"/>
        <v xml:space="preserve"> 2024</v>
      </c>
    </row>
    <row r="1045" spans="1:15" x14ac:dyDescent="0.35">
      <c r="A1045" t="s">
        <v>1676</v>
      </c>
      <c r="B1045" s="5" t="s">
        <v>182</v>
      </c>
      <c r="C1045" s="4" t="s">
        <v>22</v>
      </c>
      <c r="D1045" s="4" t="s">
        <v>90</v>
      </c>
      <c r="E1045" s="4" t="s">
        <v>91</v>
      </c>
      <c r="F1045" s="4" t="s">
        <v>25</v>
      </c>
      <c r="G1045" s="4" t="s">
        <v>77</v>
      </c>
      <c r="H1045" s="4" t="s">
        <v>72</v>
      </c>
      <c r="I1045" s="4" t="s">
        <v>47</v>
      </c>
      <c r="J1045" s="3">
        <v>1</v>
      </c>
      <c r="K1045" s="6">
        <v>42132</v>
      </c>
      <c r="L1045" s="6">
        <f t="shared" si="48"/>
        <v>29492.399999999998</v>
      </c>
      <c r="M1045" s="6">
        <v>12639.600000000002</v>
      </c>
      <c r="N1045" s="5" t="str">
        <f t="shared" si="49"/>
        <v>Apr</v>
      </c>
      <c r="O1045" s="5" t="str">
        <f t="shared" si="50"/>
        <v xml:space="preserve"> 2023</v>
      </c>
    </row>
    <row r="1046" spans="1:15" x14ac:dyDescent="0.35">
      <c r="A1046" t="s">
        <v>1677</v>
      </c>
      <c r="B1046" s="5" t="s">
        <v>448</v>
      </c>
      <c r="C1046" s="4" t="s">
        <v>55</v>
      </c>
      <c r="D1046" s="4" t="s">
        <v>63</v>
      </c>
      <c r="E1046" s="4" t="s">
        <v>64</v>
      </c>
      <c r="F1046" s="4" t="s">
        <v>16</v>
      </c>
      <c r="G1046" s="4" t="s">
        <v>17</v>
      </c>
      <c r="H1046" s="4" t="s">
        <v>27</v>
      </c>
      <c r="I1046" s="4" t="s">
        <v>47</v>
      </c>
      <c r="J1046" s="3">
        <v>10</v>
      </c>
      <c r="K1046" s="6">
        <v>454140</v>
      </c>
      <c r="L1046" s="6">
        <f t="shared" si="48"/>
        <v>317898</v>
      </c>
      <c r="M1046" s="6">
        <v>136242</v>
      </c>
      <c r="N1046" s="5" t="str">
        <f t="shared" si="49"/>
        <v>Jul</v>
      </c>
      <c r="O1046" s="5" t="str">
        <f t="shared" si="50"/>
        <v xml:space="preserve"> 2023</v>
      </c>
    </row>
    <row r="1047" spans="1:15" x14ac:dyDescent="0.35">
      <c r="A1047" t="s">
        <v>1678</v>
      </c>
      <c r="B1047" s="5" t="s">
        <v>1535</v>
      </c>
      <c r="C1047" s="4" t="s">
        <v>22</v>
      </c>
      <c r="D1047" s="4" t="s">
        <v>90</v>
      </c>
      <c r="E1047" s="4" t="s">
        <v>91</v>
      </c>
      <c r="F1047" s="4" t="s">
        <v>67</v>
      </c>
      <c r="G1047" s="4" t="s">
        <v>68</v>
      </c>
      <c r="H1047" s="4" t="s">
        <v>27</v>
      </c>
      <c r="I1047" s="4" t="s">
        <v>28</v>
      </c>
      <c r="J1047" s="3">
        <v>5</v>
      </c>
      <c r="K1047" s="6">
        <v>131090</v>
      </c>
      <c r="L1047" s="6">
        <f t="shared" si="48"/>
        <v>91763</v>
      </c>
      <c r="M1047" s="6">
        <v>39327</v>
      </c>
      <c r="N1047" s="5" t="str">
        <f t="shared" si="49"/>
        <v>Aug</v>
      </c>
      <c r="O1047" s="5" t="str">
        <f t="shared" si="50"/>
        <v xml:space="preserve"> 2023</v>
      </c>
    </row>
    <row r="1048" spans="1:15" x14ac:dyDescent="0.35">
      <c r="A1048" t="s">
        <v>1679</v>
      </c>
      <c r="B1048" s="5" t="s">
        <v>107</v>
      </c>
      <c r="C1048" s="4" t="s">
        <v>55</v>
      </c>
      <c r="D1048" s="4" t="s">
        <v>56</v>
      </c>
      <c r="E1048" s="4" t="s">
        <v>57</v>
      </c>
      <c r="F1048" s="4" t="s">
        <v>16</v>
      </c>
      <c r="G1048" s="4" t="s">
        <v>34</v>
      </c>
      <c r="H1048" s="4" t="s">
        <v>72</v>
      </c>
      <c r="I1048" s="4" t="s">
        <v>28</v>
      </c>
      <c r="J1048" s="3">
        <v>8</v>
      </c>
      <c r="K1048" s="6">
        <v>294136</v>
      </c>
      <c r="L1048" s="6">
        <f t="shared" si="48"/>
        <v>205895.19999999998</v>
      </c>
      <c r="M1048" s="6">
        <v>88240.800000000017</v>
      </c>
      <c r="N1048" s="5" t="str">
        <f t="shared" si="49"/>
        <v>Jan</v>
      </c>
      <c r="O1048" s="5" t="str">
        <f t="shared" si="50"/>
        <v xml:space="preserve"> 2023</v>
      </c>
    </row>
    <row r="1049" spans="1:15" x14ac:dyDescent="0.35">
      <c r="A1049" t="s">
        <v>1680</v>
      </c>
      <c r="B1049" s="5" t="s">
        <v>467</v>
      </c>
      <c r="C1049" s="4" t="s">
        <v>31</v>
      </c>
      <c r="D1049" s="4" t="s">
        <v>32</v>
      </c>
      <c r="E1049" s="4" t="s">
        <v>33</v>
      </c>
      <c r="F1049" s="4" t="s">
        <v>37</v>
      </c>
      <c r="G1049" s="4" t="s">
        <v>186</v>
      </c>
      <c r="H1049" s="4" t="s">
        <v>72</v>
      </c>
      <c r="I1049" s="4" t="s">
        <v>28</v>
      </c>
      <c r="J1049" s="3">
        <v>4</v>
      </c>
      <c r="K1049" s="6">
        <v>54376</v>
      </c>
      <c r="L1049" s="6">
        <f t="shared" si="48"/>
        <v>38063.199999999997</v>
      </c>
      <c r="M1049" s="6">
        <v>16312.800000000003</v>
      </c>
      <c r="N1049" s="5" t="str">
        <f t="shared" si="49"/>
        <v>Mar</v>
      </c>
      <c r="O1049" s="5" t="str">
        <f t="shared" si="50"/>
        <v xml:space="preserve"> 2024</v>
      </c>
    </row>
    <row r="1050" spans="1:15" x14ac:dyDescent="0.35">
      <c r="A1050" t="s">
        <v>1681</v>
      </c>
      <c r="B1050" s="5" t="s">
        <v>1379</v>
      </c>
      <c r="C1050" s="4" t="s">
        <v>55</v>
      </c>
      <c r="D1050" s="4" t="s">
        <v>98</v>
      </c>
      <c r="E1050" s="4" t="s">
        <v>99</v>
      </c>
      <c r="F1050" s="4" t="s">
        <v>25</v>
      </c>
      <c r="G1050" s="4" t="s">
        <v>71</v>
      </c>
      <c r="H1050" s="4" t="s">
        <v>72</v>
      </c>
      <c r="I1050" s="4" t="s">
        <v>47</v>
      </c>
      <c r="J1050" s="3">
        <v>9</v>
      </c>
      <c r="K1050" s="6">
        <v>301725</v>
      </c>
      <c r="L1050" s="6">
        <f t="shared" si="48"/>
        <v>211207.5</v>
      </c>
      <c r="M1050" s="6">
        <v>90517.5</v>
      </c>
      <c r="N1050" s="5" t="str">
        <f t="shared" si="49"/>
        <v>Oct</v>
      </c>
      <c r="O1050" s="5" t="str">
        <f t="shared" si="50"/>
        <v xml:space="preserve"> 2024</v>
      </c>
    </row>
    <row r="1051" spans="1:15" x14ac:dyDescent="0.35">
      <c r="A1051" t="s">
        <v>1682</v>
      </c>
      <c r="B1051" s="5" t="s">
        <v>603</v>
      </c>
      <c r="C1051" s="4" t="s">
        <v>31</v>
      </c>
      <c r="D1051" s="4" t="s">
        <v>50</v>
      </c>
      <c r="E1051" s="4" t="s">
        <v>51</v>
      </c>
      <c r="F1051" s="4" t="s">
        <v>25</v>
      </c>
      <c r="G1051" s="4" t="s">
        <v>71</v>
      </c>
      <c r="H1051" s="4" t="s">
        <v>27</v>
      </c>
      <c r="I1051" s="4" t="s">
        <v>47</v>
      </c>
      <c r="J1051" s="3">
        <v>1</v>
      </c>
      <c r="K1051" s="6">
        <v>23872</v>
      </c>
      <c r="L1051" s="6">
        <f t="shared" si="48"/>
        <v>16710.399999999998</v>
      </c>
      <c r="M1051" s="6">
        <v>7161.6000000000022</v>
      </c>
      <c r="N1051" s="5" t="str">
        <f t="shared" si="49"/>
        <v>Oct</v>
      </c>
      <c r="O1051" s="5" t="str">
        <f t="shared" si="50"/>
        <v xml:space="preserve"> 2024</v>
      </c>
    </row>
    <row r="1052" spans="1:15" x14ac:dyDescent="0.35">
      <c r="A1052" t="s">
        <v>1683</v>
      </c>
      <c r="B1052" s="5" t="s">
        <v>634</v>
      </c>
      <c r="C1052" s="4" t="s">
        <v>31</v>
      </c>
      <c r="D1052" s="4" t="s">
        <v>50</v>
      </c>
      <c r="E1052" s="4" t="s">
        <v>51</v>
      </c>
      <c r="F1052" s="4" t="s">
        <v>67</v>
      </c>
      <c r="G1052" s="4" t="s">
        <v>180</v>
      </c>
      <c r="H1052" s="4" t="s">
        <v>27</v>
      </c>
      <c r="I1052" s="4" t="s">
        <v>39</v>
      </c>
      <c r="J1052" s="3">
        <v>2</v>
      </c>
      <c r="K1052" s="6">
        <v>40016</v>
      </c>
      <c r="L1052" s="6">
        <f t="shared" si="48"/>
        <v>28011.199999999997</v>
      </c>
      <c r="M1052" s="6">
        <v>12004.800000000003</v>
      </c>
      <c r="N1052" s="5" t="str">
        <f t="shared" si="49"/>
        <v>Feb</v>
      </c>
      <c r="O1052" s="5" t="str">
        <f t="shared" si="50"/>
        <v xml:space="preserve"> 2024</v>
      </c>
    </row>
    <row r="1053" spans="1:15" x14ac:dyDescent="0.35">
      <c r="A1053" t="s">
        <v>1684</v>
      </c>
      <c r="B1053" s="5" t="s">
        <v>1685</v>
      </c>
      <c r="C1053" s="4" t="s">
        <v>55</v>
      </c>
      <c r="D1053" s="4" t="s">
        <v>98</v>
      </c>
      <c r="E1053" s="4" t="s">
        <v>99</v>
      </c>
      <c r="F1053" s="4" t="s">
        <v>37</v>
      </c>
      <c r="G1053" s="4" t="s">
        <v>183</v>
      </c>
      <c r="H1053" s="4" t="s">
        <v>72</v>
      </c>
      <c r="I1053" s="4" t="s">
        <v>39</v>
      </c>
      <c r="J1053" s="3">
        <v>8</v>
      </c>
      <c r="K1053" s="6">
        <v>330624</v>
      </c>
      <c r="L1053" s="6">
        <f t="shared" si="48"/>
        <v>231436.79999999999</v>
      </c>
      <c r="M1053" s="6">
        <v>99187.200000000012</v>
      </c>
      <c r="N1053" s="5" t="str">
        <f t="shared" si="49"/>
        <v>Aug</v>
      </c>
      <c r="O1053" s="5" t="str">
        <f t="shared" si="50"/>
        <v xml:space="preserve"> 2024</v>
      </c>
    </row>
    <row r="1054" spans="1:15" x14ac:dyDescent="0.35">
      <c r="A1054" t="s">
        <v>1686</v>
      </c>
      <c r="B1054" s="5" t="s">
        <v>331</v>
      </c>
      <c r="C1054" s="4" t="s">
        <v>31</v>
      </c>
      <c r="D1054" s="4" t="s">
        <v>50</v>
      </c>
      <c r="E1054" s="4" t="s">
        <v>51</v>
      </c>
      <c r="F1054" s="4" t="s">
        <v>37</v>
      </c>
      <c r="G1054" s="4" t="s">
        <v>186</v>
      </c>
      <c r="H1054" s="4" t="s">
        <v>27</v>
      </c>
      <c r="I1054" s="4" t="s">
        <v>47</v>
      </c>
      <c r="J1054" s="3">
        <v>7</v>
      </c>
      <c r="K1054" s="6">
        <v>189826</v>
      </c>
      <c r="L1054" s="6">
        <f t="shared" si="48"/>
        <v>132878.19999999998</v>
      </c>
      <c r="M1054" s="6">
        <v>56947.800000000017</v>
      </c>
      <c r="N1054" s="5" t="str">
        <f t="shared" si="49"/>
        <v>May</v>
      </c>
      <c r="O1054" s="5" t="str">
        <f t="shared" si="50"/>
        <v xml:space="preserve"> 2024</v>
      </c>
    </row>
    <row r="1055" spans="1:15" x14ac:dyDescent="0.35">
      <c r="A1055" t="s">
        <v>1687</v>
      </c>
      <c r="B1055" s="5" t="s">
        <v>169</v>
      </c>
      <c r="C1055" s="4" t="s">
        <v>13</v>
      </c>
      <c r="D1055" s="4" t="s">
        <v>14</v>
      </c>
      <c r="E1055" s="4" t="s">
        <v>15</v>
      </c>
      <c r="F1055" s="4" t="s">
        <v>16</v>
      </c>
      <c r="G1055" s="4" t="s">
        <v>34</v>
      </c>
      <c r="H1055" s="4" t="s">
        <v>72</v>
      </c>
      <c r="I1055" s="4" t="s">
        <v>28</v>
      </c>
      <c r="J1055" s="3">
        <v>4</v>
      </c>
      <c r="K1055" s="6">
        <v>82956</v>
      </c>
      <c r="L1055" s="6">
        <f t="shared" si="48"/>
        <v>58069.2</v>
      </c>
      <c r="M1055" s="6">
        <v>24886.800000000003</v>
      </c>
      <c r="N1055" s="5" t="str">
        <f t="shared" si="49"/>
        <v>Jul</v>
      </c>
      <c r="O1055" s="5" t="str">
        <f t="shared" si="50"/>
        <v xml:space="preserve"> 2024</v>
      </c>
    </row>
    <row r="1056" spans="1:15" x14ac:dyDescent="0.35">
      <c r="A1056" t="s">
        <v>1688</v>
      </c>
      <c r="B1056" s="5" t="s">
        <v>246</v>
      </c>
      <c r="C1056" s="4" t="s">
        <v>13</v>
      </c>
      <c r="D1056" s="4" t="s">
        <v>14</v>
      </c>
      <c r="E1056" s="4" t="s">
        <v>15</v>
      </c>
      <c r="F1056" s="4" t="s">
        <v>16</v>
      </c>
      <c r="G1056" s="4" t="s">
        <v>34</v>
      </c>
      <c r="H1056" s="4" t="s">
        <v>72</v>
      </c>
      <c r="I1056" s="4" t="s">
        <v>39</v>
      </c>
      <c r="J1056" s="3">
        <v>9</v>
      </c>
      <c r="K1056" s="6">
        <v>18495</v>
      </c>
      <c r="L1056" s="6">
        <f t="shared" si="48"/>
        <v>12946.5</v>
      </c>
      <c r="M1056" s="6">
        <v>5548.5</v>
      </c>
      <c r="N1056" s="5" t="str">
        <f t="shared" si="49"/>
        <v>Oct</v>
      </c>
      <c r="O1056" s="5" t="str">
        <f t="shared" si="50"/>
        <v xml:space="preserve"> 2023</v>
      </c>
    </row>
    <row r="1057" spans="1:15" x14ac:dyDescent="0.35">
      <c r="A1057" t="s">
        <v>1689</v>
      </c>
      <c r="B1057" s="5" t="s">
        <v>783</v>
      </c>
      <c r="C1057" s="4" t="s">
        <v>22</v>
      </c>
      <c r="D1057" s="4" t="s">
        <v>23</v>
      </c>
      <c r="E1057" s="4" t="s">
        <v>24</v>
      </c>
      <c r="F1057" s="4" t="s">
        <v>16</v>
      </c>
      <c r="G1057" s="4" t="s">
        <v>122</v>
      </c>
      <c r="H1057" s="4" t="s">
        <v>18</v>
      </c>
      <c r="I1057" s="4" t="s">
        <v>60</v>
      </c>
      <c r="J1057" s="3">
        <v>6</v>
      </c>
      <c r="K1057" s="6">
        <v>107874</v>
      </c>
      <c r="L1057" s="6">
        <f t="shared" si="48"/>
        <v>75511.799999999988</v>
      </c>
      <c r="M1057" s="6">
        <v>32362.200000000012</v>
      </c>
      <c r="N1057" s="5" t="str">
        <f t="shared" si="49"/>
        <v>Dec</v>
      </c>
      <c r="O1057" s="5" t="str">
        <f t="shared" si="50"/>
        <v xml:space="preserve"> 2023</v>
      </c>
    </row>
    <row r="1058" spans="1:15" x14ac:dyDescent="0.35">
      <c r="A1058" t="s">
        <v>1690</v>
      </c>
      <c r="B1058" s="5" t="s">
        <v>727</v>
      </c>
      <c r="C1058" s="4" t="s">
        <v>13</v>
      </c>
      <c r="D1058" s="4" t="s">
        <v>125</v>
      </c>
      <c r="E1058" s="4" t="s">
        <v>126</v>
      </c>
      <c r="F1058" s="4" t="s">
        <v>37</v>
      </c>
      <c r="G1058" s="4" t="s">
        <v>148</v>
      </c>
      <c r="H1058" s="4" t="s">
        <v>18</v>
      </c>
      <c r="I1058" s="4" t="s">
        <v>47</v>
      </c>
      <c r="J1058" s="3">
        <v>4</v>
      </c>
      <c r="K1058" s="6">
        <v>165196</v>
      </c>
      <c r="L1058" s="6">
        <f t="shared" si="48"/>
        <v>115637.2</v>
      </c>
      <c r="M1058" s="6">
        <v>49558.8</v>
      </c>
      <c r="N1058" s="5" t="str">
        <f t="shared" si="49"/>
        <v>Apr</v>
      </c>
      <c r="O1058" s="5" t="str">
        <f t="shared" si="50"/>
        <v xml:space="preserve"> 2023</v>
      </c>
    </row>
    <row r="1059" spans="1:15" x14ac:dyDescent="0.35">
      <c r="A1059" t="s">
        <v>1691</v>
      </c>
      <c r="B1059" s="5" t="s">
        <v>590</v>
      </c>
      <c r="C1059" s="4" t="s">
        <v>22</v>
      </c>
      <c r="D1059" s="4" t="s">
        <v>90</v>
      </c>
      <c r="E1059" s="4" t="s">
        <v>110</v>
      </c>
      <c r="F1059" s="4" t="s">
        <v>67</v>
      </c>
      <c r="G1059" s="4" t="s">
        <v>134</v>
      </c>
      <c r="H1059" s="4" t="s">
        <v>18</v>
      </c>
      <c r="I1059" s="4" t="s">
        <v>28</v>
      </c>
      <c r="J1059" s="3">
        <v>7</v>
      </c>
      <c r="K1059" s="6">
        <v>270921</v>
      </c>
      <c r="L1059" s="6">
        <f t="shared" si="48"/>
        <v>189644.69999999998</v>
      </c>
      <c r="M1059" s="6">
        <v>81276.300000000017</v>
      </c>
      <c r="N1059" s="5" t="str">
        <f t="shared" si="49"/>
        <v>May</v>
      </c>
      <c r="O1059" s="5" t="str">
        <f t="shared" si="50"/>
        <v xml:space="preserve"> 2023</v>
      </c>
    </row>
    <row r="1060" spans="1:15" x14ac:dyDescent="0.35">
      <c r="A1060" t="s">
        <v>1692</v>
      </c>
      <c r="B1060" s="5" t="s">
        <v>405</v>
      </c>
      <c r="C1060" s="4" t="s">
        <v>22</v>
      </c>
      <c r="D1060" s="4" t="s">
        <v>90</v>
      </c>
      <c r="E1060" s="4" t="s">
        <v>91</v>
      </c>
      <c r="F1060" s="4" t="s">
        <v>67</v>
      </c>
      <c r="G1060" s="4" t="s">
        <v>180</v>
      </c>
      <c r="H1060" s="4" t="s">
        <v>72</v>
      </c>
      <c r="I1060" s="4" t="s">
        <v>60</v>
      </c>
      <c r="J1060" s="3">
        <v>1</v>
      </c>
      <c r="K1060" s="6">
        <v>31004</v>
      </c>
      <c r="L1060" s="6">
        <f t="shared" si="48"/>
        <v>21702.799999999999</v>
      </c>
      <c r="M1060" s="6">
        <v>9301.2000000000007</v>
      </c>
      <c r="N1060" s="5" t="str">
        <f t="shared" si="49"/>
        <v>Jan</v>
      </c>
      <c r="O1060" s="5" t="str">
        <f t="shared" si="50"/>
        <v xml:space="preserve"> 2024</v>
      </c>
    </row>
    <row r="1061" spans="1:15" x14ac:dyDescent="0.35">
      <c r="A1061" t="s">
        <v>1693</v>
      </c>
      <c r="B1061" s="5" t="s">
        <v>1034</v>
      </c>
      <c r="C1061" s="4" t="s">
        <v>22</v>
      </c>
      <c r="D1061" s="4" t="s">
        <v>90</v>
      </c>
      <c r="E1061" s="4" t="s">
        <v>91</v>
      </c>
      <c r="F1061" s="4" t="s">
        <v>37</v>
      </c>
      <c r="G1061" s="4" t="s">
        <v>148</v>
      </c>
      <c r="H1061" s="4" t="s">
        <v>72</v>
      </c>
      <c r="I1061" s="4" t="s">
        <v>60</v>
      </c>
      <c r="J1061" s="3">
        <v>3</v>
      </c>
      <c r="K1061" s="6">
        <v>30489</v>
      </c>
      <c r="L1061" s="6">
        <f t="shared" si="48"/>
        <v>21342.3</v>
      </c>
      <c r="M1061" s="6">
        <v>9146.7000000000007</v>
      </c>
      <c r="N1061" s="5" t="str">
        <f t="shared" si="49"/>
        <v>Dec</v>
      </c>
      <c r="O1061" s="5" t="str">
        <f t="shared" si="50"/>
        <v xml:space="preserve"> 2023</v>
      </c>
    </row>
    <row r="1062" spans="1:15" x14ac:dyDescent="0.35">
      <c r="A1062" t="s">
        <v>1694</v>
      </c>
      <c r="B1062" s="5" t="s">
        <v>775</v>
      </c>
      <c r="C1062" s="4" t="s">
        <v>31</v>
      </c>
      <c r="D1062" s="4" t="s">
        <v>104</v>
      </c>
      <c r="E1062" s="4" t="s">
        <v>105</v>
      </c>
      <c r="F1062" s="4" t="s">
        <v>25</v>
      </c>
      <c r="G1062" s="4" t="s">
        <v>71</v>
      </c>
      <c r="H1062" s="4" t="s">
        <v>72</v>
      </c>
      <c r="I1062" s="4" t="s">
        <v>60</v>
      </c>
      <c r="J1062" s="3">
        <v>2</v>
      </c>
      <c r="K1062" s="6">
        <v>93104</v>
      </c>
      <c r="L1062" s="6">
        <f t="shared" si="48"/>
        <v>65172.799999999996</v>
      </c>
      <c r="M1062" s="6">
        <v>27931.200000000004</v>
      </c>
      <c r="N1062" s="5" t="str">
        <f t="shared" si="49"/>
        <v>Aug</v>
      </c>
      <c r="O1062" s="5" t="str">
        <f t="shared" si="50"/>
        <v xml:space="preserve"> 2023</v>
      </c>
    </row>
    <row r="1063" spans="1:15" x14ac:dyDescent="0.35">
      <c r="A1063" t="s">
        <v>1695</v>
      </c>
      <c r="B1063" s="5" t="s">
        <v>868</v>
      </c>
      <c r="C1063" s="4" t="s">
        <v>55</v>
      </c>
      <c r="D1063" s="4" t="s">
        <v>82</v>
      </c>
      <c r="E1063" s="4" t="s">
        <v>83</v>
      </c>
      <c r="F1063" s="4" t="s">
        <v>67</v>
      </c>
      <c r="G1063" s="4" t="s">
        <v>113</v>
      </c>
      <c r="H1063" s="4" t="s">
        <v>18</v>
      </c>
      <c r="I1063" s="4" t="s">
        <v>28</v>
      </c>
      <c r="J1063" s="3">
        <v>9</v>
      </c>
      <c r="K1063" s="6">
        <v>149076</v>
      </c>
      <c r="L1063" s="6">
        <f t="shared" si="48"/>
        <v>104353.2</v>
      </c>
      <c r="M1063" s="6">
        <v>44722.8</v>
      </c>
      <c r="N1063" s="5" t="str">
        <f t="shared" si="49"/>
        <v>Apr</v>
      </c>
      <c r="O1063" s="5" t="str">
        <f t="shared" si="50"/>
        <v xml:space="preserve"> 2024</v>
      </c>
    </row>
    <row r="1064" spans="1:15" x14ac:dyDescent="0.35">
      <c r="A1064" t="s">
        <v>1696</v>
      </c>
      <c r="B1064" s="5" t="s">
        <v>388</v>
      </c>
      <c r="C1064" s="4" t="s">
        <v>31</v>
      </c>
      <c r="D1064" s="4" t="s">
        <v>32</v>
      </c>
      <c r="E1064" s="4" t="s">
        <v>33</v>
      </c>
      <c r="F1064" s="4" t="s">
        <v>37</v>
      </c>
      <c r="G1064" s="4" t="s">
        <v>183</v>
      </c>
      <c r="H1064" s="4" t="s">
        <v>27</v>
      </c>
      <c r="I1064" s="4" t="s">
        <v>60</v>
      </c>
      <c r="J1064" s="3">
        <v>8</v>
      </c>
      <c r="K1064" s="6">
        <v>82216</v>
      </c>
      <c r="L1064" s="6">
        <f t="shared" si="48"/>
        <v>57551.199999999997</v>
      </c>
      <c r="M1064" s="6">
        <v>24664.800000000003</v>
      </c>
      <c r="N1064" s="5" t="str">
        <f t="shared" si="49"/>
        <v>Dec</v>
      </c>
      <c r="O1064" s="5" t="str">
        <f t="shared" si="50"/>
        <v xml:space="preserve"> 2023</v>
      </c>
    </row>
    <row r="1065" spans="1:15" x14ac:dyDescent="0.35">
      <c r="A1065" t="s">
        <v>1697</v>
      </c>
      <c r="B1065" s="5" t="s">
        <v>405</v>
      </c>
      <c r="C1065" s="4" t="s">
        <v>13</v>
      </c>
      <c r="D1065" s="4" t="s">
        <v>162</v>
      </c>
      <c r="E1065" s="4" t="s">
        <v>163</v>
      </c>
      <c r="F1065" s="4" t="s">
        <v>25</v>
      </c>
      <c r="G1065" s="4" t="s">
        <v>26</v>
      </c>
      <c r="H1065" s="4" t="s">
        <v>18</v>
      </c>
      <c r="I1065" s="4" t="s">
        <v>60</v>
      </c>
      <c r="J1065" s="3">
        <v>3</v>
      </c>
      <c r="K1065" s="6">
        <v>112632</v>
      </c>
      <c r="L1065" s="6">
        <f t="shared" si="48"/>
        <v>78842.399999999994</v>
      </c>
      <c r="M1065" s="6">
        <v>33789.600000000006</v>
      </c>
      <c r="N1065" s="5" t="str">
        <f t="shared" si="49"/>
        <v>Jan</v>
      </c>
      <c r="O1065" s="5" t="str">
        <f t="shared" si="50"/>
        <v xml:space="preserve"> 2024</v>
      </c>
    </row>
    <row r="1066" spans="1:15" x14ac:dyDescent="0.35">
      <c r="A1066" t="s">
        <v>1698</v>
      </c>
      <c r="B1066" s="5" t="s">
        <v>457</v>
      </c>
      <c r="C1066" s="4" t="s">
        <v>13</v>
      </c>
      <c r="D1066" s="4" t="s">
        <v>14</v>
      </c>
      <c r="E1066" s="4" t="s">
        <v>15</v>
      </c>
      <c r="F1066" s="4" t="s">
        <v>37</v>
      </c>
      <c r="G1066" s="4" t="s">
        <v>183</v>
      </c>
      <c r="H1066" s="4" t="s">
        <v>72</v>
      </c>
      <c r="I1066" s="4" t="s">
        <v>19</v>
      </c>
      <c r="J1066" s="3">
        <v>3</v>
      </c>
      <c r="K1066" s="6">
        <v>102708</v>
      </c>
      <c r="L1066" s="6">
        <f t="shared" si="48"/>
        <v>71895.599999999991</v>
      </c>
      <c r="M1066" s="6">
        <v>30812.400000000009</v>
      </c>
      <c r="N1066" s="5" t="str">
        <f t="shared" si="49"/>
        <v>Apr</v>
      </c>
      <c r="O1066" s="5" t="str">
        <f t="shared" si="50"/>
        <v xml:space="preserve"> 2024</v>
      </c>
    </row>
    <row r="1067" spans="1:15" x14ac:dyDescent="0.35">
      <c r="A1067" t="s">
        <v>1699</v>
      </c>
      <c r="B1067" s="5" t="s">
        <v>1700</v>
      </c>
      <c r="C1067" s="4" t="s">
        <v>22</v>
      </c>
      <c r="D1067" s="4" t="s">
        <v>86</v>
      </c>
      <c r="E1067" s="4" t="s">
        <v>87</v>
      </c>
      <c r="F1067" s="4" t="s">
        <v>37</v>
      </c>
      <c r="G1067" s="4" t="s">
        <v>38</v>
      </c>
      <c r="H1067" s="4" t="s">
        <v>27</v>
      </c>
      <c r="I1067" s="4" t="s">
        <v>39</v>
      </c>
      <c r="J1067" s="3">
        <v>2</v>
      </c>
      <c r="K1067" s="6">
        <v>98620</v>
      </c>
      <c r="L1067" s="6">
        <f t="shared" si="48"/>
        <v>69034</v>
      </c>
      <c r="M1067" s="6">
        <v>29586</v>
      </c>
      <c r="N1067" s="5" t="str">
        <f t="shared" si="49"/>
        <v>Sep</v>
      </c>
      <c r="O1067" s="5" t="str">
        <f t="shared" si="50"/>
        <v xml:space="preserve"> 2023</v>
      </c>
    </row>
    <row r="1068" spans="1:15" x14ac:dyDescent="0.35">
      <c r="A1068" t="s">
        <v>1701</v>
      </c>
      <c r="B1068" s="5" t="s">
        <v>502</v>
      </c>
      <c r="C1068" s="4" t="s">
        <v>31</v>
      </c>
      <c r="D1068" s="4" t="s">
        <v>104</v>
      </c>
      <c r="E1068" s="4" t="s">
        <v>105</v>
      </c>
      <c r="F1068" s="4" t="s">
        <v>67</v>
      </c>
      <c r="G1068" s="4" t="s">
        <v>113</v>
      </c>
      <c r="H1068" s="4" t="s">
        <v>27</v>
      </c>
      <c r="I1068" s="4" t="s">
        <v>39</v>
      </c>
      <c r="J1068" s="3">
        <v>9</v>
      </c>
      <c r="K1068" s="6">
        <v>184410</v>
      </c>
      <c r="L1068" s="6">
        <f t="shared" si="48"/>
        <v>129086.99999999999</v>
      </c>
      <c r="M1068" s="6">
        <v>55323.000000000015</v>
      </c>
      <c r="N1068" s="5" t="str">
        <f t="shared" si="49"/>
        <v>Feb</v>
      </c>
      <c r="O1068" s="5" t="str">
        <f t="shared" si="50"/>
        <v xml:space="preserve"> 2023</v>
      </c>
    </row>
    <row r="1069" spans="1:15" x14ac:dyDescent="0.35">
      <c r="A1069" t="s">
        <v>1702</v>
      </c>
      <c r="B1069" s="5" t="s">
        <v>309</v>
      </c>
      <c r="C1069" s="4" t="s">
        <v>13</v>
      </c>
      <c r="D1069" s="4" t="s">
        <v>125</v>
      </c>
      <c r="E1069" s="4" t="s">
        <v>126</v>
      </c>
      <c r="F1069" s="4" t="s">
        <v>16</v>
      </c>
      <c r="G1069" s="4" t="s">
        <v>122</v>
      </c>
      <c r="H1069" s="4" t="s">
        <v>27</v>
      </c>
      <c r="I1069" s="4" t="s">
        <v>47</v>
      </c>
      <c r="J1069" s="3">
        <v>10</v>
      </c>
      <c r="K1069" s="6">
        <v>90820</v>
      </c>
      <c r="L1069" s="6">
        <f t="shared" si="48"/>
        <v>63573.999999999993</v>
      </c>
      <c r="M1069" s="6">
        <v>27246.000000000007</v>
      </c>
      <c r="N1069" s="5" t="str">
        <f t="shared" si="49"/>
        <v>Oct</v>
      </c>
      <c r="O1069" s="5" t="str">
        <f t="shared" si="50"/>
        <v xml:space="preserve"> 2023</v>
      </c>
    </row>
    <row r="1070" spans="1:15" x14ac:dyDescent="0.35">
      <c r="A1070" t="s">
        <v>1703</v>
      </c>
      <c r="B1070" s="5" t="s">
        <v>1159</v>
      </c>
      <c r="C1070" s="4" t="s">
        <v>31</v>
      </c>
      <c r="D1070" s="4" t="s">
        <v>32</v>
      </c>
      <c r="E1070" s="4" t="s">
        <v>33</v>
      </c>
      <c r="F1070" s="4" t="s">
        <v>16</v>
      </c>
      <c r="G1070" s="4" t="s">
        <v>42</v>
      </c>
      <c r="H1070" s="4" t="s">
        <v>27</v>
      </c>
      <c r="I1070" s="4" t="s">
        <v>28</v>
      </c>
      <c r="J1070" s="3">
        <v>9</v>
      </c>
      <c r="K1070" s="6">
        <v>70380</v>
      </c>
      <c r="L1070" s="6">
        <f t="shared" si="48"/>
        <v>49266</v>
      </c>
      <c r="M1070" s="6">
        <v>21114</v>
      </c>
      <c r="N1070" s="5" t="str">
        <f t="shared" si="49"/>
        <v>Jul</v>
      </c>
      <c r="O1070" s="5" t="str">
        <f t="shared" si="50"/>
        <v xml:space="preserve"> 2024</v>
      </c>
    </row>
    <row r="1071" spans="1:15" x14ac:dyDescent="0.35">
      <c r="A1071" t="s">
        <v>1704</v>
      </c>
      <c r="B1071" s="5" t="s">
        <v>1705</v>
      </c>
      <c r="C1071" s="4" t="s">
        <v>55</v>
      </c>
      <c r="D1071" s="4" t="s">
        <v>82</v>
      </c>
      <c r="E1071" s="4" t="s">
        <v>83</v>
      </c>
      <c r="F1071" s="4" t="s">
        <v>67</v>
      </c>
      <c r="G1071" s="4" t="s">
        <v>113</v>
      </c>
      <c r="H1071" s="4" t="s">
        <v>27</v>
      </c>
      <c r="I1071" s="4" t="s">
        <v>60</v>
      </c>
      <c r="J1071" s="3">
        <v>3</v>
      </c>
      <c r="K1071" s="6">
        <v>131880</v>
      </c>
      <c r="L1071" s="6">
        <f t="shared" si="48"/>
        <v>92316</v>
      </c>
      <c r="M1071" s="6">
        <v>39564</v>
      </c>
      <c r="N1071" s="5" t="str">
        <f t="shared" si="49"/>
        <v>Mar</v>
      </c>
      <c r="O1071" s="5" t="str">
        <f t="shared" si="50"/>
        <v xml:space="preserve"> 2023</v>
      </c>
    </row>
    <row r="1072" spans="1:15" x14ac:dyDescent="0.35">
      <c r="A1072" t="s">
        <v>1706</v>
      </c>
      <c r="B1072" s="5" t="s">
        <v>977</v>
      </c>
      <c r="C1072" s="4" t="s">
        <v>22</v>
      </c>
      <c r="D1072" s="4" t="s">
        <v>86</v>
      </c>
      <c r="E1072" s="4" t="s">
        <v>87</v>
      </c>
      <c r="F1072" s="4" t="s">
        <v>37</v>
      </c>
      <c r="G1072" s="4" t="s">
        <v>148</v>
      </c>
      <c r="H1072" s="4" t="s">
        <v>18</v>
      </c>
      <c r="I1072" s="4" t="s">
        <v>60</v>
      </c>
      <c r="J1072" s="3">
        <v>2</v>
      </c>
      <c r="K1072" s="6">
        <v>5824</v>
      </c>
      <c r="L1072" s="6">
        <f t="shared" si="48"/>
        <v>4076.7999999999997</v>
      </c>
      <c r="M1072" s="6">
        <v>1747.2000000000003</v>
      </c>
      <c r="N1072" s="5" t="str">
        <f t="shared" si="49"/>
        <v>Aug</v>
      </c>
      <c r="O1072" s="5" t="str">
        <f t="shared" si="50"/>
        <v xml:space="preserve"> 2023</v>
      </c>
    </row>
    <row r="1073" spans="1:15" x14ac:dyDescent="0.35">
      <c r="A1073" t="s">
        <v>1707</v>
      </c>
      <c r="B1073" s="5" t="s">
        <v>911</v>
      </c>
      <c r="C1073" s="4" t="s">
        <v>55</v>
      </c>
      <c r="D1073" s="4" t="s">
        <v>63</v>
      </c>
      <c r="E1073" s="4" t="s">
        <v>64</v>
      </c>
      <c r="F1073" s="4" t="s">
        <v>25</v>
      </c>
      <c r="G1073" s="4" t="s">
        <v>52</v>
      </c>
      <c r="H1073" s="4" t="s">
        <v>18</v>
      </c>
      <c r="I1073" s="4" t="s">
        <v>28</v>
      </c>
      <c r="J1073" s="3">
        <v>6</v>
      </c>
      <c r="K1073" s="6">
        <v>141084</v>
      </c>
      <c r="L1073" s="6">
        <f t="shared" si="48"/>
        <v>98758.799999999988</v>
      </c>
      <c r="M1073" s="6">
        <v>42325.200000000012</v>
      </c>
      <c r="N1073" s="5" t="str">
        <f t="shared" si="49"/>
        <v>Sep</v>
      </c>
      <c r="O1073" s="5" t="str">
        <f t="shared" si="50"/>
        <v xml:space="preserve"> 2023</v>
      </c>
    </row>
    <row r="1074" spans="1:15" x14ac:dyDescent="0.35">
      <c r="A1074" t="s">
        <v>1708</v>
      </c>
      <c r="B1074" s="5" t="s">
        <v>1111</v>
      </c>
      <c r="C1074" s="4" t="s">
        <v>22</v>
      </c>
      <c r="D1074" s="4" t="s">
        <v>86</v>
      </c>
      <c r="E1074" s="4" t="s">
        <v>87</v>
      </c>
      <c r="F1074" s="4" t="s">
        <v>37</v>
      </c>
      <c r="G1074" s="4" t="s">
        <v>38</v>
      </c>
      <c r="H1074" s="4" t="s">
        <v>27</v>
      </c>
      <c r="I1074" s="4" t="s">
        <v>19</v>
      </c>
      <c r="J1074" s="3">
        <v>8</v>
      </c>
      <c r="K1074" s="6">
        <v>121216</v>
      </c>
      <c r="L1074" s="6">
        <f t="shared" si="48"/>
        <v>84851.199999999997</v>
      </c>
      <c r="M1074" s="6">
        <v>36364.800000000003</v>
      </c>
      <c r="N1074" s="5" t="str">
        <f t="shared" si="49"/>
        <v>May</v>
      </c>
      <c r="O1074" s="5" t="str">
        <f t="shared" si="50"/>
        <v xml:space="preserve"> 2023</v>
      </c>
    </row>
    <row r="1075" spans="1:15" x14ac:dyDescent="0.35">
      <c r="A1075" t="s">
        <v>1709</v>
      </c>
      <c r="B1075" s="5" t="s">
        <v>1710</v>
      </c>
      <c r="C1075" s="4" t="s">
        <v>13</v>
      </c>
      <c r="D1075" s="4" t="s">
        <v>14</v>
      </c>
      <c r="E1075" s="4" t="s">
        <v>15</v>
      </c>
      <c r="F1075" s="4" t="s">
        <v>16</v>
      </c>
      <c r="G1075" s="4" t="s">
        <v>42</v>
      </c>
      <c r="H1075" s="4" t="s">
        <v>27</v>
      </c>
      <c r="I1075" s="4" t="s">
        <v>28</v>
      </c>
      <c r="J1075" s="3">
        <v>10</v>
      </c>
      <c r="K1075" s="6">
        <v>296230</v>
      </c>
      <c r="L1075" s="6">
        <f t="shared" si="48"/>
        <v>207361</v>
      </c>
      <c r="M1075" s="6">
        <v>88869</v>
      </c>
      <c r="N1075" s="5" t="str">
        <f t="shared" si="49"/>
        <v>Dec</v>
      </c>
      <c r="O1075" s="5" t="str">
        <f t="shared" si="50"/>
        <v xml:space="preserve"> 2023</v>
      </c>
    </row>
    <row r="1076" spans="1:15" x14ac:dyDescent="0.35">
      <c r="A1076" t="s">
        <v>1711</v>
      </c>
      <c r="B1076" s="5" t="s">
        <v>883</v>
      </c>
      <c r="C1076" s="4" t="s">
        <v>31</v>
      </c>
      <c r="D1076" s="4" t="s">
        <v>50</v>
      </c>
      <c r="E1076" s="4" t="s">
        <v>51</v>
      </c>
      <c r="F1076" s="4" t="s">
        <v>37</v>
      </c>
      <c r="G1076" s="4" t="s">
        <v>38</v>
      </c>
      <c r="H1076" s="4" t="s">
        <v>27</v>
      </c>
      <c r="I1076" s="4" t="s">
        <v>39</v>
      </c>
      <c r="J1076" s="3">
        <v>2</v>
      </c>
      <c r="K1076" s="6">
        <v>54502</v>
      </c>
      <c r="L1076" s="6">
        <f t="shared" si="48"/>
        <v>38151.399999999994</v>
      </c>
      <c r="M1076" s="6">
        <v>16350.600000000006</v>
      </c>
      <c r="N1076" s="5" t="str">
        <f t="shared" si="49"/>
        <v>May</v>
      </c>
      <c r="O1076" s="5" t="str">
        <f t="shared" si="50"/>
        <v xml:space="preserve"> 2024</v>
      </c>
    </row>
    <row r="1077" spans="1:15" x14ac:dyDescent="0.35">
      <c r="A1077" t="s">
        <v>1712</v>
      </c>
      <c r="B1077" s="5" t="s">
        <v>427</v>
      </c>
      <c r="C1077" s="4" t="s">
        <v>31</v>
      </c>
      <c r="D1077" s="4" t="s">
        <v>104</v>
      </c>
      <c r="E1077" s="4" t="s">
        <v>105</v>
      </c>
      <c r="F1077" s="4" t="s">
        <v>16</v>
      </c>
      <c r="G1077" s="4" t="s">
        <v>122</v>
      </c>
      <c r="H1077" s="4" t="s">
        <v>27</v>
      </c>
      <c r="I1077" s="4" t="s">
        <v>28</v>
      </c>
      <c r="J1077" s="3">
        <v>8</v>
      </c>
      <c r="K1077" s="6">
        <v>355160</v>
      </c>
      <c r="L1077" s="6">
        <f t="shared" si="48"/>
        <v>248611.99999999997</v>
      </c>
      <c r="M1077" s="6">
        <v>106548.00000000003</v>
      </c>
      <c r="N1077" s="5" t="str">
        <f t="shared" si="49"/>
        <v>Apr</v>
      </c>
      <c r="O1077" s="5" t="str">
        <f t="shared" si="50"/>
        <v xml:space="preserve"> 2023</v>
      </c>
    </row>
    <row r="1078" spans="1:15" x14ac:dyDescent="0.35">
      <c r="A1078" t="s">
        <v>1713</v>
      </c>
      <c r="B1078" s="5" t="s">
        <v>855</v>
      </c>
      <c r="C1078" s="4" t="s">
        <v>13</v>
      </c>
      <c r="D1078" s="4" t="s">
        <v>118</v>
      </c>
      <c r="E1078" s="4" t="s">
        <v>119</v>
      </c>
      <c r="F1078" s="4" t="s">
        <v>67</v>
      </c>
      <c r="G1078" s="4" t="s">
        <v>68</v>
      </c>
      <c r="H1078" s="4" t="s">
        <v>18</v>
      </c>
      <c r="I1078" s="4" t="s">
        <v>28</v>
      </c>
      <c r="J1078" s="3">
        <v>3</v>
      </c>
      <c r="K1078" s="6">
        <v>87645</v>
      </c>
      <c r="L1078" s="6">
        <f t="shared" si="48"/>
        <v>61351.499999999993</v>
      </c>
      <c r="M1078" s="6">
        <v>26293.500000000007</v>
      </c>
      <c r="N1078" s="5" t="str">
        <f t="shared" si="49"/>
        <v>Aug</v>
      </c>
      <c r="O1078" s="5" t="str">
        <f t="shared" si="50"/>
        <v xml:space="preserve"> 2024</v>
      </c>
    </row>
    <row r="1079" spans="1:15" x14ac:dyDescent="0.35">
      <c r="A1079" t="s">
        <v>1714</v>
      </c>
      <c r="B1079" s="5" t="s">
        <v>1715</v>
      </c>
      <c r="C1079" s="4" t="s">
        <v>13</v>
      </c>
      <c r="D1079" s="4" t="s">
        <v>162</v>
      </c>
      <c r="E1079" s="4" t="s">
        <v>163</v>
      </c>
      <c r="F1079" s="4" t="s">
        <v>37</v>
      </c>
      <c r="G1079" s="4" t="s">
        <v>38</v>
      </c>
      <c r="H1079" s="4" t="s">
        <v>72</v>
      </c>
      <c r="I1079" s="4" t="s">
        <v>60</v>
      </c>
      <c r="J1079" s="3">
        <v>2</v>
      </c>
      <c r="K1079" s="6">
        <v>21570</v>
      </c>
      <c r="L1079" s="6">
        <f t="shared" si="48"/>
        <v>15098.999999999998</v>
      </c>
      <c r="M1079" s="6">
        <v>6471.0000000000018</v>
      </c>
      <c r="N1079" s="5" t="str">
        <f t="shared" si="49"/>
        <v>Jun</v>
      </c>
      <c r="O1079" s="5" t="str">
        <f t="shared" si="50"/>
        <v xml:space="preserve"> 2023</v>
      </c>
    </row>
    <row r="1080" spans="1:15" x14ac:dyDescent="0.35">
      <c r="A1080" t="s">
        <v>1716</v>
      </c>
      <c r="B1080" s="5" t="s">
        <v>1717</v>
      </c>
      <c r="C1080" s="4" t="s">
        <v>55</v>
      </c>
      <c r="D1080" s="4" t="s">
        <v>56</v>
      </c>
      <c r="E1080" s="4" t="s">
        <v>57</v>
      </c>
      <c r="F1080" s="4" t="s">
        <v>67</v>
      </c>
      <c r="G1080" s="4" t="s">
        <v>134</v>
      </c>
      <c r="H1080" s="4" t="s">
        <v>27</v>
      </c>
      <c r="I1080" s="4" t="s">
        <v>60</v>
      </c>
      <c r="J1080" s="3">
        <v>9</v>
      </c>
      <c r="K1080" s="6">
        <v>9135</v>
      </c>
      <c r="L1080" s="6">
        <f t="shared" si="48"/>
        <v>6394.5</v>
      </c>
      <c r="M1080" s="6">
        <v>2740.5</v>
      </c>
      <c r="N1080" s="5" t="str">
        <f t="shared" si="49"/>
        <v>Oct</v>
      </c>
      <c r="O1080" s="5" t="str">
        <f t="shared" si="50"/>
        <v xml:space="preserve"> 2024</v>
      </c>
    </row>
    <row r="1081" spans="1:15" x14ac:dyDescent="0.35">
      <c r="A1081" t="s">
        <v>1718</v>
      </c>
      <c r="B1081" s="5" t="s">
        <v>727</v>
      </c>
      <c r="C1081" s="4" t="s">
        <v>55</v>
      </c>
      <c r="D1081" s="4" t="s">
        <v>63</v>
      </c>
      <c r="E1081" s="4" t="s">
        <v>64</v>
      </c>
      <c r="F1081" s="4" t="s">
        <v>25</v>
      </c>
      <c r="G1081" s="4" t="s">
        <v>52</v>
      </c>
      <c r="H1081" s="4" t="s">
        <v>27</v>
      </c>
      <c r="I1081" s="4" t="s">
        <v>19</v>
      </c>
      <c r="J1081" s="3">
        <v>8</v>
      </c>
      <c r="K1081" s="6">
        <v>39504</v>
      </c>
      <c r="L1081" s="6">
        <f t="shared" si="48"/>
        <v>27652.799999999999</v>
      </c>
      <c r="M1081" s="6">
        <v>11851.2</v>
      </c>
      <c r="N1081" s="5" t="str">
        <f t="shared" si="49"/>
        <v>Apr</v>
      </c>
      <c r="O1081" s="5" t="str">
        <f t="shared" si="50"/>
        <v xml:space="preserve"> 2023</v>
      </c>
    </row>
    <row r="1082" spans="1:15" x14ac:dyDescent="0.35">
      <c r="A1082" t="s">
        <v>1719</v>
      </c>
      <c r="B1082" s="5" t="s">
        <v>934</v>
      </c>
      <c r="C1082" s="4" t="s">
        <v>13</v>
      </c>
      <c r="D1082" s="4" t="s">
        <v>125</v>
      </c>
      <c r="E1082" s="4" t="s">
        <v>126</v>
      </c>
      <c r="F1082" s="4" t="s">
        <v>25</v>
      </c>
      <c r="G1082" s="4" t="s">
        <v>26</v>
      </c>
      <c r="H1082" s="4" t="s">
        <v>27</v>
      </c>
      <c r="I1082" s="4" t="s">
        <v>47</v>
      </c>
      <c r="J1082" s="3">
        <v>7</v>
      </c>
      <c r="K1082" s="6">
        <v>176134</v>
      </c>
      <c r="L1082" s="6">
        <f t="shared" si="48"/>
        <v>123293.79999999999</v>
      </c>
      <c r="M1082" s="6">
        <v>52840.200000000012</v>
      </c>
      <c r="N1082" s="5" t="str">
        <f t="shared" si="49"/>
        <v>Oct</v>
      </c>
      <c r="O1082" s="5" t="str">
        <f t="shared" si="50"/>
        <v xml:space="preserve"> 2024</v>
      </c>
    </row>
    <row r="1083" spans="1:15" x14ac:dyDescent="0.35">
      <c r="A1083" t="s">
        <v>1720</v>
      </c>
      <c r="B1083" s="5" t="s">
        <v>917</v>
      </c>
      <c r="C1083" s="4" t="s">
        <v>55</v>
      </c>
      <c r="D1083" s="4" t="s">
        <v>56</v>
      </c>
      <c r="E1083" s="4" t="s">
        <v>57</v>
      </c>
      <c r="F1083" s="4" t="s">
        <v>16</v>
      </c>
      <c r="G1083" s="4" t="s">
        <v>17</v>
      </c>
      <c r="H1083" s="4" t="s">
        <v>18</v>
      </c>
      <c r="I1083" s="4" t="s">
        <v>60</v>
      </c>
      <c r="J1083" s="3">
        <v>2</v>
      </c>
      <c r="K1083" s="6">
        <v>99266</v>
      </c>
      <c r="L1083" s="6">
        <f t="shared" si="48"/>
        <v>69486.2</v>
      </c>
      <c r="M1083" s="6">
        <v>29779.800000000003</v>
      </c>
      <c r="N1083" s="5" t="str">
        <f t="shared" si="49"/>
        <v>Jul</v>
      </c>
      <c r="O1083" s="5" t="str">
        <f t="shared" si="50"/>
        <v xml:space="preserve"> 2023</v>
      </c>
    </row>
    <row r="1084" spans="1:15" x14ac:dyDescent="0.35">
      <c r="A1084" t="s">
        <v>1721</v>
      </c>
      <c r="B1084" s="5" t="s">
        <v>577</v>
      </c>
      <c r="C1084" s="4" t="s">
        <v>22</v>
      </c>
      <c r="D1084" s="4" t="s">
        <v>90</v>
      </c>
      <c r="E1084" s="4" t="s">
        <v>110</v>
      </c>
      <c r="F1084" s="4" t="s">
        <v>16</v>
      </c>
      <c r="G1084" s="4" t="s">
        <v>122</v>
      </c>
      <c r="H1084" s="4" t="s">
        <v>72</v>
      </c>
      <c r="I1084" s="4" t="s">
        <v>19</v>
      </c>
      <c r="J1084" s="3">
        <v>5</v>
      </c>
      <c r="K1084" s="6">
        <v>200275</v>
      </c>
      <c r="L1084" s="6">
        <f t="shared" si="48"/>
        <v>140192.5</v>
      </c>
      <c r="M1084" s="6">
        <v>60082.5</v>
      </c>
      <c r="N1084" s="5" t="str">
        <f t="shared" si="49"/>
        <v>Nov</v>
      </c>
      <c r="O1084" s="5" t="str">
        <f t="shared" si="50"/>
        <v xml:space="preserve"> 2024</v>
      </c>
    </row>
    <row r="1085" spans="1:15" x14ac:dyDescent="0.35">
      <c r="A1085" t="s">
        <v>1722</v>
      </c>
      <c r="B1085" s="5" t="s">
        <v>295</v>
      </c>
      <c r="C1085" s="4" t="s">
        <v>13</v>
      </c>
      <c r="D1085" s="4" t="s">
        <v>14</v>
      </c>
      <c r="E1085" s="4" t="s">
        <v>15</v>
      </c>
      <c r="F1085" s="4" t="s">
        <v>25</v>
      </c>
      <c r="G1085" s="4" t="s">
        <v>71</v>
      </c>
      <c r="H1085" s="4" t="s">
        <v>18</v>
      </c>
      <c r="I1085" s="4" t="s">
        <v>19</v>
      </c>
      <c r="J1085" s="3">
        <v>4</v>
      </c>
      <c r="K1085" s="6">
        <v>69048</v>
      </c>
      <c r="L1085" s="6">
        <f t="shared" si="48"/>
        <v>48333.599999999999</v>
      </c>
      <c r="M1085" s="6">
        <v>20714.400000000001</v>
      </c>
      <c r="N1085" s="5" t="str">
        <f t="shared" si="49"/>
        <v>Aug</v>
      </c>
      <c r="O1085" s="5" t="str">
        <f t="shared" si="50"/>
        <v xml:space="preserve"> 2024</v>
      </c>
    </row>
    <row r="1086" spans="1:15" x14ac:dyDescent="0.35">
      <c r="A1086" t="s">
        <v>1723</v>
      </c>
      <c r="B1086" s="5" t="s">
        <v>1518</v>
      </c>
      <c r="C1086" s="4" t="s">
        <v>31</v>
      </c>
      <c r="D1086" s="4" t="s">
        <v>104</v>
      </c>
      <c r="E1086" s="4" t="s">
        <v>105</v>
      </c>
      <c r="F1086" s="4" t="s">
        <v>37</v>
      </c>
      <c r="G1086" s="4" t="s">
        <v>186</v>
      </c>
      <c r="H1086" s="4" t="s">
        <v>72</v>
      </c>
      <c r="I1086" s="4" t="s">
        <v>47</v>
      </c>
      <c r="J1086" s="3">
        <v>7</v>
      </c>
      <c r="K1086" s="6">
        <v>104958</v>
      </c>
      <c r="L1086" s="6">
        <f t="shared" si="48"/>
        <v>73470.599999999991</v>
      </c>
      <c r="M1086" s="6">
        <v>31487.400000000009</v>
      </c>
      <c r="N1086" s="5" t="str">
        <f t="shared" si="49"/>
        <v>Sep</v>
      </c>
      <c r="O1086" s="5" t="str">
        <f t="shared" si="50"/>
        <v xml:space="preserve"> 2024</v>
      </c>
    </row>
    <row r="1087" spans="1:15" x14ac:dyDescent="0.35">
      <c r="A1087" t="s">
        <v>1724</v>
      </c>
      <c r="B1087" s="5" t="s">
        <v>1030</v>
      </c>
      <c r="C1087" s="4" t="s">
        <v>22</v>
      </c>
      <c r="D1087" s="4" t="s">
        <v>90</v>
      </c>
      <c r="E1087" s="4" t="s">
        <v>110</v>
      </c>
      <c r="F1087" s="4" t="s">
        <v>16</v>
      </c>
      <c r="G1087" s="4" t="s">
        <v>17</v>
      </c>
      <c r="H1087" s="4" t="s">
        <v>18</v>
      </c>
      <c r="I1087" s="4" t="s">
        <v>47</v>
      </c>
      <c r="J1087" s="3">
        <v>2</v>
      </c>
      <c r="K1087" s="6">
        <v>45552</v>
      </c>
      <c r="L1087" s="6">
        <f t="shared" si="48"/>
        <v>31886.399999999998</v>
      </c>
      <c r="M1087" s="6">
        <v>13665.600000000002</v>
      </c>
      <c r="N1087" s="5" t="str">
        <f t="shared" si="49"/>
        <v>Sep</v>
      </c>
      <c r="O1087" s="5" t="str">
        <f t="shared" si="50"/>
        <v xml:space="preserve"> 2024</v>
      </c>
    </row>
    <row r="1088" spans="1:15" x14ac:dyDescent="0.35">
      <c r="A1088" t="s">
        <v>1725</v>
      </c>
      <c r="B1088" s="5" t="s">
        <v>101</v>
      </c>
      <c r="C1088" s="4" t="s">
        <v>22</v>
      </c>
      <c r="D1088" s="4" t="s">
        <v>86</v>
      </c>
      <c r="E1088" s="4" t="s">
        <v>87</v>
      </c>
      <c r="F1088" s="4" t="s">
        <v>67</v>
      </c>
      <c r="G1088" s="4" t="s">
        <v>68</v>
      </c>
      <c r="H1088" s="4" t="s">
        <v>72</v>
      </c>
      <c r="I1088" s="4" t="s">
        <v>39</v>
      </c>
      <c r="J1088" s="3">
        <v>5</v>
      </c>
      <c r="K1088" s="6">
        <v>6445</v>
      </c>
      <c r="L1088" s="6">
        <f t="shared" si="48"/>
        <v>4511.5</v>
      </c>
      <c r="M1088" s="6">
        <v>1933.5</v>
      </c>
      <c r="N1088" s="5" t="str">
        <f t="shared" si="49"/>
        <v>Dec</v>
      </c>
      <c r="O1088" s="5" t="str">
        <f t="shared" si="50"/>
        <v xml:space="preserve"> 2023</v>
      </c>
    </row>
    <row r="1089" spans="1:15" x14ac:dyDescent="0.35">
      <c r="A1089" t="s">
        <v>1726</v>
      </c>
      <c r="B1089" s="5" t="s">
        <v>1727</v>
      </c>
      <c r="C1089" s="4" t="s">
        <v>31</v>
      </c>
      <c r="D1089" s="4" t="s">
        <v>45</v>
      </c>
      <c r="E1089" s="4" t="s">
        <v>46</v>
      </c>
      <c r="F1089" s="4" t="s">
        <v>16</v>
      </c>
      <c r="G1089" s="4" t="s">
        <v>42</v>
      </c>
      <c r="H1089" s="4" t="s">
        <v>18</v>
      </c>
      <c r="I1089" s="4" t="s">
        <v>60</v>
      </c>
      <c r="J1089" s="3">
        <v>1</v>
      </c>
      <c r="K1089" s="6">
        <v>42081</v>
      </c>
      <c r="L1089" s="6">
        <f t="shared" si="48"/>
        <v>29456.699999999997</v>
      </c>
      <c r="M1089" s="6">
        <v>12624.300000000003</v>
      </c>
      <c r="N1089" s="5" t="str">
        <f t="shared" si="49"/>
        <v>Oct</v>
      </c>
      <c r="O1089" s="5" t="str">
        <f t="shared" si="50"/>
        <v xml:space="preserve"> 2023</v>
      </c>
    </row>
    <row r="1090" spans="1:15" x14ac:dyDescent="0.35">
      <c r="A1090" t="s">
        <v>1728</v>
      </c>
      <c r="B1090" s="5" t="s">
        <v>1729</v>
      </c>
      <c r="C1090" s="4" t="s">
        <v>55</v>
      </c>
      <c r="D1090" s="4" t="s">
        <v>82</v>
      </c>
      <c r="E1090" s="4" t="s">
        <v>83</v>
      </c>
      <c r="F1090" s="4" t="s">
        <v>25</v>
      </c>
      <c r="G1090" s="4" t="s">
        <v>26</v>
      </c>
      <c r="H1090" s="4" t="s">
        <v>18</v>
      </c>
      <c r="I1090" s="4" t="s">
        <v>47</v>
      </c>
      <c r="J1090" s="3">
        <v>6</v>
      </c>
      <c r="K1090" s="6">
        <v>23724</v>
      </c>
      <c r="L1090" s="6">
        <f t="shared" ref="L1090:L1153" si="51">K1090*0.7</f>
        <v>16606.8</v>
      </c>
      <c r="M1090" s="6">
        <v>7117.2000000000007</v>
      </c>
      <c r="N1090" s="5" t="str">
        <f t="shared" ref="N1090:N1153" si="52">TEXT(B1090,"mmm")</f>
        <v>May</v>
      </c>
      <c r="O1090" s="5" t="str">
        <f t="shared" ref="O1090:O1153" si="53">TEXT(B1090," yyyy")</f>
        <v xml:space="preserve"> 2024</v>
      </c>
    </row>
    <row r="1091" spans="1:15" x14ac:dyDescent="0.35">
      <c r="A1091" t="s">
        <v>1730</v>
      </c>
      <c r="B1091" s="5" t="s">
        <v>1715</v>
      </c>
      <c r="C1091" s="4" t="s">
        <v>22</v>
      </c>
      <c r="D1091" s="4" t="s">
        <v>90</v>
      </c>
      <c r="E1091" s="4" t="s">
        <v>91</v>
      </c>
      <c r="F1091" s="4" t="s">
        <v>16</v>
      </c>
      <c r="G1091" s="4" t="s">
        <v>34</v>
      </c>
      <c r="H1091" s="4" t="s">
        <v>27</v>
      </c>
      <c r="I1091" s="4" t="s">
        <v>19</v>
      </c>
      <c r="J1091" s="3">
        <v>4</v>
      </c>
      <c r="K1091" s="6">
        <v>99008</v>
      </c>
      <c r="L1091" s="6">
        <f t="shared" si="51"/>
        <v>69305.599999999991</v>
      </c>
      <c r="M1091" s="6">
        <v>29702.400000000009</v>
      </c>
      <c r="N1091" s="5" t="str">
        <f t="shared" si="52"/>
        <v>Jun</v>
      </c>
      <c r="O1091" s="5" t="str">
        <f t="shared" si="53"/>
        <v xml:space="preserve"> 2023</v>
      </c>
    </row>
    <row r="1092" spans="1:15" x14ac:dyDescent="0.35">
      <c r="A1092" t="s">
        <v>1731</v>
      </c>
      <c r="B1092" s="5" t="s">
        <v>457</v>
      </c>
      <c r="C1092" s="4" t="s">
        <v>13</v>
      </c>
      <c r="D1092" s="4" t="s">
        <v>118</v>
      </c>
      <c r="E1092" s="4" t="s">
        <v>119</v>
      </c>
      <c r="F1092" s="4" t="s">
        <v>37</v>
      </c>
      <c r="G1092" s="4" t="s">
        <v>186</v>
      </c>
      <c r="H1092" s="4" t="s">
        <v>27</v>
      </c>
      <c r="I1092" s="4" t="s">
        <v>19</v>
      </c>
      <c r="J1092" s="3">
        <v>8</v>
      </c>
      <c r="K1092" s="6">
        <v>4696</v>
      </c>
      <c r="L1092" s="6">
        <f t="shared" si="51"/>
        <v>3287.2</v>
      </c>
      <c r="M1092" s="6">
        <v>1408.8000000000002</v>
      </c>
      <c r="N1092" s="5" t="str">
        <f t="shared" si="52"/>
        <v>Apr</v>
      </c>
      <c r="O1092" s="5" t="str">
        <f t="shared" si="53"/>
        <v xml:space="preserve"> 2024</v>
      </c>
    </row>
    <row r="1093" spans="1:15" x14ac:dyDescent="0.35">
      <c r="A1093" t="s">
        <v>1732</v>
      </c>
      <c r="B1093" s="5" t="s">
        <v>1733</v>
      </c>
      <c r="C1093" s="4" t="s">
        <v>13</v>
      </c>
      <c r="D1093" s="4" t="s">
        <v>118</v>
      </c>
      <c r="E1093" s="4" t="s">
        <v>119</v>
      </c>
      <c r="F1093" s="4" t="s">
        <v>67</v>
      </c>
      <c r="G1093" s="4" t="s">
        <v>134</v>
      </c>
      <c r="H1093" s="4" t="s">
        <v>18</v>
      </c>
      <c r="I1093" s="4" t="s">
        <v>39</v>
      </c>
      <c r="J1093" s="3">
        <v>2</v>
      </c>
      <c r="K1093" s="6">
        <v>64312</v>
      </c>
      <c r="L1093" s="6">
        <f t="shared" si="51"/>
        <v>45018.399999999994</v>
      </c>
      <c r="M1093" s="6">
        <v>19293.600000000006</v>
      </c>
      <c r="N1093" s="5" t="str">
        <f t="shared" si="52"/>
        <v>Nov</v>
      </c>
      <c r="O1093" s="5" t="str">
        <f t="shared" si="53"/>
        <v xml:space="preserve"> 2024</v>
      </c>
    </row>
    <row r="1094" spans="1:15" x14ac:dyDescent="0.35">
      <c r="A1094" t="s">
        <v>1734</v>
      </c>
      <c r="B1094" s="5" t="s">
        <v>487</v>
      </c>
      <c r="C1094" s="4" t="s">
        <v>55</v>
      </c>
      <c r="D1094" s="4" t="s">
        <v>82</v>
      </c>
      <c r="E1094" s="4" t="s">
        <v>83</v>
      </c>
      <c r="F1094" s="4" t="s">
        <v>16</v>
      </c>
      <c r="G1094" s="4" t="s">
        <v>17</v>
      </c>
      <c r="H1094" s="4" t="s">
        <v>72</v>
      </c>
      <c r="I1094" s="4" t="s">
        <v>28</v>
      </c>
      <c r="J1094" s="3">
        <v>7</v>
      </c>
      <c r="K1094" s="6">
        <v>18431</v>
      </c>
      <c r="L1094" s="6">
        <f t="shared" si="51"/>
        <v>12901.699999999999</v>
      </c>
      <c r="M1094" s="6">
        <v>5529.3000000000011</v>
      </c>
      <c r="N1094" s="5" t="str">
        <f t="shared" si="52"/>
        <v>Mar</v>
      </c>
      <c r="O1094" s="5" t="str">
        <f t="shared" si="53"/>
        <v xml:space="preserve"> 2024</v>
      </c>
    </row>
    <row r="1095" spans="1:15" x14ac:dyDescent="0.35">
      <c r="A1095" t="s">
        <v>1735</v>
      </c>
      <c r="B1095" s="5" t="s">
        <v>1736</v>
      </c>
      <c r="C1095" s="4" t="s">
        <v>55</v>
      </c>
      <c r="D1095" s="4" t="s">
        <v>63</v>
      </c>
      <c r="E1095" s="4" t="s">
        <v>64</v>
      </c>
      <c r="F1095" s="4" t="s">
        <v>16</v>
      </c>
      <c r="G1095" s="4" t="s">
        <v>17</v>
      </c>
      <c r="H1095" s="4" t="s">
        <v>27</v>
      </c>
      <c r="I1095" s="4" t="s">
        <v>47</v>
      </c>
      <c r="J1095" s="3">
        <v>10</v>
      </c>
      <c r="K1095" s="6">
        <v>40000</v>
      </c>
      <c r="L1095" s="6">
        <f t="shared" si="51"/>
        <v>28000</v>
      </c>
      <c r="M1095" s="6">
        <v>12000</v>
      </c>
      <c r="N1095" s="5" t="str">
        <f t="shared" si="52"/>
        <v>Jul</v>
      </c>
      <c r="O1095" s="5" t="str">
        <f t="shared" si="53"/>
        <v xml:space="preserve"> 2023</v>
      </c>
    </row>
    <row r="1096" spans="1:15" x14ac:dyDescent="0.35">
      <c r="A1096" t="s">
        <v>1737</v>
      </c>
      <c r="B1096" s="5" t="s">
        <v>1738</v>
      </c>
      <c r="C1096" s="4" t="s">
        <v>55</v>
      </c>
      <c r="D1096" s="4" t="s">
        <v>98</v>
      </c>
      <c r="E1096" s="4" t="s">
        <v>99</v>
      </c>
      <c r="F1096" s="4" t="s">
        <v>37</v>
      </c>
      <c r="G1096" s="4" t="s">
        <v>183</v>
      </c>
      <c r="H1096" s="4" t="s">
        <v>18</v>
      </c>
      <c r="I1096" s="4" t="s">
        <v>47</v>
      </c>
      <c r="J1096" s="3">
        <v>10</v>
      </c>
      <c r="K1096" s="6">
        <v>466100</v>
      </c>
      <c r="L1096" s="6">
        <f t="shared" si="51"/>
        <v>326270</v>
      </c>
      <c r="M1096" s="6">
        <v>139830</v>
      </c>
      <c r="N1096" s="5" t="str">
        <f t="shared" si="52"/>
        <v>Jan</v>
      </c>
      <c r="O1096" s="5" t="str">
        <f t="shared" si="53"/>
        <v xml:space="preserve"> 2023</v>
      </c>
    </row>
    <row r="1097" spans="1:15" x14ac:dyDescent="0.35">
      <c r="A1097" t="s">
        <v>1739</v>
      </c>
      <c r="B1097" s="5" t="s">
        <v>232</v>
      </c>
      <c r="C1097" s="4" t="s">
        <v>22</v>
      </c>
      <c r="D1097" s="4" t="s">
        <v>23</v>
      </c>
      <c r="E1097" s="4" t="s">
        <v>24</v>
      </c>
      <c r="F1097" s="4" t="s">
        <v>16</v>
      </c>
      <c r="G1097" s="4" t="s">
        <v>17</v>
      </c>
      <c r="H1097" s="4" t="s">
        <v>18</v>
      </c>
      <c r="I1097" s="4" t="s">
        <v>19</v>
      </c>
      <c r="J1097" s="3">
        <v>6</v>
      </c>
      <c r="K1097" s="6">
        <v>95106</v>
      </c>
      <c r="L1097" s="6">
        <f t="shared" si="51"/>
        <v>66574.2</v>
      </c>
      <c r="M1097" s="6">
        <v>28531.800000000003</v>
      </c>
      <c r="N1097" s="5" t="str">
        <f t="shared" si="52"/>
        <v>May</v>
      </c>
      <c r="O1097" s="5" t="str">
        <f t="shared" si="53"/>
        <v xml:space="preserve"> 2024</v>
      </c>
    </row>
    <row r="1098" spans="1:15" x14ac:dyDescent="0.35">
      <c r="A1098" t="s">
        <v>1740</v>
      </c>
      <c r="B1098" s="5" t="s">
        <v>248</v>
      </c>
      <c r="C1098" s="4" t="s">
        <v>31</v>
      </c>
      <c r="D1098" s="4" t="s">
        <v>50</v>
      </c>
      <c r="E1098" s="4" t="s">
        <v>51</v>
      </c>
      <c r="F1098" s="4" t="s">
        <v>37</v>
      </c>
      <c r="G1098" s="4" t="s">
        <v>148</v>
      </c>
      <c r="H1098" s="4" t="s">
        <v>72</v>
      </c>
      <c r="I1098" s="4" t="s">
        <v>19</v>
      </c>
      <c r="J1098" s="3">
        <v>5</v>
      </c>
      <c r="K1098" s="6">
        <v>199100</v>
      </c>
      <c r="L1098" s="6">
        <f t="shared" si="51"/>
        <v>139370</v>
      </c>
      <c r="M1098" s="6">
        <v>59730</v>
      </c>
      <c r="N1098" s="5" t="str">
        <f t="shared" si="52"/>
        <v>Jun</v>
      </c>
      <c r="O1098" s="5" t="str">
        <f t="shared" si="53"/>
        <v xml:space="preserve"> 2024</v>
      </c>
    </row>
    <row r="1099" spans="1:15" x14ac:dyDescent="0.35">
      <c r="A1099" t="s">
        <v>1741</v>
      </c>
      <c r="B1099" s="5" t="s">
        <v>1742</v>
      </c>
      <c r="C1099" s="4" t="s">
        <v>13</v>
      </c>
      <c r="D1099" s="4" t="s">
        <v>125</v>
      </c>
      <c r="E1099" s="4" t="s">
        <v>126</v>
      </c>
      <c r="F1099" s="4" t="s">
        <v>25</v>
      </c>
      <c r="G1099" s="4" t="s">
        <v>52</v>
      </c>
      <c r="H1099" s="4" t="s">
        <v>18</v>
      </c>
      <c r="I1099" s="4" t="s">
        <v>19</v>
      </c>
      <c r="J1099" s="3">
        <v>1</v>
      </c>
      <c r="K1099" s="6">
        <v>17793</v>
      </c>
      <c r="L1099" s="6">
        <f t="shared" si="51"/>
        <v>12455.099999999999</v>
      </c>
      <c r="M1099" s="6">
        <v>5337.9000000000015</v>
      </c>
      <c r="N1099" s="5" t="str">
        <f t="shared" si="52"/>
        <v>Oct</v>
      </c>
      <c r="O1099" s="5" t="str">
        <f t="shared" si="53"/>
        <v xml:space="preserve"> 2023</v>
      </c>
    </row>
    <row r="1100" spans="1:15" x14ac:dyDescent="0.35">
      <c r="A1100" t="s">
        <v>1743</v>
      </c>
      <c r="B1100" s="5" t="s">
        <v>309</v>
      </c>
      <c r="C1100" s="4" t="s">
        <v>13</v>
      </c>
      <c r="D1100" s="4" t="s">
        <v>125</v>
      </c>
      <c r="E1100" s="4" t="s">
        <v>126</v>
      </c>
      <c r="F1100" s="4" t="s">
        <v>25</v>
      </c>
      <c r="G1100" s="4" t="s">
        <v>26</v>
      </c>
      <c r="H1100" s="4" t="s">
        <v>27</v>
      </c>
      <c r="I1100" s="4" t="s">
        <v>47</v>
      </c>
      <c r="J1100" s="3">
        <v>10</v>
      </c>
      <c r="K1100" s="6">
        <v>128180</v>
      </c>
      <c r="L1100" s="6">
        <f t="shared" si="51"/>
        <v>89726</v>
      </c>
      <c r="M1100" s="6">
        <v>38454</v>
      </c>
      <c r="N1100" s="5" t="str">
        <f t="shared" si="52"/>
        <v>Oct</v>
      </c>
      <c r="O1100" s="5" t="str">
        <f t="shared" si="53"/>
        <v xml:space="preserve"> 2023</v>
      </c>
    </row>
    <row r="1101" spans="1:15" x14ac:dyDescent="0.35">
      <c r="A1101" t="s">
        <v>1744</v>
      </c>
      <c r="B1101" s="5" t="s">
        <v>1745</v>
      </c>
      <c r="C1101" s="4" t="s">
        <v>31</v>
      </c>
      <c r="D1101" s="4" t="s">
        <v>32</v>
      </c>
      <c r="E1101" s="4" t="s">
        <v>33</v>
      </c>
      <c r="F1101" s="4" t="s">
        <v>67</v>
      </c>
      <c r="G1101" s="4" t="s">
        <v>113</v>
      </c>
      <c r="H1101" s="4" t="s">
        <v>72</v>
      </c>
      <c r="I1101" s="4" t="s">
        <v>47</v>
      </c>
      <c r="J1101" s="3">
        <v>10</v>
      </c>
      <c r="K1101" s="6">
        <v>437810</v>
      </c>
      <c r="L1101" s="6">
        <f t="shared" si="51"/>
        <v>306467</v>
      </c>
      <c r="M1101" s="6">
        <v>131343</v>
      </c>
      <c r="N1101" s="5" t="str">
        <f t="shared" si="52"/>
        <v>Nov</v>
      </c>
      <c r="O1101" s="5" t="str">
        <f t="shared" si="53"/>
        <v xml:space="preserve"> 2024</v>
      </c>
    </row>
    <row r="1102" spans="1:15" x14ac:dyDescent="0.35">
      <c r="A1102" t="s">
        <v>1746</v>
      </c>
      <c r="B1102" s="5" t="s">
        <v>1747</v>
      </c>
      <c r="C1102" s="4" t="s">
        <v>13</v>
      </c>
      <c r="D1102" s="4" t="s">
        <v>125</v>
      </c>
      <c r="E1102" s="4" t="s">
        <v>126</v>
      </c>
      <c r="F1102" s="4" t="s">
        <v>25</v>
      </c>
      <c r="G1102" s="4" t="s">
        <v>26</v>
      </c>
      <c r="H1102" s="4" t="s">
        <v>18</v>
      </c>
      <c r="I1102" s="4" t="s">
        <v>47</v>
      </c>
      <c r="J1102" s="3">
        <v>3</v>
      </c>
      <c r="K1102" s="6">
        <v>114480</v>
      </c>
      <c r="L1102" s="6">
        <f t="shared" si="51"/>
        <v>80136</v>
      </c>
      <c r="M1102" s="6">
        <v>34344</v>
      </c>
      <c r="N1102" s="5" t="str">
        <f t="shared" si="52"/>
        <v>Oct</v>
      </c>
      <c r="O1102" s="5" t="str">
        <f t="shared" si="53"/>
        <v xml:space="preserve"> 2023</v>
      </c>
    </row>
    <row r="1103" spans="1:15" x14ac:dyDescent="0.35">
      <c r="A1103" t="s">
        <v>1748</v>
      </c>
      <c r="B1103" s="5" t="s">
        <v>1593</v>
      </c>
      <c r="C1103" s="4" t="s">
        <v>55</v>
      </c>
      <c r="D1103" s="4" t="s">
        <v>98</v>
      </c>
      <c r="E1103" s="4" t="s">
        <v>99</v>
      </c>
      <c r="F1103" s="4" t="s">
        <v>67</v>
      </c>
      <c r="G1103" s="4" t="s">
        <v>68</v>
      </c>
      <c r="H1103" s="4" t="s">
        <v>27</v>
      </c>
      <c r="I1103" s="4" t="s">
        <v>39</v>
      </c>
      <c r="J1103" s="3">
        <v>1</v>
      </c>
      <c r="K1103" s="6">
        <v>6167</v>
      </c>
      <c r="L1103" s="6">
        <f t="shared" si="51"/>
        <v>4316.8999999999996</v>
      </c>
      <c r="M1103" s="6">
        <v>1850.1000000000004</v>
      </c>
      <c r="N1103" s="5" t="str">
        <f t="shared" si="52"/>
        <v>Dec</v>
      </c>
      <c r="O1103" s="5" t="str">
        <f t="shared" si="53"/>
        <v xml:space="preserve"> 2023</v>
      </c>
    </row>
    <row r="1104" spans="1:15" x14ac:dyDescent="0.35">
      <c r="A1104" t="s">
        <v>1749</v>
      </c>
      <c r="B1104" s="5" t="s">
        <v>1431</v>
      </c>
      <c r="C1104" s="4" t="s">
        <v>13</v>
      </c>
      <c r="D1104" s="4" t="s">
        <v>14</v>
      </c>
      <c r="E1104" s="4" t="s">
        <v>15</v>
      </c>
      <c r="F1104" s="4" t="s">
        <v>67</v>
      </c>
      <c r="G1104" s="4" t="s">
        <v>180</v>
      </c>
      <c r="H1104" s="4" t="s">
        <v>18</v>
      </c>
      <c r="I1104" s="4" t="s">
        <v>60</v>
      </c>
      <c r="J1104" s="3">
        <v>4</v>
      </c>
      <c r="K1104" s="6">
        <v>152212</v>
      </c>
      <c r="L1104" s="6">
        <f t="shared" si="51"/>
        <v>106548.4</v>
      </c>
      <c r="M1104" s="6">
        <v>45663.600000000006</v>
      </c>
      <c r="N1104" s="5" t="str">
        <f t="shared" si="52"/>
        <v>Jul</v>
      </c>
      <c r="O1104" s="5" t="str">
        <f t="shared" si="53"/>
        <v xml:space="preserve"> 2023</v>
      </c>
    </row>
    <row r="1105" spans="1:15" x14ac:dyDescent="0.35">
      <c r="A1105" t="s">
        <v>1750</v>
      </c>
      <c r="B1105" s="5" t="s">
        <v>1751</v>
      </c>
      <c r="C1105" s="4" t="s">
        <v>22</v>
      </c>
      <c r="D1105" s="4" t="s">
        <v>90</v>
      </c>
      <c r="E1105" s="4" t="s">
        <v>110</v>
      </c>
      <c r="F1105" s="4" t="s">
        <v>16</v>
      </c>
      <c r="G1105" s="4" t="s">
        <v>122</v>
      </c>
      <c r="H1105" s="4" t="s">
        <v>27</v>
      </c>
      <c r="I1105" s="4" t="s">
        <v>60</v>
      </c>
      <c r="J1105" s="3">
        <v>3</v>
      </c>
      <c r="K1105" s="6">
        <v>66939</v>
      </c>
      <c r="L1105" s="6">
        <f t="shared" si="51"/>
        <v>46857.299999999996</v>
      </c>
      <c r="M1105" s="6">
        <v>20081.700000000004</v>
      </c>
      <c r="N1105" s="5" t="str">
        <f t="shared" si="52"/>
        <v>Nov</v>
      </c>
      <c r="O1105" s="5" t="str">
        <f t="shared" si="53"/>
        <v xml:space="preserve"> 2024</v>
      </c>
    </row>
    <row r="1106" spans="1:15" x14ac:dyDescent="0.35">
      <c r="A1106" t="s">
        <v>1752</v>
      </c>
      <c r="B1106" s="5" t="s">
        <v>225</v>
      </c>
      <c r="C1106" s="4" t="s">
        <v>13</v>
      </c>
      <c r="D1106" s="4" t="s">
        <v>14</v>
      </c>
      <c r="E1106" s="4" t="s">
        <v>15</v>
      </c>
      <c r="F1106" s="4" t="s">
        <v>25</v>
      </c>
      <c r="G1106" s="4" t="s">
        <v>71</v>
      </c>
      <c r="H1106" s="4" t="s">
        <v>18</v>
      </c>
      <c r="I1106" s="4" t="s">
        <v>28</v>
      </c>
      <c r="J1106" s="3">
        <v>2</v>
      </c>
      <c r="K1106" s="6">
        <v>31726</v>
      </c>
      <c r="L1106" s="6">
        <f t="shared" si="51"/>
        <v>22208.199999999997</v>
      </c>
      <c r="M1106" s="6">
        <v>9517.8000000000029</v>
      </c>
      <c r="N1106" s="5" t="str">
        <f t="shared" si="52"/>
        <v>Feb</v>
      </c>
      <c r="O1106" s="5" t="str">
        <f t="shared" si="53"/>
        <v xml:space="preserve"> 2024</v>
      </c>
    </row>
    <row r="1107" spans="1:15" x14ac:dyDescent="0.35">
      <c r="A1107" t="s">
        <v>1753</v>
      </c>
      <c r="B1107" s="5" t="s">
        <v>522</v>
      </c>
      <c r="C1107" s="4" t="s">
        <v>13</v>
      </c>
      <c r="D1107" s="4" t="s">
        <v>14</v>
      </c>
      <c r="E1107" s="4" t="s">
        <v>15</v>
      </c>
      <c r="F1107" s="4" t="s">
        <v>37</v>
      </c>
      <c r="G1107" s="4" t="s">
        <v>148</v>
      </c>
      <c r="H1107" s="4" t="s">
        <v>72</v>
      </c>
      <c r="I1107" s="4" t="s">
        <v>39</v>
      </c>
      <c r="J1107" s="3">
        <v>7</v>
      </c>
      <c r="K1107" s="6">
        <v>316792</v>
      </c>
      <c r="L1107" s="6">
        <f t="shared" si="51"/>
        <v>221754.4</v>
      </c>
      <c r="M1107" s="6">
        <v>95037.6</v>
      </c>
      <c r="N1107" s="5" t="str">
        <f t="shared" si="52"/>
        <v>Feb</v>
      </c>
      <c r="O1107" s="5" t="str">
        <f t="shared" si="53"/>
        <v xml:space="preserve"> 2024</v>
      </c>
    </row>
    <row r="1108" spans="1:15" x14ac:dyDescent="0.35">
      <c r="A1108" t="s">
        <v>1754</v>
      </c>
      <c r="B1108" s="5" t="s">
        <v>374</v>
      </c>
      <c r="C1108" s="4" t="s">
        <v>31</v>
      </c>
      <c r="D1108" s="4" t="s">
        <v>32</v>
      </c>
      <c r="E1108" s="4" t="s">
        <v>33</v>
      </c>
      <c r="F1108" s="4" t="s">
        <v>67</v>
      </c>
      <c r="G1108" s="4" t="s">
        <v>68</v>
      </c>
      <c r="H1108" s="4" t="s">
        <v>27</v>
      </c>
      <c r="I1108" s="4" t="s">
        <v>47</v>
      </c>
      <c r="J1108" s="3">
        <v>8</v>
      </c>
      <c r="K1108" s="6">
        <v>364520</v>
      </c>
      <c r="L1108" s="6">
        <f t="shared" si="51"/>
        <v>255163.99999999997</v>
      </c>
      <c r="M1108" s="6">
        <v>109356.00000000003</v>
      </c>
      <c r="N1108" s="5" t="str">
        <f t="shared" si="52"/>
        <v>Apr</v>
      </c>
      <c r="O1108" s="5" t="str">
        <f t="shared" si="53"/>
        <v xml:space="preserve"> 2024</v>
      </c>
    </row>
    <row r="1109" spans="1:15" x14ac:dyDescent="0.35">
      <c r="A1109" t="s">
        <v>1755</v>
      </c>
      <c r="B1109" s="5" t="s">
        <v>1756</v>
      </c>
      <c r="C1109" s="4" t="s">
        <v>22</v>
      </c>
      <c r="D1109" s="4" t="s">
        <v>86</v>
      </c>
      <c r="E1109" s="4" t="s">
        <v>87</v>
      </c>
      <c r="F1109" s="4" t="s">
        <v>37</v>
      </c>
      <c r="G1109" s="4" t="s">
        <v>186</v>
      </c>
      <c r="H1109" s="4" t="s">
        <v>18</v>
      </c>
      <c r="I1109" s="4" t="s">
        <v>19</v>
      </c>
      <c r="J1109" s="3">
        <v>8</v>
      </c>
      <c r="K1109" s="6">
        <v>216272</v>
      </c>
      <c r="L1109" s="6">
        <f t="shared" si="51"/>
        <v>151390.39999999999</v>
      </c>
      <c r="M1109" s="6">
        <v>64881.600000000006</v>
      </c>
      <c r="N1109" s="5" t="str">
        <f t="shared" si="52"/>
        <v>Jun</v>
      </c>
      <c r="O1109" s="5" t="str">
        <f t="shared" si="53"/>
        <v xml:space="preserve"> 2023</v>
      </c>
    </row>
    <row r="1110" spans="1:15" x14ac:dyDescent="0.35">
      <c r="A1110" t="s">
        <v>1757</v>
      </c>
      <c r="B1110" s="5" t="s">
        <v>473</v>
      </c>
      <c r="C1110" s="4" t="s">
        <v>31</v>
      </c>
      <c r="D1110" s="4" t="s">
        <v>45</v>
      </c>
      <c r="E1110" s="4" t="s">
        <v>46</v>
      </c>
      <c r="F1110" s="4" t="s">
        <v>67</v>
      </c>
      <c r="G1110" s="4" t="s">
        <v>68</v>
      </c>
      <c r="H1110" s="4" t="s">
        <v>27</v>
      </c>
      <c r="I1110" s="4" t="s">
        <v>19</v>
      </c>
      <c r="J1110" s="3">
        <v>2</v>
      </c>
      <c r="K1110" s="6">
        <v>85912</v>
      </c>
      <c r="L1110" s="6">
        <f t="shared" si="51"/>
        <v>60138.399999999994</v>
      </c>
      <c r="M1110" s="6">
        <v>25773.600000000006</v>
      </c>
      <c r="N1110" s="5" t="str">
        <f t="shared" si="52"/>
        <v>Mar</v>
      </c>
      <c r="O1110" s="5" t="str">
        <f t="shared" si="53"/>
        <v xml:space="preserve"> 2023</v>
      </c>
    </row>
    <row r="1111" spans="1:15" x14ac:dyDescent="0.35">
      <c r="A1111" t="s">
        <v>1758</v>
      </c>
      <c r="B1111" s="5" t="s">
        <v>238</v>
      </c>
      <c r="C1111" s="4" t="s">
        <v>31</v>
      </c>
      <c r="D1111" s="4" t="s">
        <v>45</v>
      </c>
      <c r="E1111" s="4" t="s">
        <v>46</v>
      </c>
      <c r="F1111" s="4" t="s">
        <v>37</v>
      </c>
      <c r="G1111" s="4" t="s">
        <v>148</v>
      </c>
      <c r="H1111" s="4" t="s">
        <v>27</v>
      </c>
      <c r="I1111" s="4" t="s">
        <v>47</v>
      </c>
      <c r="J1111" s="3">
        <v>4</v>
      </c>
      <c r="K1111" s="6">
        <v>28280</v>
      </c>
      <c r="L1111" s="6">
        <f t="shared" si="51"/>
        <v>19796</v>
      </c>
      <c r="M1111" s="6">
        <v>8484</v>
      </c>
      <c r="N1111" s="5" t="str">
        <f t="shared" si="52"/>
        <v>Sep</v>
      </c>
      <c r="O1111" s="5" t="str">
        <f t="shared" si="53"/>
        <v xml:space="preserve"> 2023</v>
      </c>
    </row>
    <row r="1112" spans="1:15" x14ac:dyDescent="0.35">
      <c r="A1112" t="s">
        <v>1759</v>
      </c>
      <c r="B1112" s="5" t="s">
        <v>960</v>
      </c>
      <c r="C1112" s="4" t="s">
        <v>22</v>
      </c>
      <c r="D1112" s="4" t="s">
        <v>90</v>
      </c>
      <c r="E1112" s="4" t="s">
        <v>110</v>
      </c>
      <c r="F1112" s="4" t="s">
        <v>16</v>
      </c>
      <c r="G1112" s="4" t="s">
        <v>122</v>
      </c>
      <c r="H1112" s="4" t="s">
        <v>72</v>
      </c>
      <c r="I1112" s="4" t="s">
        <v>19</v>
      </c>
      <c r="J1112" s="3">
        <v>3</v>
      </c>
      <c r="K1112" s="6">
        <v>144429</v>
      </c>
      <c r="L1112" s="6">
        <f t="shared" si="51"/>
        <v>101100.29999999999</v>
      </c>
      <c r="M1112" s="6">
        <v>43328.700000000012</v>
      </c>
      <c r="N1112" s="5" t="str">
        <f t="shared" si="52"/>
        <v>Nov</v>
      </c>
      <c r="O1112" s="5" t="str">
        <f t="shared" si="53"/>
        <v xml:space="preserve"> 2023</v>
      </c>
    </row>
    <row r="1113" spans="1:15" x14ac:dyDescent="0.35">
      <c r="A1113" t="s">
        <v>1760</v>
      </c>
      <c r="B1113" s="5" t="s">
        <v>1761</v>
      </c>
      <c r="C1113" s="4" t="s">
        <v>55</v>
      </c>
      <c r="D1113" s="4" t="s">
        <v>56</v>
      </c>
      <c r="E1113" s="4" t="s">
        <v>57</v>
      </c>
      <c r="F1113" s="4" t="s">
        <v>37</v>
      </c>
      <c r="G1113" s="4" t="s">
        <v>183</v>
      </c>
      <c r="H1113" s="4" t="s">
        <v>18</v>
      </c>
      <c r="I1113" s="4" t="s">
        <v>60</v>
      </c>
      <c r="J1113" s="3">
        <v>2</v>
      </c>
      <c r="K1113" s="6">
        <v>59506</v>
      </c>
      <c r="L1113" s="6">
        <f t="shared" si="51"/>
        <v>41654.199999999997</v>
      </c>
      <c r="M1113" s="6">
        <v>17851.800000000003</v>
      </c>
      <c r="N1113" s="5" t="str">
        <f t="shared" si="52"/>
        <v>Oct</v>
      </c>
      <c r="O1113" s="5" t="str">
        <f t="shared" si="53"/>
        <v xml:space="preserve"> 2023</v>
      </c>
    </row>
    <row r="1114" spans="1:15" x14ac:dyDescent="0.35">
      <c r="A1114" t="s">
        <v>1762</v>
      </c>
      <c r="B1114" s="5" t="s">
        <v>1584</v>
      </c>
      <c r="C1114" s="4" t="s">
        <v>13</v>
      </c>
      <c r="D1114" s="4" t="s">
        <v>118</v>
      </c>
      <c r="E1114" s="4" t="s">
        <v>119</v>
      </c>
      <c r="F1114" s="4" t="s">
        <v>37</v>
      </c>
      <c r="G1114" s="4" t="s">
        <v>148</v>
      </c>
      <c r="H1114" s="4" t="s">
        <v>72</v>
      </c>
      <c r="I1114" s="4" t="s">
        <v>60</v>
      </c>
      <c r="J1114" s="3">
        <v>10</v>
      </c>
      <c r="K1114" s="6">
        <v>173560</v>
      </c>
      <c r="L1114" s="6">
        <f t="shared" si="51"/>
        <v>121491.99999999999</v>
      </c>
      <c r="M1114" s="6">
        <v>52068.000000000015</v>
      </c>
      <c r="N1114" s="5" t="str">
        <f t="shared" si="52"/>
        <v>Jun</v>
      </c>
      <c r="O1114" s="5" t="str">
        <f t="shared" si="53"/>
        <v xml:space="preserve"> 2023</v>
      </c>
    </row>
    <row r="1115" spans="1:15" x14ac:dyDescent="0.35">
      <c r="A1115" t="s">
        <v>1763</v>
      </c>
      <c r="B1115" s="5" t="s">
        <v>1080</v>
      </c>
      <c r="C1115" s="4" t="s">
        <v>31</v>
      </c>
      <c r="D1115" s="4" t="s">
        <v>50</v>
      </c>
      <c r="E1115" s="4" t="s">
        <v>51</v>
      </c>
      <c r="F1115" s="4" t="s">
        <v>67</v>
      </c>
      <c r="G1115" s="4" t="s">
        <v>180</v>
      </c>
      <c r="H1115" s="4" t="s">
        <v>72</v>
      </c>
      <c r="I1115" s="4" t="s">
        <v>47</v>
      </c>
      <c r="J1115" s="3">
        <v>1</v>
      </c>
      <c r="K1115" s="6">
        <v>11637</v>
      </c>
      <c r="L1115" s="6">
        <f t="shared" si="51"/>
        <v>8145.9</v>
      </c>
      <c r="M1115" s="6">
        <v>3491.1000000000004</v>
      </c>
      <c r="N1115" s="5" t="str">
        <f t="shared" si="52"/>
        <v>Nov</v>
      </c>
      <c r="O1115" s="5" t="str">
        <f t="shared" si="53"/>
        <v xml:space="preserve"> 2023</v>
      </c>
    </row>
    <row r="1116" spans="1:15" x14ac:dyDescent="0.35">
      <c r="A1116" t="s">
        <v>1764</v>
      </c>
      <c r="B1116" s="5" t="s">
        <v>560</v>
      </c>
      <c r="C1116" s="4" t="s">
        <v>13</v>
      </c>
      <c r="D1116" s="4" t="s">
        <v>118</v>
      </c>
      <c r="E1116" s="4" t="s">
        <v>119</v>
      </c>
      <c r="F1116" s="4" t="s">
        <v>16</v>
      </c>
      <c r="G1116" s="4" t="s">
        <v>42</v>
      </c>
      <c r="H1116" s="4" t="s">
        <v>18</v>
      </c>
      <c r="I1116" s="4" t="s">
        <v>28</v>
      </c>
      <c r="J1116" s="3">
        <v>7</v>
      </c>
      <c r="K1116" s="6">
        <v>60732</v>
      </c>
      <c r="L1116" s="6">
        <f t="shared" si="51"/>
        <v>42512.399999999994</v>
      </c>
      <c r="M1116" s="6">
        <v>18219.600000000006</v>
      </c>
      <c r="N1116" s="5" t="str">
        <f t="shared" si="52"/>
        <v>Nov</v>
      </c>
      <c r="O1116" s="5" t="str">
        <f t="shared" si="53"/>
        <v xml:space="preserve"> 2023</v>
      </c>
    </row>
    <row r="1117" spans="1:15" x14ac:dyDescent="0.35">
      <c r="A1117" t="s">
        <v>1765</v>
      </c>
      <c r="B1117" s="5" t="s">
        <v>883</v>
      </c>
      <c r="C1117" s="4" t="s">
        <v>31</v>
      </c>
      <c r="D1117" s="4" t="s">
        <v>104</v>
      </c>
      <c r="E1117" s="4" t="s">
        <v>105</v>
      </c>
      <c r="F1117" s="4" t="s">
        <v>16</v>
      </c>
      <c r="G1117" s="4" t="s">
        <v>122</v>
      </c>
      <c r="H1117" s="4" t="s">
        <v>72</v>
      </c>
      <c r="I1117" s="4" t="s">
        <v>47</v>
      </c>
      <c r="J1117" s="3">
        <v>2</v>
      </c>
      <c r="K1117" s="6">
        <v>65752</v>
      </c>
      <c r="L1117" s="6">
        <f t="shared" si="51"/>
        <v>46026.399999999994</v>
      </c>
      <c r="M1117" s="6">
        <v>19725.600000000006</v>
      </c>
      <c r="N1117" s="5" t="str">
        <f t="shared" si="52"/>
        <v>May</v>
      </c>
      <c r="O1117" s="5" t="str">
        <f t="shared" si="53"/>
        <v xml:space="preserve"> 2024</v>
      </c>
    </row>
    <row r="1118" spans="1:15" x14ac:dyDescent="0.35">
      <c r="A1118" t="s">
        <v>1766</v>
      </c>
      <c r="B1118" s="5" t="s">
        <v>1377</v>
      </c>
      <c r="C1118" s="4" t="s">
        <v>22</v>
      </c>
      <c r="D1118" s="4" t="s">
        <v>23</v>
      </c>
      <c r="E1118" s="4" t="s">
        <v>24</v>
      </c>
      <c r="F1118" s="4" t="s">
        <v>25</v>
      </c>
      <c r="G1118" s="4" t="s">
        <v>71</v>
      </c>
      <c r="H1118" s="4" t="s">
        <v>27</v>
      </c>
      <c r="I1118" s="4" t="s">
        <v>28</v>
      </c>
      <c r="J1118" s="3">
        <v>9</v>
      </c>
      <c r="K1118" s="6">
        <v>331371</v>
      </c>
      <c r="L1118" s="6">
        <f t="shared" si="51"/>
        <v>231959.69999999998</v>
      </c>
      <c r="M1118" s="6">
        <v>99411.300000000017</v>
      </c>
      <c r="N1118" s="5" t="str">
        <f t="shared" si="52"/>
        <v>Jun</v>
      </c>
      <c r="O1118" s="5" t="str">
        <f t="shared" si="53"/>
        <v xml:space="preserve"> 2024</v>
      </c>
    </row>
    <row r="1119" spans="1:15" x14ac:dyDescent="0.35">
      <c r="A1119" t="s">
        <v>1767</v>
      </c>
      <c r="B1119" s="5" t="s">
        <v>1768</v>
      </c>
      <c r="C1119" s="4" t="s">
        <v>31</v>
      </c>
      <c r="D1119" s="4" t="s">
        <v>32</v>
      </c>
      <c r="E1119" s="4" t="s">
        <v>33</v>
      </c>
      <c r="F1119" s="4" t="s">
        <v>25</v>
      </c>
      <c r="G1119" s="4" t="s">
        <v>26</v>
      </c>
      <c r="H1119" s="4" t="s">
        <v>72</v>
      </c>
      <c r="I1119" s="4" t="s">
        <v>39</v>
      </c>
      <c r="J1119" s="3">
        <v>3</v>
      </c>
      <c r="K1119" s="6">
        <v>33822</v>
      </c>
      <c r="L1119" s="6">
        <f t="shared" si="51"/>
        <v>23675.399999999998</v>
      </c>
      <c r="M1119" s="6">
        <v>10146.600000000002</v>
      </c>
      <c r="N1119" s="5" t="str">
        <f t="shared" si="52"/>
        <v>Jul</v>
      </c>
      <c r="O1119" s="5" t="str">
        <f t="shared" si="53"/>
        <v xml:space="preserve"> 2023</v>
      </c>
    </row>
    <row r="1120" spans="1:15" x14ac:dyDescent="0.35">
      <c r="A1120" t="s">
        <v>1769</v>
      </c>
      <c r="B1120" s="5" t="s">
        <v>1770</v>
      </c>
      <c r="C1120" s="4" t="s">
        <v>55</v>
      </c>
      <c r="D1120" s="4" t="s">
        <v>98</v>
      </c>
      <c r="E1120" s="4" t="s">
        <v>99</v>
      </c>
      <c r="F1120" s="4" t="s">
        <v>16</v>
      </c>
      <c r="G1120" s="4" t="s">
        <v>17</v>
      </c>
      <c r="H1120" s="4" t="s">
        <v>72</v>
      </c>
      <c r="I1120" s="4" t="s">
        <v>19</v>
      </c>
      <c r="J1120" s="3">
        <v>3</v>
      </c>
      <c r="K1120" s="6">
        <v>112521</v>
      </c>
      <c r="L1120" s="6">
        <f t="shared" si="51"/>
        <v>78764.7</v>
      </c>
      <c r="M1120" s="6">
        <v>33756.300000000003</v>
      </c>
      <c r="N1120" s="5" t="str">
        <f t="shared" si="52"/>
        <v>Mar</v>
      </c>
      <c r="O1120" s="5" t="str">
        <f t="shared" si="53"/>
        <v xml:space="preserve"> 2024</v>
      </c>
    </row>
    <row r="1121" spans="1:15" x14ac:dyDescent="0.35">
      <c r="A1121" t="s">
        <v>1771</v>
      </c>
      <c r="B1121" s="5" t="s">
        <v>979</v>
      </c>
      <c r="C1121" s="4" t="s">
        <v>22</v>
      </c>
      <c r="D1121" s="4" t="s">
        <v>86</v>
      </c>
      <c r="E1121" s="4" t="s">
        <v>87</v>
      </c>
      <c r="F1121" s="4" t="s">
        <v>16</v>
      </c>
      <c r="G1121" s="4" t="s">
        <v>122</v>
      </c>
      <c r="H1121" s="4" t="s">
        <v>72</v>
      </c>
      <c r="I1121" s="4" t="s">
        <v>28</v>
      </c>
      <c r="J1121" s="3">
        <v>8</v>
      </c>
      <c r="K1121" s="6">
        <v>228848</v>
      </c>
      <c r="L1121" s="6">
        <f t="shared" si="51"/>
        <v>160193.59999999998</v>
      </c>
      <c r="M1121" s="6">
        <v>68654.400000000023</v>
      </c>
      <c r="N1121" s="5" t="str">
        <f t="shared" si="52"/>
        <v>Jan</v>
      </c>
      <c r="O1121" s="5" t="str">
        <f t="shared" si="53"/>
        <v xml:space="preserve"> 2024</v>
      </c>
    </row>
    <row r="1122" spans="1:15" x14ac:dyDescent="0.35">
      <c r="A1122" t="s">
        <v>1772</v>
      </c>
      <c r="B1122" s="5" t="s">
        <v>973</v>
      </c>
      <c r="C1122" s="4" t="s">
        <v>13</v>
      </c>
      <c r="D1122" s="4" t="s">
        <v>14</v>
      </c>
      <c r="E1122" s="4" t="s">
        <v>15</v>
      </c>
      <c r="F1122" s="4" t="s">
        <v>67</v>
      </c>
      <c r="G1122" s="4" t="s">
        <v>180</v>
      </c>
      <c r="H1122" s="4" t="s">
        <v>72</v>
      </c>
      <c r="I1122" s="4" t="s">
        <v>47</v>
      </c>
      <c r="J1122" s="3">
        <v>9</v>
      </c>
      <c r="K1122" s="6">
        <v>122130</v>
      </c>
      <c r="L1122" s="6">
        <f t="shared" si="51"/>
        <v>85491</v>
      </c>
      <c r="M1122" s="6">
        <v>36639</v>
      </c>
      <c r="N1122" s="5" t="str">
        <f t="shared" si="52"/>
        <v>Apr</v>
      </c>
      <c r="O1122" s="5" t="str">
        <f t="shared" si="53"/>
        <v xml:space="preserve"> 2024</v>
      </c>
    </row>
    <row r="1123" spans="1:15" x14ac:dyDescent="0.35">
      <c r="A1123" t="s">
        <v>1773</v>
      </c>
      <c r="B1123" s="5" t="s">
        <v>1774</v>
      </c>
      <c r="C1123" s="4" t="s">
        <v>55</v>
      </c>
      <c r="D1123" s="4" t="s">
        <v>63</v>
      </c>
      <c r="E1123" s="4" t="s">
        <v>64</v>
      </c>
      <c r="F1123" s="4" t="s">
        <v>16</v>
      </c>
      <c r="G1123" s="4" t="s">
        <v>17</v>
      </c>
      <c r="H1123" s="4" t="s">
        <v>27</v>
      </c>
      <c r="I1123" s="4" t="s">
        <v>60</v>
      </c>
      <c r="J1123" s="3">
        <v>7</v>
      </c>
      <c r="K1123" s="6">
        <v>110768</v>
      </c>
      <c r="L1123" s="6">
        <f t="shared" si="51"/>
        <v>77537.599999999991</v>
      </c>
      <c r="M1123" s="6">
        <v>33230.400000000009</v>
      </c>
      <c r="N1123" s="5" t="str">
        <f t="shared" si="52"/>
        <v>May</v>
      </c>
      <c r="O1123" s="5" t="str">
        <f t="shared" si="53"/>
        <v xml:space="preserve"> 2024</v>
      </c>
    </row>
    <row r="1124" spans="1:15" x14ac:dyDescent="0.35">
      <c r="A1124" t="s">
        <v>1775</v>
      </c>
      <c r="B1124" s="5" t="s">
        <v>752</v>
      </c>
      <c r="C1124" s="4" t="s">
        <v>13</v>
      </c>
      <c r="D1124" s="4" t="s">
        <v>118</v>
      </c>
      <c r="E1124" s="4" t="s">
        <v>119</v>
      </c>
      <c r="F1124" s="4" t="s">
        <v>37</v>
      </c>
      <c r="G1124" s="4" t="s">
        <v>148</v>
      </c>
      <c r="H1124" s="4" t="s">
        <v>72</v>
      </c>
      <c r="I1124" s="4" t="s">
        <v>28</v>
      </c>
      <c r="J1124" s="3">
        <v>10</v>
      </c>
      <c r="K1124" s="6">
        <v>232670</v>
      </c>
      <c r="L1124" s="6">
        <f t="shared" si="51"/>
        <v>162869</v>
      </c>
      <c r="M1124" s="6">
        <v>69801</v>
      </c>
      <c r="N1124" s="5" t="str">
        <f t="shared" si="52"/>
        <v>Jan</v>
      </c>
      <c r="O1124" s="5" t="str">
        <f t="shared" si="53"/>
        <v xml:space="preserve"> 2023</v>
      </c>
    </row>
    <row r="1125" spans="1:15" x14ac:dyDescent="0.35">
      <c r="A1125" t="s">
        <v>1776</v>
      </c>
      <c r="B1125" s="5" t="s">
        <v>516</v>
      </c>
      <c r="C1125" s="4" t="s">
        <v>31</v>
      </c>
      <c r="D1125" s="4" t="s">
        <v>50</v>
      </c>
      <c r="E1125" s="4" t="s">
        <v>51</v>
      </c>
      <c r="F1125" s="4" t="s">
        <v>37</v>
      </c>
      <c r="G1125" s="4" t="s">
        <v>148</v>
      </c>
      <c r="H1125" s="4" t="s">
        <v>27</v>
      </c>
      <c r="I1125" s="4" t="s">
        <v>19</v>
      </c>
      <c r="J1125" s="3">
        <v>5</v>
      </c>
      <c r="K1125" s="6">
        <v>59845</v>
      </c>
      <c r="L1125" s="6">
        <f t="shared" si="51"/>
        <v>41891.5</v>
      </c>
      <c r="M1125" s="6">
        <v>17953.5</v>
      </c>
      <c r="N1125" s="5" t="str">
        <f t="shared" si="52"/>
        <v>Jul</v>
      </c>
      <c r="O1125" s="5" t="str">
        <f t="shared" si="53"/>
        <v xml:space="preserve"> 2024</v>
      </c>
    </row>
    <row r="1126" spans="1:15" x14ac:dyDescent="0.35">
      <c r="A1126" t="s">
        <v>1777</v>
      </c>
      <c r="B1126" s="5" t="s">
        <v>1778</v>
      </c>
      <c r="C1126" s="4" t="s">
        <v>22</v>
      </c>
      <c r="D1126" s="4" t="s">
        <v>90</v>
      </c>
      <c r="E1126" s="4" t="s">
        <v>91</v>
      </c>
      <c r="F1126" s="4" t="s">
        <v>16</v>
      </c>
      <c r="G1126" s="4" t="s">
        <v>122</v>
      </c>
      <c r="H1126" s="4" t="s">
        <v>27</v>
      </c>
      <c r="I1126" s="4" t="s">
        <v>39</v>
      </c>
      <c r="J1126" s="3">
        <v>7</v>
      </c>
      <c r="K1126" s="6">
        <v>123326</v>
      </c>
      <c r="L1126" s="6">
        <f t="shared" si="51"/>
        <v>86328.2</v>
      </c>
      <c r="M1126" s="6">
        <v>36997.800000000003</v>
      </c>
      <c r="N1126" s="5" t="str">
        <f t="shared" si="52"/>
        <v>Feb</v>
      </c>
      <c r="O1126" s="5" t="str">
        <f t="shared" si="53"/>
        <v xml:space="preserve"> 2023</v>
      </c>
    </row>
    <row r="1127" spans="1:15" x14ac:dyDescent="0.35">
      <c r="A1127" t="s">
        <v>1779</v>
      </c>
      <c r="B1127" s="5" t="s">
        <v>955</v>
      </c>
      <c r="C1127" s="4" t="s">
        <v>22</v>
      </c>
      <c r="D1127" s="4" t="s">
        <v>23</v>
      </c>
      <c r="E1127" s="4" t="s">
        <v>24</v>
      </c>
      <c r="F1127" s="4" t="s">
        <v>25</v>
      </c>
      <c r="G1127" s="4" t="s">
        <v>77</v>
      </c>
      <c r="H1127" s="4" t="s">
        <v>27</v>
      </c>
      <c r="I1127" s="4" t="s">
        <v>28</v>
      </c>
      <c r="J1127" s="3">
        <v>4</v>
      </c>
      <c r="K1127" s="6">
        <v>82064</v>
      </c>
      <c r="L1127" s="6">
        <f t="shared" si="51"/>
        <v>57444.799999999996</v>
      </c>
      <c r="M1127" s="6">
        <v>24619.200000000004</v>
      </c>
      <c r="N1127" s="5" t="str">
        <f t="shared" si="52"/>
        <v>Oct</v>
      </c>
      <c r="O1127" s="5" t="str">
        <f t="shared" si="53"/>
        <v xml:space="preserve"> 2023</v>
      </c>
    </row>
    <row r="1128" spans="1:15" x14ac:dyDescent="0.35">
      <c r="A1128" t="s">
        <v>1780</v>
      </c>
      <c r="B1128" s="5" t="s">
        <v>1071</v>
      </c>
      <c r="C1128" s="4" t="s">
        <v>22</v>
      </c>
      <c r="D1128" s="4" t="s">
        <v>90</v>
      </c>
      <c r="E1128" s="4" t="s">
        <v>110</v>
      </c>
      <c r="F1128" s="4" t="s">
        <v>67</v>
      </c>
      <c r="G1128" s="4" t="s">
        <v>113</v>
      </c>
      <c r="H1128" s="4" t="s">
        <v>72</v>
      </c>
      <c r="I1128" s="4" t="s">
        <v>19</v>
      </c>
      <c r="J1128" s="3">
        <v>1</v>
      </c>
      <c r="K1128" s="6">
        <v>12389</v>
      </c>
      <c r="L1128" s="6">
        <f t="shared" si="51"/>
        <v>8672.2999999999993</v>
      </c>
      <c r="M1128" s="6">
        <v>3716.7000000000007</v>
      </c>
      <c r="N1128" s="5" t="str">
        <f t="shared" si="52"/>
        <v>Mar</v>
      </c>
      <c r="O1128" s="5" t="str">
        <f t="shared" si="53"/>
        <v xml:space="preserve"> 2024</v>
      </c>
    </row>
    <row r="1129" spans="1:15" x14ac:dyDescent="0.35">
      <c r="A1129" t="s">
        <v>1781</v>
      </c>
      <c r="B1129" s="5" t="s">
        <v>318</v>
      </c>
      <c r="C1129" s="4" t="s">
        <v>22</v>
      </c>
      <c r="D1129" s="4" t="s">
        <v>90</v>
      </c>
      <c r="E1129" s="4" t="s">
        <v>110</v>
      </c>
      <c r="F1129" s="4" t="s">
        <v>25</v>
      </c>
      <c r="G1129" s="4" t="s">
        <v>52</v>
      </c>
      <c r="H1129" s="4" t="s">
        <v>18</v>
      </c>
      <c r="I1129" s="4" t="s">
        <v>39</v>
      </c>
      <c r="J1129" s="3">
        <v>9</v>
      </c>
      <c r="K1129" s="6">
        <v>353853</v>
      </c>
      <c r="L1129" s="6">
        <f t="shared" si="51"/>
        <v>247697.09999999998</v>
      </c>
      <c r="M1129" s="6">
        <v>106155.90000000002</v>
      </c>
      <c r="N1129" s="5" t="str">
        <f t="shared" si="52"/>
        <v>Jun</v>
      </c>
      <c r="O1129" s="5" t="str">
        <f t="shared" si="53"/>
        <v xml:space="preserve"> 2024</v>
      </c>
    </row>
    <row r="1130" spans="1:15" x14ac:dyDescent="0.35">
      <c r="A1130" t="s">
        <v>1782</v>
      </c>
      <c r="B1130" s="5" t="s">
        <v>1778</v>
      </c>
      <c r="C1130" s="4" t="s">
        <v>55</v>
      </c>
      <c r="D1130" s="4" t="s">
        <v>56</v>
      </c>
      <c r="E1130" s="4" t="s">
        <v>57</v>
      </c>
      <c r="F1130" s="4" t="s">
        <v>16</v>
      </c>
      <c r="G1130" s="4" t="s">
        <v>17</v>
      </c>
      <c r="H1130" s="4" t="s">
        <v>18</v>
      </c>
      <c r="I1130" s="4" t="s">
        <v>28</v>
      </c>
      <c r="J1130" s="3">
        <v>3</v>
      </c>
      <c r="K1130" s="6">
        <v>141414</v>
      </c>
      <c r="L1130" s="6">
        <f t="shared" si="51"/>
        <v>98989.799999999988</v>
      </c>
      <c r="M1130" s="6">
        <v>42424.200000000012</v>
      </c>
      <c r="N1130" s="5" t="str">
        <f t="shared" si="52"/>
        <v>Feb</v>
      </c>
      <c r="O1130" s="5" t="str">
        <f t="shared" si="53"/>
        <v xml:space="preserve"> 2023</v>
      </c>
    </row>
    <row r="1131" spans="1:15" x14ac:dyDescent="0.35">
      <c r="A1131" t="s">
        <v>1783</v>
      </c>
      <c r="B1131" s="5" t="s">
        <v>701</v>
      </c>
      <c r="C1131" s="4" t="s">
        <v>13</v>
      </c>
      <c r="D1131" s="4" t="s">
        <v>162</v>
      </c>
      <c r="E1131" s="4" t="s">
        <v>163</v>
      </c>
      <c r="F1131" s="4" t="s">
        <v>67</v>
      </c>
      <c r="G1131" s="4" t="s">
        <v>180</v>
      </c>
      <c r="H1131" s="4" t="s">
        <v>18</v>
      </c>
      <c r="I1131" s="4" t="s">
        <v>28</v>
      </c>
      <c r="J1131" s="3">
        <v>10</v>
      </c>
      <c r="K1131" s="6">
        <v>388540</v>
      </c>
      <c r="L1131" s="6">
        <f t="shared" si="51"/>
        <v>271978</v>
      </c>
      <c r="M1131" s="6">
        <v>116562</v>
      </c>
      <c r="N1131" s="5" t="str">
        <f t="shared" si="52"/>
        <v>May</v>
      </c>
      <c r="O1131" s="5" t="str">
        <f t="shared" si="53"/>
        <v xml:space="preserve"> 2023</v>
      </c>
    </row>
    <row r="1132" spans="1:15" x14ac:dyDescent="0.35">
      <c r="A1132" t="s">
        <v>1784</v>
      </c>
      <c r="B1132" s="5" t="s">
        <v>636</v>
      </c>
      <c r="C1132" s="4" t="s">
        <v>22</v>
      </c>
      <c r="D1132" s="4" t="s">
        <v>86</v>
      </c>
      <c r="E1132" s="4" t="s">
        <v>87</v>
      </c>
      <c r="F1132" s="4" t="s">
        <v>25</v>
      </c>
      <c r="G1132" s="4" t="s">
        <v>26</v>
      </c>
      <c r="H1132" s="4" t="s">
        <v>27</v>
      </c>
      <c r="I1132" s="4" t="s">
        <v>28</v>
      </c>
      <c r="J1132" s="3">
        <v>4</v>
      </c>
      <c r="K1132" s="6">
        <v>36600</v>
      </c>
      <c r="L1132" s="6">
        <f t="shared" si="51"/>
        <v>25620</v>
      </c>
      <c r="M1132" s="6">
        <v>10980</v>
      </c>
      <c r="N1132" s="5" t="str">
        <f t="shared" si="52"/>
        <v>May</v>
      </c>
      <c r="O1132" s="5" t="str">
        <f t="shared" si="53"/>
        <v xml:space="preserve"> 2023</v>
      </c>
    </row>
    <row r="1133" spans="1:15" x14ac:dyDescent="0.35">
      <c r="A1133" t="s">
        <v>1785</v>
      </c>
      <c r="B1133" s="5" t="s">
        <v>283</v>
      </c>
      <c r="C1133" s="4" t="s">
        <v>13</v>
      </c>
      <c r="D1133" s="4" t="s">
        <v>162</v>
      </c>
      <c r="E1133" s="4" t="s">
        <v>163</v>
      </c>
      <c r="F1133" s="4" t="s">
        <v>25</v>
      </c>
      <c r="G1133" s="4" t="s">
        <v>71</v>
      </c>
      <c r="H1133" s="4" t="s">
        <v>72</v>
      </c>
      <c r="I1133" s="4" t="s">
        <v>39</v>
      </c>
      <c r="J1133" s="3">
        <v>8</v>
      </c>
      <c r="K1133" s="6">
        <v>211520</v>
      </c>
      <c r="L1133" s="6">
        <f t="shared" si="51"/>
        <v>148064</v>
      </c>
      <c r="M1133" s="6">
        <v>63456</v>
      </c>
      <c r="N1133" s="5" t="str">
        <f t="shared" si="52"/>
        <v>Jun</v>
      </c>
      <c r="O1133" s="5" t="str">
        <f t="shared" si="53"/>
        <v xml:space="preserve"> 2023</v>
      </c>
    </row>
    <row r="1134" spans="1:15" x14ac:dyDescent="0.35">
      <c r="A1134" t="s">
        <v>1786</v>
      </c>
      <c r="B1134" s="5" t="s">
        <v>968</v>
      </c>
      <c r="C1134" s="4" t="s">
        <v>55</v>
      </c>
      <c r="D1134" s="4" t="s">
        <v>98</v>
      </c>
      <c r="E1134" s="4" t="s">
        <v>99</v>
      </c>
      <c r="F1134" s="4" t="s">
        <v>16</v>
      </c>
      <c r="G1134" s="4" t="s">
        <v>17</v>
      </c>
      <c r="H1134" s="4" t="s">
        <v>18</v>
      </c>
      <c r="I1134" s="4" t="s">
        <v>39</v>
      </c>
      <c r="J1134" s="3">
        <v>10</v>
      </c>
      <c r="K1134" s="6">
        <v>186610</v>
      </c>
      <c r="L1134" s="6">
        <f t="shared" si="51"/>
        <v>130626.99999999999</v>
      </c>
      <c r="M1134" s="6">
        <v>55983.000000000015</v>
      </c>
      <c r="N1134" s="5" t="str">
        <f t="shared" si="52"/>
        <v>Feb</v>
      </c>
      <c r="O1134" s="5" t="str">
        <f t="shared" si="53"/>
        <v xml:space="preserve"> 2024</v>
      </c>
    </row>
    <row r="1135" spans="1:15" x14ac:dyDescent="0.35">
      <c r="A1135" t="s">
        <v>1787</v>
      </c>
      <c r="B1135" s="5" t="s">
        <v>1788</v>
      </c>
      <c r="C1135" s="4" t="s">
        <v>55</v>
      </c>
      <c r="D1135" s="4" t="s">
        <v>98</v>
      </c>
      <c r="E1135" s="4" t="s">
        <v>99</v>
      </c>
      <c r="F1135" s="4" t="s">
        <v>25</v>
      </c>
      <c r="G1135" s="4" t="s">
        <v>26</v>
      </c>
      <c r="H1135" s="4" t="s">
        <v>27</v>
      </c>
      <c r="I1135" s="4" t="s">
        <v>28</v>
      </c>
      <c r="J1135" s="3">
        <v>2</v>
      </c>
      <c r="K1135" s="6">
        <v>67302</v>
      </c>
      <c r="L1135" s="6">
        <f t="shared" si="51"/>
        <v>47111.399999999994</v>
      </c>
      <c r="M1135" s="6">
        <v>20190.600000000006</v>
      </c>
      <c r="N1135" s="5" t="str">
        <f t="shared" si="52"/>
        <v>Feb</v>
      </c>
      <c r="O1135" s="5" t="str">
        <f t="shared" si="53"/>
        <v xml:space="preserve"> 2023</v>
      </c>
    </row>
    <row r="1136" spans="1:15" x14ac:dyDescent="0.35">
      <c r="A1136" t="s">
        <v>1789</v>
      </c>
      <c r="B1136" s="5" t="s">
        <v>1790</v>
      </c>
      <c r="C1136" s="4" t="s">
        <v>22</v>
      </c>
      <c r="D1136" s="4" t="s">
        <v>90</v>
      </c>
      <c r="E1136" s="4" t="s">
        <v>110</v>
      </c>
      <c r="F1136" s="4" t="s">
        <v>25</v>
      </c>
      <c r="G1136" s="4" t="s">
        <v>71</v>
      </c>
      <c r="H1136" s="4" t="s">
        <v>27</v>
      </c>
      <c r="I1136" s="4" t="s">
        <v>47</v>
      </c>
      <c r="J1136" s="3">
        <v>6</v>
      </c>
      <c r="K1136" s="6">
        <v>101424</v>
      </c>
      <c r="L1136" s="6">
        <f t="shared" si="51"/>
        <v>70996.799999999988</v>
      </c>
      <c r="M1136" s="6">
        <v>30427.200000000012</v>
      </c>
      <c r="N1136" s="5" t="str">
        <f t="shared" si="52"/>
        <v>Aug</v>
      </c>
      <c r="O1136" s="5" t="str">
        <f t="shared" si="53"/>
        <v xml:space="preserve"> 2024</v>
      </c>
    </row>
    <row r="1137" spans="1:15" x14ac:dyDescent="0.35">
      <c r="A1137" t="s">
        <v>1791</v>
      </c>
      <c r="B1137" s="5" t="s">
        <v>1792</v>
      </c>
      <c r="C1137" s="4" t="s">
        <v>13</v>
      </c>
      <c r="D1137" s="4" t="s">
        <v>14</v>
      </c>
      <c r="E1137" s="4" t="s">
        <v>15</v>
      </c>
      <c r="F1137" s="4" t="s">
        <v>67</v>
      </c>
      <c r="G1137" s="4" t="s">
        <v>113</v>
      </c>
      <c r="H1137" s="4" t="s">
        <v>18</v>
      </c>
      <c r="I1137" s="4" t="s">
        <v>39</v>
      </c>
      <c r="J1137" s="3">
        <v>7</v>
      </c>
      <c r="K1137" s="6">
        <v>187257</v>
      </c>
      <c r="L1137" s="6">
        <f t="shared" si="51"/>
        <v>131079.9</v>
      </c>
      <c r="M1137" s="6">
        <v>56177.100000000006</v>
      </c>
      <c r="N1137" s="5" t="str">
        <f t="shared" si="52"/>
        <v>Dec</v>
      </c>
      <c r="O1137" s="5" t="str">
        <f t="shared" si="53"/>
        <v xml:space="preserve"> 2023</v>
      </c>
    </row>
    <row r="1138" spans="1:15" x14ac:dyDescent="0.35">
      <c r="A1138" t="s">
        <v>1793</v>
      </c>
      <c r="B1138" s="5" t="s">
        <v>112</v>
      </c>
      <c r="C1138" s="4" t="s">
        <v>22</v>
      </c>
      <c r="D1138" s="4" t="s">
        <v>23</v>
      </c>
      <c r="E1138" s="4" t="s">
        <v>24</v>
      </c>
      <c r="F1138" s="4" t="s">
        <v>67</v>
      </c>
      <c r="G1138" s="4" t="s">
        <v>113</v>
      </c>
      <c r="H1138" s="4" t="s">
        <v>18</v>
      </c>
      <c r="I1138" s="4" t="s">
        <v>60</v>
      </c>
      <c r="J1138" s="3">
        <v>4</v>
      </c>
      <c r="K1138" s="6">
        <v>83924</v>
      </c>
      <c r="L1138" s="6">
        <f t="shared" si="51"/>
        <v>58746.799999999996</v>
      </c>
      <c r="M1138" s="6">
        <v>25177.200000000004</v>
      </c>
      <c r="N1138" s="5" t="str">
        <f t="shared" si="52"/>
        <v>May</v>
      </c>
      <c r="O1138" s="5" t="str">
        <f t="shared" si="53"/>
        <v xml:space="preserve"> 2023</v>
      </c>
    </row>
    <row r="1139" spans="1:15" x14ac:dyDescent="0.35">
      <c r="A1139" t="s">
        <v>1794</v>
      </c>
      <c r="B1139" s="5" t="s">
        <v>489</v>
      </c>
      <c r="C1139" s="4" t="s">
        <v>13</v>
      </c>
      <c r="D1139" s="4" t="s">
        <v>125</v>
      </c>
      <c r="E1139" s="4" t="s">
        <v>126</v>
      </c>
      <c r="F1139" s="4" t="s">
        <v>25</v>
      </c>
      <c r="G1139" s="4" t="s">
        <v>71</v>
      </c>
      <c r="H1139" s="4" t="s">
        <v>27</v>
      </c>
      <c r="I1139" s="4" t="s">
        <v>19</v>
      </c>
      <c r="J1139" s="3">
        <v>5</v>
      </c>
      <c r="K1139" s="6">
        <v>234000</v>
      </c>
      <c r="L1139" s="6">
        <f t="shared" si="51"/>
        <v>163800</v>
      </c>
      <c r="M1139" s="6">
        <v>70200</v>
      </c>
      <c r="N1139" s="5" t="str">
        <f t="shared" si="52"/>
        <v>Feb</v>
      </c>
      <c r="O1139" s="5" t="str">
        <f t="shared" si="53"/>
        <v xml:space="preserve"> 2024</v>
      </c>
    </row>
    <row r="1140" spans="1:15" x14ac:dyDescent="0.35">
      <c r="A1140" t="s">
        <v>1795</v>
      </c>
      <c r="B1140" s="5" t="s">
        <v>750</v>
      </c>
      <c r="C1140" s="4" t="s">
        <v>55</v>
      </c>
      <c r="D1140" s="4" t="s">
        <v>56</v>
      </c>
      <c r="E1140" s="4" t="s">
        <v>57</v>
      </c>
      <c r="F1140" s="4" t="s">
        <v>37</v>
      </c>
      <c r="G1140" s="4" t="s">
        <v>148</v>
      </c>
      <c r="H1140" s="4" t="s">
        <v>72</v>
      </c>
      <c r="I1140" s="4" t="s">
        <v>47</v>
      </c>
      <c r="J1140" s="3">
        <v>3</v>
      </c>
      <c r="K1140" s="6">
        <v>120963</v>
      </c>
      <c r="L1140" s="6">
        <f t="shared" si="51"/>
        <v>84674.099999999991</v>
      </c>
      <c r="M1140" s="6">
        <v>36288.900000000009</v>
      </c>
      <c r="N1140" s="5" t="str">
        <f t="shared" si="52"/>
        <v>Nov</v>
      </c>
      <c r="O1140" s="5" t="str">
        <f t="shared" si="53"/>
        <v xml:space="preserve"> 2023</v>
      </c>
    </row>
    <row r="1141" spans="1:15" x14ac:dyDescent="0.35">
      <c r="A1141" t="s">
        <v>1796</v>
      </c>
      <c r="B1141" s="5" t="s">
        <v>516</v>
      </c>
      <c r="C1141" s="4" t="s">
        <v>31</v>
      </c>
      <c r="D1141" s="4" t="s">
        <v>104</v>
      </c>
      <c r="E1141" s="4" t="s">
        <v>105</v>
      </c>
      <c r="F1141" s="4" t="s">
        <v>16</v>
      </c>
      <c r="G1141" s="4" t="s">
        <v>34</v>
      </c>
      <c r="H1141" s="4" t="s">
        <v>18</v>
      </c>
      <c r="I1141" s="4" t="s">
        <v>19</v>
      </c>
      <c r="J1141" s="3">
        <v>10</v>
      </c>
      <c r="K1141" s="6">
        <v>177280</v>
      </c>
      <c r="L1141" s="6">
        <f t="shared" si="51"/>
        <v>124095.99999999999</v>
      </c>
      <c r="M1141" s="6">
        <v>53184.000000000015</v>
      </c>
      <c r="N1141" s="5" t="str">
        <f t="shared" si="52"/>
        <v>Jul</v>
      </c>
      <c r="O1141" s="5" t="str">
        <f t="shared" si="53"/>
        <v xml:space="preserve"> 2024</v>
      </c>
    </row>
    <row r="1142" spans="1:15" x14ac:dyDescent="0.35">
      <c r="A1142" t="s">
        <v>1797</v>
      </c>
      <c r="B1142" s="5" t="s">
        <v>386</v>
      </c>
      <c r="C1142" s="4" t="s">
        <v>31</v>
      </c>
      <c r="D1142" s="4" t="s">
        <v>45</v>
      </c>
      <c r="E1142" s="4" t="s">
        <v>46</v>
      </c>
      <c r="F1142" s="4" t="s">
        <v>25</v>
      </c>
      <c r="G1142" s="4" t="s">
        <v>77</v>
      </c>
      <c r="H1142" s="4" t="s">
        <v>27</v>
      </c>
      <c r="I1142" s="4" t="s">
        <v>19</v>
      </c>
      <c r="J1142" s="3">
        <v>3</v>
      </c>
      <c r="K1142" s="6">
        <v>135663</v>
      </c>
      <c r="L1142" s="6">
        <f t="shared" si="51"/>
        <v>94964.099999999991</v>
      </c>
      <c r="M1142" s="6">
        <v>40698.900000000009</v>
      </c>
      <c r="N1142" s="5" t="str">
        <f t="shared" si="52"/>
        <v>Feb</v>
      </c>
      <c r="O1142" s="5" t="str">
        <f t="shared" si="53"/>
        <v xml:space="preserve"> 2024</v>
      </c>
    </row>
    <row r="1143" spans="1:15" x14ac:dyDescent="0.35">
      <c r="A1143" t="s">
        <v>1798</v>
      </c>
      <c r="B1143" s="5" t="s">
        <v>1221</v>
      </c>
      <c r="C1143" s="4" t="s">
        <v>22</v>
      </c>
      <c r="D1143" s="4" t="s">
        <v>23</v>
      </c>
      <c r="E1143" s="4" t="s">
        <v>24</v>
      </c>
      <c r="F1143" s="4" t="s">
        <v>67</v>
      </c>
      <c r="G1143" s="4" t="s">
        <v>113</v>
      </c>
      <c r="H1143" s="4" t="s">
        <v>72</v>
      </c>
      <c r="I1143" s="4" t="s">
        <v>60</v>
      </c>
      <c r="J1143" s="3">
        <v>4</v>
      </c>
      <c r="K1143" s="6">
        <v>77020</v>
      </c>
      <c r="L1143" s="6">
        <f t="shared" si="51"/>
        <v>53914</v>
      </c>
      <c r="M1143" s="6">
        <v>23106</v>
      </c>
      <c r="N1143" s="5" t="str">
        <f t="shared" si="52"/>
        <v>Jun</v>
      </c>
      <c r="O1143" s="5" t="str">
        <f t="shared" si="53"/>
        <v xml:space="preserve"> 2024</v>
      </c>
    </row>
    <row r="1144" spans="1:15" x14ac:dyDescent="0.35">
      <c r="A1144" t="s">
        <v>1799</v>
      </c>
      <c r="B1144" s="5" t="s">
        <v>1021</v>
      </c>
      <c r="C1144" s="4" t="s">
        <v>13</v>
      </c>
      <c r="D1144" s="4" t="s">
        <v>162</v>
      </c>
      <c r="E1144" s="4" t="s">
        <v>163</v>
      </c>
      <c r="F1144" s="4" t="s">
        <v>37</v>
      </c>
      <c r="G1144" s="4" t="s">
        <v>183</v>
      </c>
      <c r="H1144" s="4" t="s">
        <v>18</v>
      </c>
      <c r="I1144" s="4" t="s">
        <v>19</v>
      </c>
      <c r="J1144" s="3">
        <v>7</v>
      </c>
      <c r="K1144" s="6">
        <v>150934</v>
      </c>
      <c r="L1144" s="6">
        <f t="shared" si="51"/>
        <v>105653.79999999999</v>
      </c>
      <c r="M1144" s="6">
        <v>45280.200000000012</v>
      </c>
      <c r="N1144" s="5" t="str">
        <f t="shared" si="52"/>
        <v>Oct</v>
      </c>
      <c r="O1144" s="5" t="str">
        <f t="shared" si="53"/>
        <v xml:space="preserve"> 2024</v>
      </c>
    </row>
    <row r="1145" spans="1:15" x14ac:dyDescent="0.35">
      <c r="A1145" t="s">
        <v>1800</v>
      </c>
      <c r="B1145" s="5" t="s">
        <v>1685</v>
      </c>
      <c r="C1145" s="4" t="s">
        <v>22</v>
      </c>
      <c r="D1145" s="4" t="s">
        <v>86</v>
      </c>
      <c r="E1145" s="4" t="s">
        <v>87</v>
      </c>
      <c r="F1145" s="4" t="s">
        <v>37</v>
      </c>
      <c r="G1145" s="4" t="s">
        <v>38</v>
      </c>
      <c r="H1145" s="4" t="s">
        <v>27</v>
      </c>
      <c r="I1145" s="4" t="s">
        <v>47</v>
      </c>
      <c r="J1145" s="3">
        <v>6</v>
      </c>
      <c r="K1145" s="6">
        <v>83250</v>
      </c>
      <c r="L1145" s="6">
        <f t="shared" si="51"/>
        <v>58274.999999999993</v>
      </c>
      <c r="M1145" s="6">
        <v>24975.000000000007</v>
      </c>
      <c r="N1145" s="5" t="str">
        <f t="shared" si="52"/>
        <v>Aug</v>
      </c>
      <c r="O1145" s="5" t="str">
        <f t="shared" si="53"/>
        <v xml:space="preserve"> 2024</v>
      </c>
    </row>
    <row r="1146" spans="1:15" x14ac:dyDescent="0.35">
      <c r="A1146" t="s">
        <v>1801</v>
      </c>
      <c r="B1146" s="5" t="s">
        <v>1802</v>
      </c>
      <c r="C1146" s="4" t="s">
        <v>22</v>
      </c>
      <c r="D1146" s="4" t="s">
        <v>23</v>
      </c>
      <c r="E1146" s="4" t="s">
        <v>24</v>
      </c>
      <c r="F1146" s="4" t="s">
        <v>16</v>
      </c>
      <c r="G1146" s="4" t="s">
        <v>42</v>
      </c>
      <c r="H1146" s="4" t="s">
        <v>18</v>
      </c>
      <c r="I1146" s="4" t="s">
        <v>39</v>
      </c>
      <c r="J1146" s="3">
        <v>6</v>
      </c>
      <c r="K1146" s="6">
        <v>253944</v>
      </c>
      <c r="L1146" s="6">
        <f t="shared" si="51"/>
        <v>177760.8</v>
      </c>
      <c r="M1146" s="6">
        <v>76183.200000000012</v>
      </c>
      <c r="N1146" s="5" t="str">
        <f t="shared" si="52"/>
        <v>Apr</v>
      </c>
      <c r="O1146" s="5" t="str">
        <f t="shared" si="53"/>
        <v xml:space="preserve"> 2023</v>
      </c>
    </row>
    <row r="1147" spans="1:15" x14ac:dyDescent="0.35">
      <c r="A1147" t="s">
        <v>1803</v>
      </c>
      <c r="B1147" s="5" t="s">
        <v>1727</v>
      </c>
      <c r="C1147" s="4" t="s">
        <v>22</v>
      </c>
      <c r="D1147" s="4" t="s">
        <v>23</v>
      </c>
      <c r="E1147" s="4" t="s">
        <v>24</v>
      </c>
      <c r="F1147" s="4" t="s">
        <v>16</v>
      </c>
      <c r="G1147" s="4" t="s">
        <v>34</v>
      </c>
      <c r="H1147" s="4" t="s">
        <v>27</v>
      </c>
      <c r="I1147" s="4" t="s">
        <v>19</v>
      </c>
      <c r="J1147" s="3">
        <v>7</v>
      </c>
      <c r="K1147" s="6">
        <v>289947</v>
      </c>
      <c r="L1147" s="6">
        <f t="shared" si="51"/>
        <v>202962.9</v>
      </c>
      <c r="M1147" s="6">
        <v>86984.1</v>
      </c>
      <c r="N1147" s="5" t="str">
        <f t="shared" si="52"/>
        <v>Oct</v>
      </c>
      <c r="O1147" s="5" t="str">
        <f t="shared" si="53"/>
        <v xml:space="preserve"> 2023</v>
      </c>
    </row>
    <row r="1148" spans="1:15" x14ac:dyDescent="0.35">
      <c r="A1148" t="s">
        <v>1804</v>
      </c>
      <c r="B1148" s="5" t="s">
        <v>190</v>
      </c>
      <c r="C1148" s="4" t="s">
        <v>31</v>
      </c>
      <c r="D1148" s="4" t="s">
        <v>104</v>
      </c>
      <c r="E1148" s="4" t="s">
        <v>105</v>
      </c>
      <c r="F1148" s="4" t="s">
        <v>16</v>
      </c>
      <c r="G1148" s="4" t="s">
        <v>122</v>
      </c>
      <c r="H1148" s="4" t="s">
        <v>27</v>
      </c>
      <c r="I1148" s="4" t="s">
        <v>47</v>
      </c>
      <c r="J1148" s="3">
        <v>1</v>
      </c>
      <c r="K1148" s="6">
        <v>7312</v>
      </c>
      <c r="L1148" s="6">
        <f t="shared" si="51"/>
        <v>5118.3999999999996</v>
      </c>
      <c r="M1148" s="6">
        <v>2193.6000000000004</v>
      </c>
      <c r="N1148" s="5" t="str">
        <f t="shared" si="52"/>
        <v>Nov</v>
      </c>
      <c r="O1148" s="5" t="str">
        <f t="shared" si="53"/>
        <v xml:space="preserve"> 2024</v>
      </c>
    </row>
    <row r="1149" spans="1:15" x14ac:dyDescent="0.35">
      <c r="A1149" t="s">
        <v>1805</v>
      </c>
      <c r="B1149" s="5" t="s">
        <v>1498</v>
      </c>
      <c r="C1149" s="4" t="s">
        <v>31</v>
      </c>
      <c r="D1149" s="4" t="s">
        <v>104</v>
      </c>
      <c r="E1149" s="4" t="s">
        <v>105</v>
      </c>
      <c r="F1149" s="4" t="s">
        <v>16</v>
      </c>
      <c r="G1149" s="4" t="s">
        <v>122</v>
      </c>
      <c r="H1149" s="4" t="s">
        <v>27</v>
      </c>
      <c r="I1149" s="4" t="s">
        <v>39</v>
      </c>
      <c r="J1149" s="3">
        <v>8</v>
      </c>
      <c r="K1149" s="6">
        <v>281704</v>
      </c>
      <c r="L1149" s="6">
        <f t="shared" si="51"/>
        <v>197192.8</v>
      </c>
      <c r="M1149" s="6">
        <v>84511.200000000012</v>
      </c>
      <c r="N1149" s="5" t="str">
        <f t="shared" si="52"/>
        <v>Jul</v>
      </c>
      <c r="O1149" s="5" t="str">
        <f t="shared" si="53"/>
        <v xml:space="preserve"> 2024</v>
      </c>
    </row>
    <row r="1150" spans="1:15" x14ac:dyDescent="0.35">
      <c r="A1150" t="s">
        <v>1806</v>
      </c>
      <c r="B1150" s="5" t="s">
        <v>1204</v>
      </c>
      <c r="C1150" s="4" t="s">
        <v>22</v>
      </c>
      <c r="D1150" s="4" t="s">
        <v>90</v>
      </c>
      <c r="E1150" s="4" t="s">
        <v>110</v>
      </c>
      <c r="F1150" s="4" t="s">
        <v>37</v>
      </c>
      <c r="G1150" s="4" t="s">
        <v>38</v>
      </c>
      <c r="H1150" s="4" t="s">
        <v>72</v>
      </c>
      <c r="I1150" s="4" t="s">
        <v>19</v>
      </c>
      <c r="J1150" s="3">
        <v>4</v>
      </c>
      <c r="K1150" s="6">
        <v>43832</v>
      </c>
      <c r="L1150" s="6">
        <f t="shared" si="51"/>
        <v>30682.399999999998</v>
      </c>
      <c r="M1150" s="6">
        <v>13149.600000000002</v>
      </c>
      <c r="N1150" s="5" t="str">
        <f t="shared" si="52"/>
        <v>Aug</v>
      </c>
      <c r="O1150" s="5" t="str">
        <f t="shared" si="53"/>
        <v xml:space="preserve"> 2024</v>
      </c>
    </row>
    <row r="1151" spans="1:15" x14ac:dyDescent="0.35">
      <c r="A1151" t="s">
        <v>1807</v>
      </c>
      <c r="B1151" s="5" t="s">
        <v>1808</v>
      </c>
      <c r="C1151" s="4" t="s">
        <v>13</v>
      </c>
      <c r="D1151" s="4" t="s">
        <v>162</v>
      </c>
      <c r="E1151" s="4" t="s">
        <v>163</v>
      </c>
      <c r="F1151" s="4" t="s">
        <v>67</v>
      </c>
      <c r="G1151" s="4" t="s">
        <v>180</v>
      </c>
      <c r="H1151" s="4" t="s">
        <v>27</v>
      </c>
      <c r="I1151" s="4" t="s">
        <v>47</v>
      </c>
      <c r="J1151" s="3">
        <v>5</v>
      </c>
      <c r="K1151" s="6">
        <v>49045</v>
      </c>
      <c r="L1151" s="6">
        <f t="shared" si="51"/>
        <v>34331.5</v>
      </c>
      <c r="M1151" s="6">
        <v>14713.5</v>
      </c>
      <c r="N1151" s="5" t="str">
        <f t="shared" si="52"/>
        <v>May</v>
      </c>
      <c r="O1151" s="5" t="str">
        <f t="shared" si="53"/>
        <v xml:space="preserve"> 2023</v>
      </c>
    </row>
    <row r="1152" spans="1:15" x14ac:dyDescent="0.35">
      <c r="A1152" t="s">
        <v>1809</v>
      </c>
      <c r="B1152" s="5" t="s">
        <v>1514</v>
      </c>
      <c r="C1152" s="4" t="s">
        <v>13</v>
      </c>
      <c r="D1152" s="4" t="s">
        <v>162</v>
      </c>
      <c r="E1152" s="4" t="s">
        <v>163</v>
      </c>
      <c r="F1152" s="4" t="s">
        <v>16</v>
      </c>
      <c r="G1152" s="4" t="s">
        <v>34</v>
      </c>
      <c r="H1152" s="4" t="s">
        <v>72</v>
      </c>
      <c r="I1152" s="4" t="s">
        <v>39</v>
      </c>
      <c r="J1152" s="3">
        <v>3</v>
      </c>
      <c r="K1152" s="6">
        <v>80931</v>
      </c>
      <c r="L1152" s="6">
        <f t="shared" si="51"/>
        <v>56651.7</v>
      </c>
      <c r="M1152" s="6">
        <v>24279.300000000003</v>
      </c>
      <c r="N1152" s="5" t="str">
        <f t="shared" si="52"/>
        <v>Jul</v>
      </c>
      <c r="O1152" s="5" t="str">
        <f t="shared" si="53"/>
        <v xml:space="preserve"> 2023</v>
      </c>
    </row>
    <row r="1153" spans="1:15" x14ac:dyDescent="0.35">
      <c r="A1153" t="s">
        <v>1810</v>
      </c>
      <c r="B1153" s="5" t="s">
        <v>704</v>
      </c>
      <c r="C1153" s="4" t="s">
        <v>22</v>
      </c>
      <c r="D1153" s="4" t="s">
        <v>90</v>
      </c>
      <c r="E1153" s="4" t="s">
        <v>91</v>
      </c>
      <c r="F1153" s="4" t="s">
        <v>25</v>
      </c>
      <c r="G1153" s="4" t="s">
        <v>71</v>
      </c>
      <c r="H1153" s="4" t="s">
        <v>18</v>
      </c>
      <c r="I1153" s="4" t="s">
        <v>39</v>
      </c>
      <c r="J1153" s="3">
        <v>4</v>
      </c>
      <c r="K1153" s="6">
        <v>192716</v>
      </c>
      <c r="L1153" s="6">
        <f t="shared" si="51"/>
        <v>134901.19999999998</v>
      </c>
      <c r="M1153" s="6">
        <v>57814.800000000017</v>
      </c>
      <c r="N1153" s="5" t="str">
        <f t="shared" si="52"/>
        <v>Dec</v>
      </c>
      <c r="O1153" s="5" t="str">
        <f t="shared" si="53"/>
        <v xml:space="preserve"> 2024</v>
      </c>
    </row>
    <row r="1154" spans="1:15" x14ac:dyDescent="0.35">
      <c r="A1154" t="s">
        <v>1811</v>
      </c>
      <c r="B1154" s="5" t="s">
        <v>1315</v>
      </c>
      <c r="C1154" s="4" t="s">
        <v>22</v>
      </c>
      <c r="D1154" s="4" t="s">
        <v>90</v>
      </c>
      <c r="E1154" s="4" t="s">
        <v>91</v>
      </c>
      <c r="F1154" s="4" t="s">
        <v>67</v>
      </c>
      <c r="G1154" s="4" t="s">
        <v>113</v>
      </c>
      <c r="H1154" s="4" t="s">
        <v>18</v>
      </c>
      <c r="I1154" s="4" t="s">
        <v>28</v>
      </c>
      <c r="J1154" s="3">
        <v>10</v>
      </c>
      <c r="K1154" s="6">
        <v>301310</v>
      </c>
      <c r="L1154" s="6">
        <f t="shared" ref="L1154:L1217" si="54">K1154*0.7</f>
        <v>210917</v>
      </c>
      <c r="M1154" s="6">
        <v>90393</v>
      </c>
      <c r="N1154" s="5" t="str">
        <f t="shared" ref="N1154:N1217" si="55">TEXT(B1154,"mmm")</f>
        <v>May</v>
      </c>
      <c r="O1154" s="5" t="str">
        <f t="shared" ref="O1154:O1217" si="56">TEXT(B1154," yyyy")</f>
        <v xml:space="preserve"> 2024</v>
      </c>
    </row>
    <row r="1155" spans="1:15" x14ac:dyDescent="0.35">
      <c r="A1155" t="s">
        <v>1812</v>
      </c>
      <c r="B1155" s="5" t="s">
        <v>701</v>
      </c>
      <c r="C1155" s="4" t="s">
        <v>55</v>
      </c>
      <c r="D1155" s="4" t="s">
        <v>63</v>
      </c>
      <c r="E1155" s="4" t="s">
        <v>64</v>
      </c>
      <c r="F1155" s="4" t="s">
        <v>67</v>
      </c>
      <c r="G1155" s="4" t="s">
        <v>68</v>
      </c>
      <c r="H1155" s="4" t="s">
        <v>27</v>
      </c>
      <c r="I1155" s="4" t="s">
        <v>39</v>
      </c>
      <c r="J1155" s="3">
        <v>7</v>
      </c>
      <c r="K1155" s="6">
        <v>323071</v>
      </c>
      <c r="L1155" s="6">
        <f t="shared" si="54"/>
        <v>226149.69999999998</v>
      </c>
      <c r="M1155" s="6">
        <v>96921.300000000017</v>
      </c>
      <c r="N1155" s="5" t="str">
        <f t="shared" si="55"/>
        <v>May</v>
      </c>
      <c r="O1155" s="5" t="str">
        <f t="shared" si="56"/>
        <v xml:space="preserve"> 2023</v>
      </c>
    </row>
    <row r="1156" spans="1:15" x14ac:dyDescent="0.35">
      <c r="A1156" t="s">
        <v>1813</v>
      </c>
      <c r="B1156" s="5" t="s">
        <v>59</v>
      </c>
      <c r="C1156" s="4" t="s">
        <v>22</v>
      </c>
      <c r="D1156" s="4" t="s">
        <v>86</v>
      </c>
      <c r="E1156" s="4" t="s">
        <v>87</v>
      </c>
      <c r="F1156" s="4" t="s">
        <v>16</v>
      </c>
      <c r="G1156" s="4" t="s">
        <v>34</v>
      </c>
      <c r="H1156" s="4" t="s">
        <v>72</v>
      </c>
      <c r="I1156" s="4" t="s">
        <v>39</v>
      </c>
      <c r="J1156" s="3">
        <v>4</v>
      </c>
      <c r="K1156" s="6">
        <v>182028</v>
      </c>
      <c r="L1156" s="6">
        <f t="shared" si="54"/>
        <v>127419.59999999999</v>
      </c>
      <c r="M1156" s="6">
        <v>54608.400000000009</v>
      </c>
      <c r="N1156" s="5" t="str">
        <f t="shared" si="55"/>
        <v>Aug</v>
      </c>
      <c r="O1156" s="5" t="str">
        <f t="shared" si="56"/>
        <v xml:space="preserve"> 2024</v>
      </c>
    </row>
    <row r="1157" spans="1:15" x14ac:dyDescent="0.35">
      <c r="A1157" t="s">
        <v>1814</v>
      </c>
      <c r="B1157" s="5" t="s">
        <v>197</v>
      </c>
      <c r="C1157" s="4" t="s">
        <v>55</v>
      </c>
      <c r="D1157" s="4" t="s">
        <v>98</v>
      </c>
      <c r="E1157" s="4" t="s">
        <v>99</v>
      </c>
      <c r="F1157" s="4" t="s">
        <v>67</v>
      </c>
      <c r="G1157" s="4" t="s">
        <v>180</v>
      </c>
      <c r="H1157" s="4" t="s">
        <v>18</v>
      </c>
      <c r="I1157" s="4" t="s">
        <v>60</v>
      </c>
      <c r="J1157" s="3">
        <v>5</v>
      </c>
      <c r="K1157" s="6">
        <v>242260</v>
      </c>
      <c r="L1157" s="6">
        <f t="shared" si="54"/>
        <v>169582</v>
      </c>
      <c r="M1157" s="6">
        <v>72678</v>
      </c>
      <c r="N1157" s="5" t="str">
        <f t="shared" si="55"/>
        <v>Apr</v>
      </c>
      <c r="O1157" s="5" t="str">
        <f t="shared" si="56"/>
        <v xml:space="preserve"> 2024</v>
      </c>
    </row>
    <row r="1158" spans="1:15" x14ac:dyDescent="0.35">
      <c r="A1158" t="s">
        <v>1815</v>
      </c>
      <c r="B1158" s="5" t="s">
        <v>837</v>
      </c>
      <c r="C1158" s="4" t="s">
        <v>31</v>
      </c>
      <c r="D1158" s="4" t="s">
        <v>104</v>
      </c>
      <c r="E1158" s="4" t="s">
        <v>105</v>
      </c>
      <c r="F1158" s="4" t="s">
        <v>16</v>
      </c>
      <c r="G1158" s="4" t="s">
        <v>17</v>
      </c>
      <c r="H1158" s="4" t="s">
        <v>72</v>
      </c>
      <c r="I1158" s="4" t="s">
        <v>60</v>
      </c>
      <c r="J1158" s="3">
        <v>9</v>
      </c>
      <c r="K1158" s="6">
        <v>352566</v>
      </c>
      <c r="L1158" s="6">
        <f t="shared" si="54"/>
        <v>246796.19999999998</v>
      </c>
      <c r="M1158" s="6">
        <v>105769.80000000002</v>
      </c>
      <c r="N1158" s="5" t="str">
        <f t="shared" si="55"/>
        <v>Oct</v>
      </c>
      <c r="O1158" s="5" t="str">
        <f t="shared" si="56"/>
        <v xml:space="preserve"> 2023</v>
      </c>
    </row>
    <row r="1159" spans="1:15" x14ac:dyDescent="0.35">
      <c r="A1159" t="s">
        <v>1816</v>
      </c>
      <c r="B1159" s="5" t="s">
        <v>1817</v>
      </c>
      <c r="C1159" s="4" t="s">
        <v>31</v>
      </c>
      <c r="D1159" s="4" t="s">
        <v>45</v>
      </c>
      <c r="E1159" s="4" t="s">
        <v>46</v>
      </c>
      <c r="F1159" s="4" t="s">
        <v>67</v>
      </c>
      <c r="G1159" s="4" t="s">
        <v>134</v>
      </c>
      <c r="H1159" s="4" t="s">
        <v>27</v>
      </c>
      <c r="I1159" s="4" t="s">
        <v>19</v>
      </c>
      <c r="J1159" s="3">
        <v>1</v>
      </c>
      <c r="K1159" s="6">
        <v>26226</v>
      </c>
      <c r="L1159" s="6">
        <f t="shared" si="54"/>
        <v>18358.199999999997</v>
      </c>
      <c r="M1159" s="6">
        <v>7867.8000000000029</v>
      </c>
      <c r="N1159" s="5" t="str">
        <f t="shared" si="55"/>
        <v>Jan</v>
      </c>
      <c r="O1159" s="5" t="str">
        <f t="shared" si="56"/>
        <v xml:space="preserve"> 2023</v>
      </c>
    </row>
    <row r="1160" spans="1:15" x14ac:dyDescent="0.35">
      <c r="A1160" t="s">
        <v>1818</v>
      </c>
      <c r="B1160" s="5" t="s">
        <v>1252</v>
      </c>
      <c r="C1160" s="4" t="s">
        <v>31</v>
      </c>
      <c r="D1160" s="4" t="s">
        <v>45</v>
      </c>
      <c r="E1160" s="4" t="s">
        <v>46</v>
      </c>
      <c r="F1160" s="4" t="s">
        <v>67</v>
      </c>
      <c r="G1160" s="4" t="s">
        <v>180</v>
      </c>
      <c r="H1160" s="4" t="s">
        <v>72</v>
      </c>
      <c r="I1160" s="4" t="s">
        <v>60</v>
      </c>
      <c r="J1160" s="3">
        <v>3</v>
      </c>
      <c r="K1160" s="6">
        <v>9978</v>
      </c>
      <c r="L1160" s="6">
        <f t="shared" si="54"/>
        <v>6984.5999999999995</v>
      </c>
      <c r="M1160" s="6">
        <v>2993.4000000000005</v>
      </c>
      <c r="N1160" s="5" t="str">
        <f t="shared" si="55"/>
        <v>Nov</v>
      </c>
      <c r="O1160" s="5" t="str">
        <f t="shared" si="56"/>
        <v xml:space="preserve"> 2024</v>
      </c>
    </row>
    <row r="1161" spans="1:15" x14ac:dyDescent="0.35">
      <c r="A1161" t="s">
        <v>1819</v>
      </c>
      <c r="B1161" s="5" t="s">
        <v>1573</v>
      </c>
      <c r="C1161" s="4" t="s">
        <v>13</v>
      </c>
      <c r="D1161" s="4" t="s">
        <v>14</v>
      </c>
      <c r="E1161" s="4" t="s">
        <v>15</v>
      </c>
      <c r="F1161" s="4" t="s">
        <v>25</v>
      </c>
      <c r="G1161" s="4" t="s">
        <v>71</v>
      </c>
      <c r="H1161" s="4" t="s">
        <v>72</v>
      </c>
      <c r="I1161" s="4" t="s">
        <v>60</v>
      </c>
      <c r="J1161" s="3">
        <v>6</v>
      </c>
      <c r="K1161" s="6">
        <v>213990</v>
      </c>
      <c r="L1161" s="6">
        <f t="shared" si="54"/>
        <v>149793</v>
      </c>
      <c r="M1161" s="6">
        <v>64197</v>
      </c>
      <c r="N1161" s="5" t="str">
        <f t="shared" si="55"/>
        <v>Jan</v>
      </c>
      <c r="O1161" s="5" t="str">
        <f t="shared" si="56"/>
        <v xml:space="preserve"> 2024</v>
      </c>
    </row>
    <row r="1162" spans="1:15" x14ac:dyDescent="0.35">
      <c r="A1162" t="s">
        <v>1820</v>
      </c>
      <c r="B1162" s="5" t="s">
        <v>95</v>
      </c>
      <c r="C1162" s="4" t="s">
        <v>31</v>
      </c>
      <c r="D1162" s="4" t="s">
        <v>50</v>
      </c>
      <c r="E1162" s="4" t="s">
        <v>51</v>
      </c>
      <c r="F1162" s="4" t="s">
        <v>16</v>
      </c>
      <c r="G1162" s="4" t="s">
        <v>42</v>
      </c>
      <c r="H1162" s="4" t="s">
        <v>18</v>
      </c>
      <c r="I1162" s="4" t="s">
        <v>47</v>
      </c>
      <c r="J1162" s="3">
        <v>2</v>
      </c>
      <c r="K1162" s="6">
        <v>5504</v>
      </c>
      <c r="L1162" s="6">
        <f t="shared" si="54"/>
        <v>3852.7999999999997</v>
      </c>
      <c r="M1162" s="6">
        <v>1651.2000000000003</v>
      </c>
      <c r="N1162" s="5" t="str">
        <f t="shared" si="55"/>
        <v>Jul</v>
      </c>
      <c r="O1162" s="5" t="str">
        <f t="shared" si="56"/>
        <v xml:space="preserve"> 2024</v>
      </c>
    </row>
    <row r="1163" spans="1:15" x14ac:dyDescent="0.35">
      <c r="A1163" t="s">
        <v>1821</v>
      </c>
      <c r="B1163" s="5" t="s">
        <v>504</v>
      </c>
      <c r="C1163" s="4" t="s">
        <v>22</v>
      </c>
      <c r="D1163" s="4" t="s">
        <v>90</v>
      </c>
      <c r="E1163" s="4" t="s">
        <v>91</v>
      </c>
      <c r="F1163" s="4" t="s">
        <v>16</v>
      </c>
      <c r="G1163" s="4" t="s">
        <v>34</v>
      </c>
      <c r="H1163" s="4" t="s">
        <v>27</v>
      </c>
      <c r="I1163" s="4" t="s">
        <v>28</v>
      </c>
      <c r="J1163" s="3">
        <v>6</v>
      </c>
      <c r="K1163" s="6">
        <v>8526</v>
      </c>
      <c r="L1163" s="6">
        <f t="shared" si="54"/>
        <v>5968.2</v>
      </c>
      <c r="M1163" s="6">
        <v>2557.8000000000002</v>
      </c>
      <c r="N1163" s="5" t="str">
        <f t="shared" si="55"/>
        <v>Feb</v>
      </c>
      <c r="O1163" s="5" t="str">
        <f t="shared" si="56"/>
        <v xml:space="preserve"> 2023</v>
      </c>
    </row>
    <row r="1164" spans="1:15" x14ac:dyDescent="0.35">
      <c r="A1164" t="s">
        <v>1822</v>
      </c>
      <c r="B1164" s="5" t="s">
        <v>1300</v>
      </c>
      <c r="C1164" s="4" t="s">
        <v>55</v>
      </c>
      <c r="D1164" s="4" t="s">
        <v>82</v>
      </c>
      <c r="E1164" s="4" t="s">
        <v>83</v>
      </c>
      <c r="F1164" s="4" t="s">
        <v>37</v>
      </c>
      <c r="G1164" s="4" t="s">
        <v>183</v>
      </c>
      <c r="H1164" s="4" t="s">
        <v>27</v>
      </c>
      <c r="I1164" s="4" t="s">
        <v>47</v>
      </c>
      <c r="J1164" s="3">
        <v>9</v>
      </c>
      <c r="K1164" s="6">
        <v>351963</v>
      </c>
      <c r="L1164" s="6">
        <f t="shared" si="54"/>
        <v>246374.09999999998</v>
      </c>
      <c r="M1164" s="6">
        <v>105588.90000000002</v>
      </c>
      <c r="N1164" s="5" t="str">
        <f t="shared" si="55"/>
        <v>Apr</v>
      </c>
      <c r="O1164" s="5" t="str">
        <f t="shared" si="56"/>
        <v xml:space="preserve"> 2023</v>
      </c>
    </row>
    <row r="1165" spans="1:15" x14ac:dyDescent="0.35">
      <c r="A1165" t="s">
        <v>1823</v>
      </c>
      <c r="B1165" s="5" t="s">
        <v>158</v>
      </c>
      <c r="C1165" s="4" t="s">
        <v>13</v>
      </c>
      <c r="D1165" s="4" t="s">
        <v>125</v>
      </c>
      <c r="E1165" s="4" t="s">
        <v>126</v>
      </c>
      <c r="F1165" s="4" t="s">
        <v>37</v>
      </c>
      <c r="G1165" s="4" t="s">
        <v>38</v>
      </c>
      <c r="H1165" s="4" t="s">
        <v>27</v>
      </c>
      <c r="I1165" s="4" t="s">
        <v>39</v>
      </c>
      <c r="J1165" s="3">
        <v>1</v>
      </c>
      <c r="K1165" s="6">
        <v>4734</v>
      </c>
      <c r="L1165" s="6">
        <f t="shared" si="54"/>
        <v>3313.7999999999997</v>
      </c>
      <c r="M1165" s="6">
        <v>1420.2000000000003</v>
      </c>
      <c r="N1165" s="5" t="str">
        <f t="shared" si="55"/>
        <v>Mar</v>
      </c>
      <c r="O1165" s="5" t="str">
        <f t="shared" si="56"/>
        <v xml:space="preserve"> 2023</v>
      </c>
    </row>
    <row r="1166" spans="1:15" x14ac:dyDescent="0.35">
      <c r="A1166" t="s">
        <v>1824</v>
      </c>
      <c r="B1166" s="5" t="s">
        <v>977</v>
      </c>
      <c r="C1166" s="4" t="s">
        <v>31</v>
      </c>
      <c r="D1166" s="4" t="s">
        <v>50</v>
      </c>
      <c r="E1166" s="4" t="s">
        <v>51</v>
      </c>
      <c r="F1166" s="4" t="s">
        <v>16</v>
      </c>
      <c r="G1166" s="4" t="s">
        <v>42</v>
      </c>
      <c r="H1166" s="4" t="s">
        <v>72</v>
      </c>
      <c r="I1166" s="4" t="s">
        <v>60</v>
      </c>
      <c r="J1166" s="3">
        <v>4</v>
      </c>
      <c r="K1166" s="6">
        <v>154516</v>
      </c>
      <c r="L1166" s="6">
        <f t="shared" si="54"/>
        <v>108161.2</v>
      </c>
      <c r="M1166" s="6">
        <v>46354.8</v>
      </c>
      <c r="N1166" s="5" t="str">
        <f t="shared" si="55"/>
        <v>Aug</v>
      </c>
      <c r="O1166" s="5" t="str">
        <f t="shared" si="56"/>
        <v xml:space="preserve"> 2023</v>
      </c>
    </row>
    <row r="1167" spans="1:15" x14ac:dyDescent="0.35">
      <c r="A1167" t="s">
        <v>1825</v>
      </c>
      <c r="B1167" s="5" t="s">
        <v>1584</v>
      </c>
      <c r="C1167" s="4" t="s">
        <v>22</v>
      </c>
      <c r="D1167" s="4" t="s">
        <v>23</v>
      </c>
      <c r="E1167" s="4" t="s">
        <v>24</v>
      </c>
      <c r="F1167" s="4" t="s">
        <v>37</v>
      </c>
      <c r="G1167" s="4" t="s">
        <v>38</v>
      </c>
      <c r="H1167" s="4" t="s">
        <v>72</v>
      </c>
      <c r="I1167" s="4" t="s">
        <v>39</v>
      </c>
      <c r="J1167" s="3">
        <v>7</v>
      </c>
      <c r="K1167" s="6">
        <v>321321</v>
      </c>
      <c r="L1167" s="6">
        <f t="shared" si="54"/>
        <v>224924.69999999998</v>
      </c>
      <c r="M1167" s="6">
        <v>96396.300000000017</v>
      </c>
      <c r="N1167" s="5" t="str">
        <f t="shared" si="55"/>
        <v>Jun</v>
      </c>
      <c r="O1167" s="5" t="str">
        <f t="shared" si="56"/>
        <v xml:space="preserve"> 2023</v>
      </c>
    </row>
    <row r="1168" spans="1:15" x14ac:dyDescent="0.35">
      <c r="A1168" t="s">
        <v>1826</v>
      </c>
      <c r="B1168" s="5" t="s">
        <v>1311</v>
      </c>
      <c r="C1168" s="4" t="s">
        <v>55</v>
      </c>
      <c r="D1168" s="4" t="s">
        <v>82</v>
      </c>
      <c r="E1168" s="4" t="s">
        <v>83</v>
      </c>
      <c r="F1168" s="4" t="s">
        <v>67</v>
      </c>
      <c r="G1168" s="4" t="s">
        <v>68</v>
      </c>
      <c r="H1168" s="4" t="s">
        <v>18</v>
      </c>
      <c r="I1168" s="4" t="s">
        <v>28</v>
      </c>
      <c r="J1168" s="3">
        <v>3</v>
      </c>
      <c r="K1168" s="6">
        <v>15057</v>
      </c>
      <c r="L1168" s="6">
        <f t="shared" si="54"/>
        <v>10539.9</v>
      </c>
      <c r="M1168" s="6">
        <v>4517.1000000000004</v>
      </c>
      <c r="N1168" s="5" t="str">
        <f t="shared" si="55"/>
        <v>Aug</v>
      </c>
      <c r="O1168" s="5" t="str">
        <f t="shared" si="56"/>
        <v xml:space="preserve"> 2024</v>
      </c>
    </row>
    <row r="1169" spans="1:15" x14ac:dyDescent="0.35">
      <c r="A1169" t="s">
        <v>1827</v>
      </c>
      <c r="B1169" s="5" t="s">
        <v>1290</v>
      </c>
      <c r="C1169" s="4" t="s">
        <v>55</v>
      </c>
      <c r="D1169" s="4" t="s">
        <v>56</v>
      </c>
      <c r="E1169" s="4" t="s">
        <v>57</v>
      </c>
      <c r="F1169" s="4" t="s">
        <v>25</v>
      </c>
      <c r="G1169" s="4" t="s">
        <v>52</v>
      </c>
      <c r="H1169" s="4" t="s">
        <v>72</v>
      </c>
      <c r="I1169" s="4" t="s">
        <v>47</v>
      </c>
      <c r="J1169" s="3">
        <v>10</v>
      </c>
      <c r="K1169" s="6">
        <v>89780</v>
      </c>
      <c r="L1169" s="6">
        <f t="shared" si="54"/>
        <v>62845.999999999993</v>
      </c>
      <c r="M1169" s="6">
        <v>26934.000000000007</v>
      </c>
      <c r="N1169" s="5" t="str">
        <f t="shared" si="55"/>
        <v>Aug</v>
      </c>
      <c r="O1169" s="5" t="str">
        <f t="shared" si="56"/>
        <v xml:space="preserve"> 2024</v>
      </c>
    </row>
    <row r="1170" spans="1:15" x14ac:dyDescent="0.35">
      <c r="A1170" t="s">
        <v>1828</v>
      </c>
      <c r="B1170" s="5" t="s">
        <v>586</v>
      </c>
      <c r="C1170" s="4" t="s">
        <v>13</v>
      </c>
      <c r="D1170" s="4" t="s">
        <v>14</v>
      </c>
      <c r="E1170" s="4" t="s">
        <v>15</v>
      </c>
      <c r="F1170" s="4" t="s">
        <v>67</v>
      </c>
      <c r="G1170" s="4" t="s">
        <v>113</v>
      </c>
      <c r="H1170" s="4" t="s">
        <v>27</v>
      </c>
      <c r="I1170" s="4" t="s">
        <v>47</v>
      </c>
      <c r="J1170" s="3">
        <v>4</v>
      </c>
      <c r="K1170" s="6">
        <v>5616</v>
      </c>
      <c r="L1170" s="6">
        <f t="shared" si="54"/>
        <v>3931.2</v>
      </c>
      <c r="M1170" s="6">
        <v>1684.8000000000002</v>
      </c>
      <c r="N1170" s="5" t="str">
        <f t="shared" si="55"/>
        <v>Sep</v>
      </c>
      <c r="O1170" s="5" t="str">
        <f t="shared" si="56"/>
        <v xml:space="preserve"> 2023</v>
      </c>
    </row>
    <row r="1171" spans="1:15" x14ac:dyDescent="0.35">
      <c r="A1171" t="s">
        <v>1829</v>
      </c>
      <c r="B1171" s="5" t="s">
        <v>1417</v>
      </c>
      <c r="C1171" s="4" t="s">
        <v>13</v>
      </c>
      <c r="D1171" s="4" t="s">
        <v>125</v>
      </c>
      <c r="E1171" s="4" t="s">
        <v>126</v>
      </c>
      <c r="F1171" s="4" t="s">
        <v>37</v>
      </c>
      <c r="G1171" s="4" t="s">
        <v>186</v>
      </c>
      <c r="H1171" s="4" t="s">
        <v>27</v>
      </c>
      <c r="I1171" s="4" t="s">
        <v>19</v>
      </c>
      <c r="J1171" s="3">
        <v>8</v>
      </c>
      <c r="K1171" s="6">
        <v>33608</v>
      </c>
      <c r="L1171" s="6">
        <f t="shared" si="54"/>
        <v>23525.599999999999</v>
      </c>
      <c r="M1171" s="6">
        <v>10082.400000000001</v>
      </c>
      <c r="N1171" s="5" t="str">
        <f t="shared" si="55"/>
        <v>Jul</v>
      </c>
      <c r="O1171" s="5" t="str">
        <f t="shared" si="56"/>
        <v xml:space="preserve"> 2023</v>
      </c>
    </row>
    <row r="1172" spans="1:15" x14ac:dyDescent="0.35">
      <c r="A1172" t="s">
        <v>1830</v>
      </c>
      <c r="B1172" s="5" t="s">
        <v>793</v>
      </c>
      <c r="C1172" s="4" t="s">
        <v>22</v>
      </c>
      <c r="D1172" s="4" t="s">
        <v>90</v>
      </c>
      <c r="E1172" s="4" t="s">
        <v>110</v>
      </c>
      <c r="F1172" s="4" t="s">
        <v>16</v>
      </c>
      <c r="G1172" s="4" t="s">
        <v>17</v>
      </c>
      <c r="H1172" s="4" t="s">
        <v>18</v>
      </c>
      <c r="I1172" s="4" t="s">
        <v>39</v>
      </c>
      <c r="J1172" s="3">
        <v>9</v>
      </c>
      <c r="K1172" s="6">
        <v>333333</v>
      </c>
      <c r="L1172" s="6">
        <f t="shared" si="54"/>
        <v>233333.09999999998</v>
      </c>
      <c r="M1172" s="6">
        <v>99999.900000000023</v>
      </c>
      <c r="N1172" s="5" t="str">
        <f t="shared" si="55"/>
        <v>May</v>
      </c>
      <c r="O1172" s="5" t="str">
        <f t="shared" si="56"/>
        <v xml:space="preserve"> 2023</v>
      </c>
    </row>
    <row r="1173" spans="1:15" x14ac:dyDescent="0.35">
      <c r="A1173" t="s">
        <v>1831</v>
      </c>
      <c r="B1173" s="5" t="s">
        <v>304</v>
      </c>
      <c r="C1173" s="4" t="s">
        <v>22</v>
      </c>
      <c r="D1173" s="4" t="s">
        <v>86</v>
      </c>
      <c r="E1173" s="4" t="s">
        <v>87</v>
      </c>
      <c r="F1173" s="4" t="s">
        <v>67</v>
      </c>
      <c r="G1173" s="4" t="s">
        <v>134</v>
      </c>
      <c r="H1173" s="4" t="s">
        <v>27</v>
      </c>
      <c r="I1173" s="4" t="s">
        <v>19</v>
      </c>
      <c r="J1173" s="3">
        <v>6</v>
      </c>
      <c r="K1173" s="6">
        <v>242142</v>
      </c>
      <c r="L1173" s="6">
        <f t="shared" si="54"/>
        <v>169499.4</v>
      </c>
      <c r="M1173" s="6">
        <v>72642.600000000006</v>
      </c>
      <c r="N1173" s="5" t="str">
        <f t="shared" si="55"/>
        <v>Apr</v>
      </c>
      <c r="O1173" s="5" t="str">
        <f t="shared" si="56"/>
        <v xml:space="preserve"> 2023</v>
      </c>
    </row>
    <row r="1174" spans="1:15" x14ac:dyDescent="0.35">
      <c r="A1174" t="s">
        <v>1832</v>
      </c>
      <c r="B1174" s="5" t="s">
        <v>1833</v>
      </c>
      <c r="C1174" s="4" t="s">
        <v>31</v>
      </c>
      <c r="D1174" s="4" t="s">
        <v>104</v>
      </c>
      <c r="E1174" s="4" t="s">
        <v>105</v>
      </c>
      <c r="F1174" s="4" t="s">
        <v>25</v>
      </c>
      <c r="G1174" s="4" t="s">
        <v>26</v>
      </c>
      <c r="H1174" s="4" t="s">
        <v>27</v>
      </c>
      <c r="I1174" s="4" t="s">
        <v>39</v>
      </c>
      <c r="J1174" s="3">
        <v>1</v>
      </c>
      <c r="K1174" s="6">
        <v>24081</v>
      </c>
      <c r="L1174" s="6">
        <f t="shared" si="54"/>
        <v>16856.7</v>
      </c>
      <c r="M1174" s="6">
        <v>7224.2999999999993</v>
      </c>
      <c r="N1174" s="5" t="str">
        <f t="shared" si="55"/>
        <v>Apr</v>
      </c>
      <c r="O1174" s="5" t="str">
        <f t="shared" si="56"/>
        <v xml:space="preserve"> 2023</v>
      </c>
    </row>
    <row r="1175" spans="1:15" x14ac:dyDescent="0.35">
      <c r="A1175" t="s">
        <v>1834</v>
      </c>
      <c r="B1175" s="5" t="s">
        <v>1835</v>
      </c>
      <c r="C1175" s="4" t="s">
        <v>31</v>
      </c>
      <c r="D1175" s="4" t="s">
        <v>104</v>
      </c>
      <c r="E1175" s="4" t="s">
        <v>105</v>
      </c>
      <c r="F1175" s="4" t="s">
        <v>16</v>
      </c>
      <c r="G1175" s="4" t="s">
        <v>34</v>
      </c>
      <c r="H1175" s="4" t="s">
        <v>18</v>
      </c>
      <c r="I1175" s="4" t="s">
        <v>28</v>
      </c>
      <c r="J1175" s="3">
        <v>9</v>
      </c>
      <c r="K1175" s="6">
        <v>183960</v>
      </c>
      <c r="L1175" s="6">
        <f t="shared" si="54"/>
        <v>128771.99999999999</v>
      </c>
      <c r="M1175" s="6">
        <v>55188.000000000015</v>
      </c>
      <c r="N1175" s="5" t="str">
        <f t="shared" si="55"/>
        <v>Feb</v>
      </c>
      <c r="O1175" s="5" t="str">
        <f t="shared" si="56"/>
        <v xml:space="preserve"> 2024</v>
      </c>
    </row>
    <row r="1176" spans="1:15" x14ac:dyDescent="0.35">
      <c r="A1176" t="s">
        <v>1836</v>
      </c>
      <c r="B1176" s="5" t="s">
        <v>311</v>
      </c>
      <c r="C1176" s="4" t="s">
        <v>13</v>
      </c>
      <c r="D1176" s="4" t="s">
        <v>14</v>
      </c>
      <c r="E1176" s="4" t="s">
        <v>15</v>
      </c>
      <c r="F1176" s="4" t="s">
        <v>25</v>
      </c>
      <c r="G1176" s="4" t="s">
        <v>71</v>
      </c>
      <c r="H1176" s="4" t="s">
        <v>72</v>
      </c>
      <c r="I1176" s="4" t="s">
        <v>28</v>
      </c>
      <c r="J1176" s="3">
        <v>6</v>
      </c>
      <c r="K1176" s="6">
        <v>97530</v>
      </c>
      <c r="L1176" s="6">
        <f t="shared" si="54"/>
        <v>68271</v>
      </c>
      <c r="M1176" s="6">
        <v>29259</v>
      </c>
      <c r="N1176" s="5" t="str">
        <f t="shared" si="55"/>
        <v>Nov</v>
      </c>
      <c r="O1176" s="5" t="str">
        <f t="shared" si="56"/>
        <v xml:space="preserve"> 2024</v>
      </c>
    </row>
    <row r="1177" spans="1:15" x14ac:dyDescent="0.35">
      <c r="A1177" t="s">
        <v>1837</v>
      </c>
      <c r="B1177" s="5" t="s">
        <v>279</v>
      </c>
      <c r="C1177" s="4" t="s">
        <v>13</v>
      </c>
      <c r="D1177" s="4" t="s">
        <v>14</v>
      </c>
      <c r="E1177" s="4" t="s">
        <v>15</v>
      </c>
      <c r="F1177" s="4" t="s">
        <v>16</v>
      </c>
      <c r="G1177" s="4" t="s">
        <v>122</v>
      </c>
      <c r="H1177" s="4" t="s">
        <v>27</v>
      </c>
      <c r="I1177" s="4" t="s">
        <v>28</v>
      </c>
      <c r="J1177" s="3">
        <v>4</v>
      </c>
      <c r="K1177" s="6">
        <v>174872</v>
      </c>
      <c r="L1177" s="6">
        <f t="shared" si="54"/>
        <v>122410.4</v>
      </c>
      <c r="M1177" s="6">
        <v>52461.600000000006</v>
      </c>
      <c r="N1177" s="5" t="str">
        <f t="shared" si="55"/>
        <v>Jul</v>
      </c>
      <c r="O1177" s="5" t="str">
        <f t="shared" si="56"/>
        <v xml:space="preserve"> 2023</v>
      </c>
    </row>
    <row r="1178" spans="1:15" x14ac:dyDescent="0.35">
      <c r="A1178" t="s">
        <v>1838</v>
      </c>
      <c r="B1178" s="5" t="s">
        <v>1839</v>
      </c>
      <c r="C1178" s="4" t="s">
        <v>13</v>
      </c>
      <c r="D1178" s="4" t="s">
        <v>14</v>
      </c>
      <c r="E1178" s="4" t="s">
        <v>15</v>
      </c>
      <c r="F1178" s="4" t="s">
        <v>37</v>
      </c>
      <c r="G1178" s="4" t="s">
        <v>186</v>
      </c>
      <c r="H1178" s="4" t="s">
        <v>27</v>
      </c>
      <c r="I1178" s="4" t="s">
        <v>19</v>
      </c>
      <c r="J1178" s="3">
        <v>9</v>
      </c>
      <c r="K1178" s="6">
        <v>320985</v>
      </c>
      <c r="L1178" s="6">
        <f t="shared" si="54"/>
        <v>224689.5</v>
      </c>
      <c r="M1178" s="6">
        <v>96295.5</v>
      </c>
      <c r="N1178" s="5" t="str">
        <f t="shared" si="55"/>
        <v>May</v>
      </c>
      <c r="O1178" s="5" t="str">
        <f t="shared" si="56"/>
        <v xml:space="preserve"> 2024</v>
      </c>
    </row>
    <row r="1179" spans="1:15" x14ac:dyDescent="0.35">
      <c r="A1179" t="s">
        <v>1840</v>
      </c>
      <c r="B1179" s="5" t="s">
        <v>1204</v>
      </c>
      <c r="C1179" s="4" t="s">
        <v>13</v>
      </c>
      <c r="D1179" s="4" t="s">
        <v>162</v>
      </c>
      <c r="E1179" s="4" t="s">
        <v>163</v>
      </c>
      <c r="F1179" s="4" t="s">
        <v>67</v>
      </c>
      <c r="G1179" s="4" t="s">
        <v>134</v>
      </c>
      <c r="H1179" s="4" t="s">
        <v>27</v>
      </c>
      <c r="I1179" s="4" t="s">
        <v>60</v>
      </c>
      <c r="J1179" s="3">
        <v>10</v>
      </c>
      <c r="K1179" s="6">
        <v>454410</v>
      </c>
      <c r="L1179" s="6">
        <f t="shared" si="54"/>
        <v>318087</v>
      </c>
      <c r="M1179" s="6">
        <v>136323</v>
      </c>
      <c r="N1179" s="5" t="str">
        <f t="shared" si="55"/>
        <v>Aug</v>
      </c>
      <c r="O1179" s="5" t="str">
        <f t="shared" si="56"/>
        <v xml:space="preserve"> 2024</v>
      </c>
    </row>
    <row r="1180" spans="1:15" x14ac:dyDescent="0.35">
      <c r="A1180" t="s">
        <v>1841</v>
      </c>
      <c r="B1180" s="5" t="s">
        <v>1334</v>
      </c>
      <c r="C1180" s="4" t="s">
        <v>31</v>
      </c>
      <c r="D1180" s="4" t="s">
        <v>45</v>
      </c>
      <c r="E1180" s="4" t="s">
        <v>46</v>
      </c>
      <c r="F1180" s="4" t="s">
        <v>25</v>
      </c>
      <c r="G1180" s="4" t="s">
        <v>71</v>
      </c>
      <c r="H1180" s="4" t="s">
        <v>18</v>
      </c>
      <c r="I1180" s="4" t="s">
        <v>39</v>
      </c>
      <c r="J1180" s="3">
        <v>6</v>
      </c>
      <c r="K1180" s="6">
        <v>21360</v>
      </c>
      <c r="L1180" s="6">
        <f t="shared" si="54"/>
        <v>14951.999999999998</v>
      </c>
      <c r="M1180" s="6">
        <v>6408.0000000000018</v>
      </c>
      <c r="N1180" s="5" t="str">
        <f t="shared" si="55"/>
        <v>Mar</v>
      </c>
      <c r="O1180" s="5" t="str">
        <f t="shared" si="56"/>
        <v xml:space="preserve"> 2023</v>
      </c>
    </row>
    <row r="1181" spans="1:15" x14ac:dyDescent="0.35">
      <c r="A1181" t="s">
        <v>1842</v>
      </c>
      <c r="B1181" s="5" t="s">
        <v>1710</v>
      </c>
      <c r="C1181" s="4" t="s">
        <v>22</v>
      </c>
      <c r="D1181" s="4" t="s">
        <v>90</v>
      </c>
      <c r="E1181" s="4" t="s">
        <v>110</v>
      </c>
      <c r="F1181" s="4" t="s">
        <v>37</v>
      </c>
      <c r="G1181" s="4" t="s">
        <v>148</v>
      </c>
      <c r="H1181" s="4" t="s">
        <v>18</v>
      </c>
      <c r="I1181" s="4" t="s">
        <v>39</v>
      </c>
      <c r="J1181" s="3">
        <v>10</v>
      </c>
      <c r="K1181" s="6">
        <v>277290</v>
      </c>
      <c r="L1181" s="6">
        <f t="shared" si="54"/>
        <v>194103</v>
      </c>
      <c r="M1181" s="6">
        <v>83187</v>
      </c>
      <c r="N1181" s="5" t="str">
        <f t="shared" si="55"/>
        <v>Dec</v>
      </c>
      <c r="O1181" s="5" t="str">
        <f t="shared" si="56"/>
        <v xml:space="preserve"> 2023</v>
      </c>
    </row>
    <row r="1182" spans="1:15" x14ac:dyDescent="0.35">
      <c r="A1182" t="s">
        <v>1843</v>
      </c>
      <c r="B1182" s="5" t="s">
        <v>169</v>
      </c>
      <c r="C1182" s="4" t="s">
        <v>55</v>
      </c>
      <c r="D1182" s="4" t="s">
        <v>82</v>
      </c>
      <c r="E1182" s="4" t="s">
        <v>83</v>
      </c>
      <c r="F1182" s="4" t="s">
        <v>37</v>
      </c>
      <c r="G1182" s="4" t="s">
        <v>186</v>
      </c>
      <c r="H1182" s="4" t="s">
        <v>27</v>
      </c>
      <c r="I1182" s="4" t="s">
        <v>60</v>
      </c>
      <c r="J1182" s="3">
        <v>3</v>
      </c>
      <c r="K1182" s="6">
        <v>120666</v>
      </c>
      <c r="L1182" s="6">
        <f t="shared" si="54"/>
        <v>84466.2</v>
      </c>
      <c r="M1182" s="6">
        <v>36199.800000000003</v>
      </c>
      <c r="N1182" s="5" t="str">
        <f t="shared" si="55"/>
        <v>Jul</v>
      </c>
      <c r="O1182" s="5" t="str">
        <f t="shared" si="56"/>
        <v xml:space="preserve"> 2024</v>
      </c>
    </row>
    <row r="1183" spans="1:15" x14ac:dyDescent="0.35">
      <c r="A1183" t="s">
        <v>1844</v>
      </c>
      <c r="B1183" s="5" t="s">
        <v>1122</v>
      </c>
      <c r="C1183" s="4" t="s">
        <v>31</v>
      </c>
      <c r="D1183" s="4" t="s">
        <v>32</v>
      </c>
      <c r="E1183" s="4" t="s">
        <v>33</v>
      </c>
      <c r="F1183" s="4" t="s">
        <v>67</v>
      </c>
      <c r="G1183" s="4" t="s">
        <v>134</v>
      </c>
      <c r="H1183" s="4" t="s">
        <v>27</v>
      </c>
      <c r="I1183" s="4" t="s">
        <v>39</v>
      </c>
      <c r="J1183" s="3">
        <v>3</v>
      </c>
      <c r="K1183" s="6">
        <v>134172</v>
      </c>
      <c r="L1183" s="6">
        <f t="shared" si="54"/>
        <v>93920.4</v>
      </c>
      <c r="M1183" s="6">
        <v>40251.600000000006</v>
      </c>
      <c r="N1183" s="5" t="str">
        <f t="shared" si="55"/>
        <v>Mar</v>
      </c>
      <c r="O1183" s="5" t="str">
        <f t="shared" si="56"/>
        <v xml:space="preserve"> 2023</v>
      </c>
    </row>
    <row r="1184" spans="1:15" x14ac:dyDescent="0.35">
      <c r="A1184" t="s">
        <v>1845</v>
      </c>
      <c r="B1184" s="5" t="s">
        <v>1111</v>
      </c>
      <c r="C1184" s="4" t="s">
        <v>55</v>
      </c>
      <c r="D1184" s="4" t="s">
        <v>63</v>
      </c>
      <c r="E1184" s="4" t="s">
        <v>64</v>
      </c>
      <c r="F1184" s="4" t="s">
        <v>67</v>
      </c>
      <c r="G1184" s="4" t="s">
        <v>134</v>
      </c>
      <c r="H1184" s="4" t="s">
        <v>27</v>
      </c>
      <c r="I1184" s="4" t="s">
        <v>28</v>
      </c>
      <c r="J1184" s="3">
        <v>1</v>
      </c>
      <c r="K1184" s="6">
        <v>39950</v>
      </c>
      <c r="L1184" s="6">
        <f t="shared" si="54"/>
        <v>27965</v>
      </c>
      <c r="M1184" s="6">
        <v>11985</v>
      </c>
      <c r="N1184" s="5" t="str">
        <f t="shared" si="55"/>
        <v>May</v>
      </c>
      <c r="O1184" s="5" t="str">
        <f t="shared" si="56"/>
        <v xml:space="preserve"> 2023</v>
      </c>
    </row>
    <row r="1185" spans="1:15" x14ac:dyDescent="0.35">
      <c r="A1185" t="s">
        <v>1846</v>
      </c>
      <c r="B1185" s="5" t="s">
        <v>1839</v>
      </c>
      <c r="C1185" s="4" t="s">
        <v>22</v>
      </c>
      <c r="D1185" s="4" t="s">
        <v>90</v>
      </c>
      <c r="E1185" s="4" t="s">
        <v>110</v>
      </c>
      <c r="F1185" s="4" t="s">
        <v>67</v>
      </c>
      <c r="G1185" s="4" t="s">
        <v>180</v>
      </c>
      <c r="H1185" s="4" t="s">
        <v>72</v>
      </c>
      <c r="I1185" s="4" t="s">
        <v>28</v>
      </c>
      <c r="J1185" s="3">
        <v>6</v>
      </c>
      <c r="K1185" s="6">
        <v>199602</v>
      </c>
      <c r="L1185" s="6">
        <f t="shared" si="54"/>
        <v>139721.4</v>
      </c>
      <c r="M1185" s="6">
        <v>59880.600000000006</v>
      </c>
      <c r="N1185" s="5" t="str">
        <f t="shared" si="55"/>
        <v>May</v>
      </c>
      <c r="O1185" s="5" t="str">
        <f t="shared" si="56"/>
        <v xml:space="preserve"> 2024</v>
      </c>
    </row>
    <row r="1186" spans="1:15" x14ac:dyDescent="0.35">
      <c r="A1186" t="s">
        <v>1847</v>
      </c>
      <c r="B1186" s="5" t="s">
        <v>741</v>
      </c>
      <c r="C1186" s="4" t="s">
        <v>22</v>
      </c>
      <c r="D1186" s="4" t="s">
        <v>86</v>
      </c>
      <c r="E1186" s="4" t="s">
        <v>87</v>
      </c>
      <c r="F1186" s="4" t="s">
        <v>67</v>
      </c>
      <c r="G1186" s="4" t="s">
        <v>113</v>
      </c>
      <c r="H1186" s="4" t="s">
        <v>18</v>
      </c>
      <c r="I1186" s="4" t="s">
        <v>19</v>
      </c>
      <c r="J1186" s="3">
        <v>8</v>
      </c>
      <c r="K1186" s="6">
        <v>72136</v>
      </c>
      <c r="L1186" s="6">
        <f t="shared" si="54"/>
        <v>50495.199999999997</v>
      </c>
      <c r="M1186" s="6">
        <v>21640.800000000003</v>
      </c>
      <c r="N1186" s="5" t="str">
        <f t="shared" si="55"/>
        <v>Jan</v>
      </c>
      <c r="O1186" s="5" t="str">
        <f t="shared" si="56"/>
        <v xml:space="preserve"> 2024</v>
      </c>
    </row>
    <row r="1187" spans="1:15" x14ac:dyDescent="0.35">
      <c r="A1187" t="s">
        <v>1848</v>
      </c>
      <c r="B1187" s="5" t="s">
        <v>1849</v>
      </c>
      <c r="C1187" s="4" t="s">
        <v>31</v>
      </c>
      <c r="D1187" s="4" t="s">
        <v>104</v>
      </c>
      <c r="E1187" s="4" t="s">
        <v>105</v>
      </c>
      <c r="F1187" s="4" t="s">
        <v>25</v>
      </c>
      <c r="G1187" s="4" t="s">
        <v>52</v>
      </c>
      <c r="H1187" s="4" t="s">
        <v>72</v>
      </c>
      <c r="I1187" s="4" t="s">
        <v>60</v>
      </c>
      <c r="J1187" s="3">
        <v>5</v>
      </c>
      <c r="K1187" s="6">
        <v>120970</v>
      </c>
      <c r="L1187" s="6">
        <f t="shared" si="54"/>
        <v>84679</v>
      </c>
      <c r="M1187" s="6">
        <v>36291</v>
      </c>
      <c r="N1187" s="5" t="str">
        <f t="shared" si="55"/>
        <v>Jul</v>
      </c>
      <c r="O1187" s="5" t="str">
        <f t="shared" si="56"/>
        <v xml:space="preserve"> 2023</v>
      </c>
    </row>
    <row r="1188" spans="1:15" x14ac:dyDescent="0.35">
      <c r="A1188" t="s">
        <v>1850</v>
      </c>
      <c r="B1188" s="5" t="s">
        <v>287</v>
      </c>
      <c r="C1188" s="4" t="s">
        <v>31</v>
      </c>
      <c r="D1188" s="4" t="s">
        <v>45</v>
      </c>
      <c r="E1188" s="4" t="s">
        <v>46</v>
      </c>
      <c r="F1188" s="4" t="s">
        <v>16</v>
      </c>
      <c r="G1188" s="4" t="s">
        <v>17</v>
      </c>
      <c r="H1188" s="4" t="s">
        <v>72</v>
      </c>
      <c r="I1188" s="4" t="s">
        <v>19</v>
      </c>
      <c r="J1188" s="3">
        <v>7</v>
      </c>
      <c r="K1188" s="6">
        <v>124278</v>
      </c>
      <c r="L1188" s="6">
        <f t="shared" si="54"/>
        <v>86994.599999999991</v>
      </c>
      <c r="M1188" s="6">
        <v>37283.400000000009</v>
      </c>
      <c r="N1188" s="5" t="str">
        <f t="shared" si="55"/>
        <v>May</v>
      </c>
      <c r="O1188" s="5" t="str">
        <f t="shared" si="56"/>
        <v xml:space="preserve"> 2023</v>
      </c>
    </row>
    <row r="1189" spans="1:15" x14ac:dyDescent="0.35">
      <c r="A1189" t="s">
        <v>1851</v>
      </c>
      <c r="B1189" s="5" t="s">
        <v>636</v>
      </c>
      <c r="C1189" s="4" t="s">
        <v>13</v>
      </c>
      <c r="D1189" s="4" t="s">
        <v>162</v>
      </c>
      <c r="E1189" s="4" t="s">
        <v>163</v>
      </c>
      <c r="F1189" s="4" t="s">
        <v>67</v>
      </c>
      <c r="G1189" s="4" t="s">
        <v>180</v>
      </c>
      <c r="H1189" s="4" t="s">
        <v>18</v>
      </c>
      <c r="I1189" s="4" t="s">
        <v>28</v>
      </c>
      <c r="J1189" s="3">
        <v>6</v>
      </c>
      <c r="K1189" s="6">
        <v>87900</v>
      </c>
      <c r="L1189" s="6">
        <f t="shared" si="54"/>
        <v>61529.999999999993</v>
      </c>
      <c r="M1189" s="6">
        <v>26370.000000000007</v>
      </c>
      <c r="N1189" s="5" t="str">
        <f t="shared" si="55"/>
        <v>May</v>
      </c>
      <c r="O1189" s="5" t="str">
        <f t="shared" si="56"/>
        <v xml:space="preserve"> 2023</v>
      </c>
    </row>
    <row r="1190" spans="1:15" x14ac:dyDescent="0.35">
      <c r="A1190" t="s">
        <v>1852</v>
      </c>
      <c r="B1190" s="5" t="s">
        <v>634</v>
      </c>
      <c r="C1190" s="4" t="s">
        <v>13</v>
      </c>
      <c r="D1190" s="4" t="s">
        <v>14</v>
      </c>
      <c r="E1190" s="4" t="s">
        <v>15</v>
      </c>
      <c r="F1190" s="4" t="s">
        <v>37</v>
      </c>
      <c r="G1190" s="4" t="s">
        <v>183</v>
      </c>
      <c r="H1190" s="4" t="s">
        <v>72</v>
      </c>
      <c r="I1190" s="4" t="s">
        <v>39</v>
      </c>
      <c r="J1190" s="3">
        <v>7</v>
      </c>
      <c r="K1190" s="6">
        <v>114023</v>
      </c>
      <c r="L1190" s="6">
        <f t="shared" si="54"/>
        <v>79816.099999999991</v>
      </c>
      <c r="M1190" s="6">
        <v>34206.900000000009</v>
      </c>
      <c r="N1190" s="5" t="str">
        <f t="shared" si="55"/>
        <v>Feb</v>
      </c>
      <c r="O1190" s="5" t="str">
        <f t="shared" si="56"/>
        <v xml:space="preserve"> 2024</v>
      </c>
    </row>
    <row r="1191" spans="1:15" x14ac:dyDescent="0.35">
      <c r="A1191" t="s">
        <v>1853</v>
      </c>
      <c r="B1191" s="5" t="s">
        <v>1854</v>
      </c>
      <c r="C1191" s="4" t="s">
        <v>13</v>
      </c>
      <c r="D1191" s="4" t="s">
        <v>14</v>
      </c>
      <c r="E1191" s="4" t="s">
        <v>15</v>
      </c>
      <c r="F1191" s="4" t="s">
        <v>25</v>
      </c>
      <c r="G1191" s="4" t="s">
        <v>77</v>
      </c>
      <c r="H1191" s="4" t="s">
        <v>18</v>
      </c>
      <c r="I1191" s="4" t="s">
        <v>19</v>
      </c>
      <c r="J1191" s="3">
        <v>7</v>
      </c>
      <c r="K1191" s="6">
        <v>274008</v>
      </c>
      <c r="L1191" s="6">
        <f t="shared" si="54"/>
        <v>191805.59999999998</v>
      </c>
      <c r="M1191" s="6">
        <v>82202.400000000023</v>
      </c>
      <c r="N1191" s="5" t="str">
        <f t="shared" si="55"/>
        <v>May</v>
      </c>
      <c r="O1191" s="5" t="str">
        <f t="shared" si="56"/>
        <v xml:space="preserve"> 2024</v>
      </c>
    </row>
    <row r="1192" spans="1:15" x14ac:dyDescent="0.35">
      <c r="A1192" t="s">
        <v>1855</v>
      </c>
      <c r="B1192" s="5" t="s">
        <v>1437</v>
      </c>
      <c r="C1192" s="4" t="s">
        <v>22</v>
      </c>
      <c r="D1192" s="4" t="s">
        <v>90</v>
      </c>
      <c r="E1192" s="4" t="s">
        <v>110</v>
      </c>
      <c r="F1192" s="4" t="s">
        <v>37</v>
      </c>
      <c r="G1192" s="4" t="s">
        <v>38</v>
      </c>
      <c r="H1192" s="4" t="s">
        <v>72</v>
      </c>
      <c r="I1192" s="4" t="s">
        <v>39</v>
      </c>
      <c r="J1192" s="3">
        <v>9</v>
      </c>
      <c r="K1192" s="6">
        <v>338220</v>
      </c>
      <c r="L1192" s="6">
        <f t="shared" si="54"/>
        <v>236753.99999999997</v>
      </c>
      <c r="M1192" s="6">
        <v>101466.00000000003</v>
      </c>
      <c r="N1192" s="5" t="str">
        <f t="shared" si="55"/>
        <v>Mar</v>
      </c>
      <c r="O1192" s="5" t="str">
        <f t="shared" si="56"/>
        <v xml:space="preserve"> 2023</v>
      </c>
    </row>
    <row r="1193" spans="1:15" x14ac:dyDescent="0.35">
      <c r="A1193" t="s">
        <v>1856</v>
      </c>
      <c r="B1193" s="5" t="s">
        <v>1260</v>
      </c>
      <c r="C1193" s="4" t="s">
        <v>13</v>
      </c>
      <c r="D1193" s="4" t="s">
        <v>162</v>
      </c>
      <c r="E1193" s="4" t="s">
        <v>163</v>
      </c>
      <c r="F1193" s="4" t="s">
        <v>16</v>
      </c>
      <c r="G1193" s="4" t="s">
        <v>122</v>
      </c>
      <c r="H1193" s="4" t="s">
        <v>72</v>
      </c>
      <c r="I1193" s="4" t="s">
        <v>60</v>
      </c>
      <c r="J1193" s="3">
        <v>2</v>
      </c>
      <c r="K1193" s="6">
        <v>39488</v>
      </c>
      <c r="L1193" s="6">
        <f t="shared" si="54"/>
        <v>27641.599999999999</v>
      </c>
      <c r="M1193" s="6">
        <v>11846.400000000001</v>
      </c>
      <c r="N1193" s="5" t="str">
        <f t="shared" si="55"/>
        <v>May</v>
      </c>
      <c r="O1193" s="5" t="str">
        <f t="shared" si="56"/>
        <v xml:space="preserve"> 2023</v>
      </c>
    </row>
    <row r="1194" spans="1:15" x14ac:dyDescent="0.35">
      <c r="A1194" t="s">
        <v>1857</v>
      </c>
      <c r="B1194" s="5" t="s">
        <v>269</v>
      </c>
      <c r="C1194" s="4" t="s">
        <v>22</v>
      </c>
      <c r="D1194" s="4" t="s">
        <v>90</v>
      </c>
      <c r="E1194" s="4" t="s">
        <v>110</v>
      </c>
      <c r="F1194" s="4" t="s">
        <v>37</v>
      </c>
      <c r="G1194" s="4" t="s">
        <v>38</v>
      </c>
      <c r="H1194" s="4" t="s">
        <v>18</v>
      </c>
      <c r="I1194" s="4" t="s">
        <v>60</v>
      </c>
      <c r="J1194" s="3">
        <v>1</v>
      </c>
      <c r="K1194" s="6">
        <v>32112</v>
      </c>
      <c r="L1194" s="6">
        <f t="shared" si="54"/>
        <v>22478.399999999998</v>
      </c>
      <c r="M1194" s="6">
        <v>9633.6000000000022</v>
      </c>
      <c r="N1194" s="5" t="str">
        <f t="shared" si="55"/>
        <v>Apr</v>
      </c>
      <c r="O1194" s="5" t="str">
        <f t="shared" si="56"/>
        <v xml:space="preserve"> 2023</v>
      </c>
    </row>
    <row r="1195" spans="1:15" x14ac:dyDescent="0.35">
      <c r="A1195" t="s">
        <v>1858</v>
      </c>
      <c r="B1195" s="5" t="s">
        <v>182</v>
      </c>
      <c r="C1195" s="4" t="s">
        <v>55</v>
      </c>
      <c r="D1195" s="4" t="s">
        <v>82</v>
      </c>
      <c r="E1195" s="4" t="s">
        <v>83</v>
      </c>
      <c r="F1195" s="4" t="s">
        <v>67</v>
      </c>
      <c r="G1195" s="4" t="s">
        <v>180</v>
      </c>
      <c r="H1195" s="4" t="s">
        <v>27</v>
      </c>
      <c r="I1195" s="4" t="s">
        <v>19</v>
      </c>
      <c r="J1195" s="3">
        <v>1</v>
      </c>
      <c r="K1195" s="6">
        <v>18995</v>
      </c>
      <c r="L1195" s="6">
        <f t="shared" si="54"/>
        <v>13296.5</v>
      </c>
      <c r="M1195" s="6">
        <v>5698.5</v>
      </c>
      <c r="N1195" s="5" t="str">
        <f t="shared" si="55"/>
        <v>Apr</v>
      </c>
      <c r="O1195" s="5" t="str">
        <f t="shared" si="56"/>
        <v xml:space="preserve"> 2023</v>
      </c>
    </row>
    <row r="1196" spans="1:15" x14ac:dyDescent="0.35">
      <c r="A1196" t="s">
        <v>1859</v>
      </c>
      <c r="B1196" s="5" t="s">
        <v>1700</v>
      </c>
      <c r="C1196" s="4" t="s">
        <v>31</v>
      </c>
      <c r="D1196" s="4" t="s">
        <v>45</v>
      </c>
      <c r="E1196" s="4" t="s">
        <v>46</v>
      </c>
      <c r="F1196" s="4" t="s">
        <v>67</v>
      </c>
      <c r="G1196" s="4" t="s">
        <v>180</v>
      </c>
      <c r="H1196" s="4" t="s">
        <v>18</v>
      </c>
      <c r="I1196" s="4" t="s">
        <v>28</v>
      </c>
      <c r="J1196" s="3">
        <v>7</v>
      </c>
      <c r="K1196" s="6">
        <v>55440</v>
      </c>
      <c r="L1196" s="6">
        <f t="shared" si="54"/>
        <v>38808</v>
      </c>
      <c r="M1196" s="6">
        <v>16632</v>
      </c>
      <c r="N1196" s="5" t="str">
        <f t="shared" si="55"/>
        <v>Sep</v>
      </c>
      <c r="O1196" s="5" t="str">
        <f t="shared" si="56"/>
        <v xml:space="preserve"> 2023</v>
      </c>
    </row>
    <row r="1197" spans="1:15" x14ac:dyDescent="0.35">
      <c r="A1197" t="s">
        <v>1860</v>
      </c>
      <c r="B1197" s="5" t="s">
        <v>1090</v>
      </c>
      <c r="C1197" s="4" t="s">
        <v>31</v>
      </c>
      <c r="D1197" s="4" t="s">
        <v>104</v>
      </c>
      <c r="E1197" s="4" t="s">
        <v>105</v>
      </c>
      <c r="F1197" s="4" t="s">
        <v>37</v>
      </c>
      <c r="G1197" s="4" t="s">
        <v>148</v>
      </c>
      <c r="H1197" s="4" t="s">
        <v>27</v>
      </c>
      <c r="I1197" s="4" t="s">
        <v>28</v>
      </c>
      <c r="J1197" s="3">
        <v>1</v>
      </c>
      <c r="K1197" s="6">
        <v>41962</v>
      </c>
      <c r="L1197" s="6">
        <f t="shared" si="54"/>
        <v>29373.399999999998</v>
      </c>
      <c r="M1197" s="6">
        <v>12588.600000000002</v>
      </c>
      <c r="N1197" s="5" t="str">
        <f t="shared" si="55"/>
        <v>Oct</v>
      </c>
      <c r="O1197" s="5" t="str">
        <f t="shared" si="56"/>
        <v xml:space="preserve"> 2024</v>
      </c>
    </row>
    <row r="1198" spans="1:15" x14ac:dyDescent="0.35">
      <c r="A1198" t="s">
        <v>1861</v>
      </c>
      <c r="B1198" s="5" t="s">
        <v>471</v>
      </c>
      <c r="C1198" s="4" t="s">
        <v>22</v>
      </c>
      <c r="D1198" s="4" t="s">
        <v>90</v>
      </c>
      <c r="E1198" s="4" t="s">
        <v>110</v>
      </c>
      <c r="F1198" s="4" t="s">
        <v>67</v>
      </c>
      <c r="G1198" s="4" t="s">
        <v>113</v>
      </c>
      <c r="H1198" s="4" t="s">
        <v>27</v>
      </c>
      <c r="I1198" s="4" t="s">
        <v>19</v>
      </c>
      <c r="J1198" s="3">
        <v>7</v>
      </c>
      <c r="K1198" s="6">
        <v>68579</v>
      </c>
      <c r="L1198" s="6">
        <f t="shared" si="54"/>
        <v>48005.299999999996</v>
      </c>
      <c r="M1198" s="6">
        <v>20573.700000000004</v>
      </c>
      <c r="N1198" s="5" t="str">
        <f t="shared" si="55"/>
        <v>Oct</v>
      </c>
      <c r="O1198" s="5" t="str">
        <f t="shared" si="56"/>
        <v xml:space="preserve"> 2023</v>
      </c>
    </row>
    <row r="1199" spans="1:15" x14ac:dyDescent="0.35">
      <c r="A1199" t="s">
        <v>1862</v>
      </c>
      <c r="B1199" s="5" t="s">
        <v>704</v>
      </c>
      <c r="C1199" s="4" t="s">
        <v>31</v>
      </c>
      <c r="D1199" s="4" t="s">
        <v>32</v>
      </c>
      <c r="E1199" s="4" t="s">
        <v>33</v>
      </c>
      <c r="F1199" s="4" t="s">
        <v>25</v>
      </c>
      <c r="G1199" s="4" t="s">
        <v>77</v>
      </c>
      <c r="H1199" s="4" t="s">
        <v>72</v>
      </c>
      <c r="I1199" s="4" t="s">
        <v>28</v>
      </c>
      <c r="J1199" s="3">
        <v>6</v>
      </c>
      <c r="K1199" s="6">
        <v>245970</v>
      </c>
      <c r="L1199" s="6">
        <f t="shared" si="54"/>
        <v>172179</v>
      </c>
      <c r="M1199" s="6">
        <v>73791</v>
      </c>
      <c r="N1199" s="5" t="str">
        <f t="shared" si="55"/>
        <v>Dec</v>
      </c>
      <c r="O1199" s="5" t="str">
        <f t="shared" si="56"/>
        <v xml:space="preserve"> 2024</v>
      </c>
    </row>
    <row r="1200" spans="1:15" x14ac:dyDescent="0.35">
      <c r="A1200" t="s">
        <v>1863</v>
      </c>
      <c r="B1200" s="5" t="s">
        <v>343</v>
      </c>
      <c r="C1200" s="4" t="s">
        <v>31</v>
      </c>
      <c r="D1200" s="4" t="s">
        <v>32</v>
      </c>
      <c r="E1200" s="4" t="s">
        <v>33</v>
      </c>
      <c r="F1200" s="4" t="s">
        <v>37</v>
      </c>
      <c r="G1200" s="4" t="s">
        <v>38</v>
      </c>
      <c r="H1200" s="4" t="s">
        <v>72</v>
      </c>
      <c r="I1200" s="4" t="s">
        <v>28</v>
      </c>
      <c r="J1200" s="3">
        <v>9</v>
      </c>
      <c r="K1200" s="6">
        <v>94212</v>
      </c>
      <c r="L1200" s="6">
        <f t="shared" si="54"/>
        <v>65948.399999999994</v>
      </c>
      <c r="M1200" s="6">
        <v>28263.600000000006</v>
      </c>
      <c r="N1200" s="5" t="str">
        <f t="shared" si="55"/>
        <v>Mar</v>
      </c>
      <c r="O1200" s="5" t="str">
        <f t="shared" si="56"/>
        <v xml:space="preserve"> 2024</v>
      </c>
    </row>
    <row r="1201" spans="1:15" x14ac:dyDescent="0.35">
      <c r="A1201" t="s">
        <v>1864</v>
      </c>
      <c r="B1201" s="5" t="s">
        <v>913</v>
      </c>
      <c r="C1201" s="4" t="s">
        <v>22</v>
      </c>
      <c r="D1201" s="4" t="s">
        <v>90</v>
      </c>
      <c r="E1201" s="4" t="s">
        <v>91</v>
      </c>
      <c r="F1201" s="4" t="s">
        <v>67</v>
      </c>
      <c r="G1201" s="4" t="s">
        <v>113</v>
      </c>
      <c r="H1201" s="4" t="s">
        <v>27</v>
      </c>
      <c r="I1201" s="4" t="s">
        <v>19</v>
      </c>
      <c r="J1201" s="3">
        <v>7</v>
      </c>
      <c r="K1201" s="6">
        <v>330043</v>
      </c>
      <c r="L1201" s="6">
        <f t="shared" si="54"/>
        <v>231030.09999999998</v>
      </c>
      <c r="M1201" s="6">
        <v>99012.900000000023</v>
      </c>
      <c r="N1201" s="5" t="str">
        <f t="shared" si="55"/>
        <v>Sep</v>
      </c>
      <c r="O1201" s="5" t="str">
        <f t="shared" si="56"/>
        <v xml:space="preserve"> 2023</v>
      </c>
    </row>
    <row r="1202" spans="1:15" x14ac:dyDescent="0.35">
      <c r="A1202" t="s">
        <v>1865</v>
      </c>
      <c r="B1202" s="5" t="s">
        <v>1431</v>
      </c>
      <c r="C1202" s="4" t="s">
        <v>13</v>
      </c>
      <c r="D1202" s="4" t="s">
        <v>14</v>
      </c>
      <c r="E1202" s="4" t="s">
        <v>15</v>
      </c>
      <c r="F1202" s="4" t="s">
        <v>25</v>
      </c>
      <c r="G1202" s="4" t="s">
        <v>52</v>
      </c>
      <c r="H1202" s="4" t="s">
        <v>18</v>
      </c>
      <c r="I1202" s="4" t="s">
        <v>47</v>
      </c>
      <c r="J1202" s="3">
        <v>4</v>
      </c>
      <c r="K1202" s="6">
        <v>53556</v>
      </c>
      <c r="L1202" s="6">
        <f t="shared" si="54"/>
        <v>37489.199999999997</v>
      </c>
      <c r="M1202" s="6">
        <v>16066.800000000003</v>
      </c>
      <c r="N1202" s="5" t="str">
        <f t="shared" si="55"/>
        <v>Jul</v>
      </c>
      <c r="O1202" s="5" t="str">
        <f t="shared" si="56"/>
        <v xml:space="preserve"> 2023</v>
      </c>
    </row>
    <row r="1203" spans="1:15" x14ac:dyDescent="0.35">
      <c r="A1203" t="s">
        <v>1866</v>
      </c>
      <c r="B1203" s="5" t="s">
        <v>1465</v>
      </c>
      <c r="C1203" s="4" t="s">
        <v>31</v>
      </c>
      <c r="D1203" s="4" t="s">
        <v>50</v>
      </c>
      <c r="E1203" s="4" t="s">
        <v>51</v>
      </c>
      <c r="F1203" s="4" t="s">
        <v>37</v>
      </c>
      <c r="G1203" s="4" t="s">
        <v>186</v>
      </c>
      <c r="H1203" s="4" t="s">
        <v>72</v>
      </c>
      <c r="I1203" s="4" t="s">
        <v>60</v>
      </c>
      <c r="J1203" s="3">
        <v>10</v>
      </c>
      <c r="K1203" s="6">
        <v>422720</v>
      </c>
      <c r="L1203" s="6">
        <f t="shared" si="54"/>
        <v>295904</v>
      </c>
      <c r="M1203" s="6">
        <v>126816</v>
      </c>
      <c r="N1203" s="5" t="str">
        <f t="shared" si="55"/>
        <v>Aug</v>
      </c>
      <c r="O1203" s="5" t="str">
        <f t="shared" si="56"/>
        <v xml:space="preserve"> 2023</v>
      </c>
    </row>
    <row r="1204" spans="1:15" x14ac:dyDescent="0.35">
      <c r="A1204" t="s">
        <v>1867</v>
      </c>
      <c r="B1204" s="5" t="s">
        <v>1727</v>
      </c>
      <c r="C1204" s="4" t="s">
        <v>13</v>
      </c>
      <c r="D1204" s="4" t="s">
        <v>118</v>
      </c>
      <c r="E1204" s="4" t="s">
        <v>119</v>
      </c>
      <c r="F1204" s="4" t="s">
        <v>25</v>
      </c>
      <c r="G1204" s="4" t="s">
        <v>71</v>
      </c>
      <c r="H1204" s="4" t="s">
        <v>18</v>
      </c>
      <c r="I1204" s="4" t="s">
        <v>60</v>
      </c>
      <c r="J1204" s="3">
        <v>6</v>
      </c>
      <c r="K1204" s="6">
        <v>162030</v>
      </c>
      <c r="L1204" s="6">
        <f t="shared" si="54"/>
        <v>113421</v>
      </c>
      <c r="M1204" s="6">
        <v>48609</v>
      </c>
      <c r="N1204" s="5" t="str">
        <f t="shared" si="55"/>
        <v>Oct</v>
      </c>
      <c r="O1204" s="5" t="str">
        <f t="shared" si="56"/>
        <v xml:space="preserve"> 2023</v>
      </c>
    </row>
    <row r="1205" spans="1:15" x14ac:dyDescent="0.35">
      <c r="A1205" t="s">
        <v>1868</v>
      </c>
      <c r="B1205" s="5" t="s">
        <v>1869</v>
      </c>
      <c r="C1205" s="4" t="s">
        <v>55</v>
      </c>
      <c r="D1205" s="4" t="s">
        <v>56</v>
      </c>
      <c r="E1205" s="4" t="s">
        <v>57</v>
      </c>
      <c r="F1205" s="4" t="s">
        <v>67</v>
      </c>
      <c r="G1205" s="4" t="s">
        <v>180</v>
      </c>
      <c r="H1205" s="4" t="s">
        <v>72</v>
      </c>
      <c r="I1205" s="4" t="s">
        <v>19</v>
      </c>
      <c r="J1205" s="3">
        <v>1</v>
      </c>
      <c r="K1205" s="6">
        <v>29414</v>
      </c>
      <c r="L1205" s="6">
        <f t="shared" si="54"/>
        <v>20589.8</v>
      </c>
      <c r="M1205" s="6">
        <v>8824.2000000000007</v>
      </c>
      <c r="N1205" s="5" t="str">
        <f t="shared" si="55"/>
        <v>Aug</v>
      </c>
      <c r="O1205" s="5" t="str">
        <f t="shared" si="56"/>
        <v xml:space="preserve"> 2023</v>
      </c>
    </row>
    <row r="1206" spans="1:15" x14ac:dyDescent="0.35">
      <c r="A1206" t="s">
        <v>1870</v>
      </c>
      <c r="B1206" s="5" t="s">
        <v>870</v>
      </c>
      <c r="C1206" s="4" t="s">
        <v>13</v>
      </c>
      <c r="D1206" s="4" t="s">
        <v>118</v>
      </c>
      <c r="E1206" s="4" t="s">
        <v>119</v>
      </c>
      <c r="F1206" s="4" t="s">
        <v>37</v>
      </c>
      <c r="G1206" s="4" t="s">
        <v>38</v>
      </c>
      <c r="H1206" s="4" t="s">
        <v>18</v>
      </c>
      <c r="I1206" s="4" t="s">
        <v>28</v>
      </c>
      <c r="J1206" s="3">
        <v>2</v>
      </c>
      <c r="K1206" s="6">
        <v>90564</v>
      </c>
      <c r="L1206" s="6">
        <f t="shared" si="54"/>
        <v>63394.799999999996</v>
      </c>
      <c r="M1206" s="6">
        <v>27169.200000000004</v>
      </c>
      <c r="N1206" s="5" t="str">
        <f t="shared" si="55"/>
        <v>Jan</v>
      </c>
      <c r="O1206" s="5" t="str">
        <f t="shared" si="56"/>
        <v xml:space="preserve"> 2023</v>
      </c>
    </row>
    <row r="1207" spans="1:15" x14ac:dyDescent="0.35">
      <c r="A1207" t="s">
        <v>1871</v>
      </c>
      <c r="B1207" s="5" t="s">
        <v>1872</v>
      </c>
      <c r="C1207" s="4" t="s">
        <v>31</v>
      </c>
      <c r="D1207" s="4" t="s">
        <v>45</v>
      </c>
      <c r="E1207" s="4" t="s">
        <v>46</v>
      </c>
      <c r="F1207" s="4" t="s">
        <v>16</v>
      </c>
      <c r="G1207" s="4" t="s">
        <v>34</v>
      </c>
      <c r="H1207" s="4" t="s">
        <v>18</v>
      </c>
      <c r="I1207" s="4" t="s">
        <v>28</v>
      </c>
      <c r="J1207" s="3">
        <v>9</v>
      </c>
      <c r="K1207" s="6">
        <v>371682</v>
      </c>
      <c r="L1207" s="6">
        <f t="shared" si="54"/>
        <v>260177.4</v>
      </c>
      <c r="M1207" s="6">
        <v>111504.6</v>
      </c>
      <c r="N1207" s="5" t="str">
        <f t="shared" si="55"/>
        <v>Apr</v>
      </c>
      <c r="O1207" s="5" t="str">
        <f t="shared" si="56"/>
        <v xml:space="preserve"> 2023</v>
      </c>
    </row>
    <row r="1208" spans="1:15" x14ac:dyDescent="0.35">
      <c r="A1208" t="s">
        <v>1873</v>
      </c>
      <c r="B1208" s="5" t="s">
        <v>109</v>
      </c>
      <c r="C1208" s="4" t="s">
        <v>22</v>
      </c>
      <c r="D1208" s="4" t="s">
        <v>86</v>
      </c>
      <c r="E1208" s="4" t="s">
        <v>87</v>
      </c>
      <c r="F1208" s="4" t="s">
        <v>67</v>
      </c>
      <c r="G1208" s="4" t="s">
        <v>68</v>
      </c>
      <c r="H1208" s="4" t="s">
        <v>18</v>
      </c>
      <c r="I1208" s="4" t="s">
        <v>28</v>
      </c>
      <c r="J1208" s="3">
        <v>2</v>
      </c>
      <c r="K1208" s="6">
        <v>2060</v>
      </c>
      <c r="L1208" s="6">
        <f t="shared" si="54"/>
        <v>1442</v>
      </c>
      <c r="M1208" s="6">
        <v>618</v>
      </c>
      <c r="N1208" s="5" t="str">
        <f t="shared" si="55"/>
        <v>Jul</v>
      </c>
      <c r="O1208" s="5" t="str">
        <f t="shared" si="56"/>
        <v xml:space="preserve"> 2024</v>
      </c>
    </row>
    <row r="1209" spans="1:15" x14ac:dyDescent="0.35">
      <c r="A1209" t="s">
        <v>1874</v>
      </c>
      <c r="B1209" s="5" t="s">
        <v>1073</v>
      </c>
      <c r="C1209" s="4" t="s">
        <v>22</v>
      </c>
      <c r="D1209" s="4" t="s">
        <v>90</v>
      </c>
      <c r="E1209" s="4" t="s">
        <v>110</v>
      </c>
      <c r="F1209" s="4" t="s">
        <v>16</v>
      </c>
      <c r="G1209" s="4" t="s">
        <v>17</v>
      </c>
      <c r="H1209" s="4" t="s">
        <v>18</v>
      </c>
      <c r="I1209" s="4" t="s">
        <v>47</v>
      </c>
      <c r="J1209" s="3">
        <v>1</v>
      </c>
      <c r="K1209" s="6">
        <v>48036</v>
      </c>
      <c r="L1209" s="6">
        <f t="shared" si="54"/>
        <v>33625.199999999997</v>
      </c>
      <c r="M1209" s="6">
        <v>14410.800000000003</v>
      </c>
      <c r="N1209" s="5" t="str">
        <f t="shared" si="55"/>
        <v>Jun</v>
      </c>
      <c r="O1209" s="5" t="str">
        <f t="shared" si="56"/>
        <v xml:space="preserve"> 2024</v>
      </c>
    </row>
    <row r="1210" spans="1:15" x14ac:dyDescent="0.35">
      <c r="A1210" t="s">
        <v>1875</v>
      </c>
      <c r="B1210" s="5" t="s">
        <v>1576</v>
      </c>
      <c r="C1210" s="4" t="s">
        <v>22</v>
      </c>
      <c r="D1210" s="4" t="s">
        <v>90</v>
      </c>
      <c r="E1210" s="4" t="s">
        <v>110</v>
      </c>
      <c r="F1210" s="4" t="s">
        <v>37</v>
      </c>
      <c r="G1210" s="4" t="s">
        <v>183</v>
      </c>
      <c r="H1210" s="4" t="s">
        <v>72</v>
      </c>
      <c r="I1210" s="4" t="s">
        <v>19</v>
      </c>
      <c r="J1210" s="3">
        <v>8</v>
      </c>
      <c r="K1210" s="6">
        <v>111544</v>
      </c>
      <c r="L1210" s="6">
        <f t="shared" si="54"/>
        <v>78080.799999999988</v>
      </c>
      <c r="M1210" s="6">
        <v>33463.200000000012</v>
      </c>
      <c r="N1210" s="5" t="str">
        <f t="shared" si="55"/>
        <v>Jun</v>
      </c>
      <c r="O1210" s="5" t="str">
        <f t="shared" si="56"/>
        <v xml:space="preserve"> 2023</v>
      </c>
    </row>
    <row r="1211" spans="1:15" x14ac:dyDescent="0.35">
      <c r="A1211" t="s">
        <v>1876</v>
      </c>
      <c r="B1211" s="5" t="s">
        <v>1234</v>
      </c>
      <c r="C1211" s="4" t="s">
        <v>22</v>
      </c>
      <c r="D1211" s="4" t="s">
        <v>90</v>
      </c>
      <c r="E1211" s="4" t="s">
        <v>110</v>
      </c>
      <c r="F1211" s="4" t="s">
        <v>37</v>
      </c>
      <c r="G1211" s="4" t="s">
        <v>38</v>
      </c>
      <c r="H1211" s="4" t="s">
        <v>72</v>
      </c>
      <c r="I1211" s="4" t="s">
        <v>47</v>
      </c>
      <c r="J1211" s="3">
        <v>1</v>
      </c>
      <c r="K1211" s="6">
        <v>43276</v>
      </c>
      <c r="L1211" s="6">
        <f t="shared" si="54"/>
        <v>30293.199999999997</v>
      </c>
      <c r="M1211" s="6">
        <v>12982.800000000003</v>
      </c>
      <c r="N1211" s="5" t="str">
        <f t="shared" si="55"/>
        <v>Oct</v>
      </c>
      <c r="O1211" s="5" t="str">
        <f t="shared" si="56"/>
        <v xml:space="preserve"> 2024</v>
      </c>
    </row>
    <row r="1212" spans="1:15" x14ac:dyDescent="0.35">
      <c r="A1212" t="s">
        <v>1877</v>
      </c>
      <c r="B1212" s="5" t="s">
        <v>711</v>
      </c>
      <c r="C1212" s="4" t="s">
        <v>22</v>
      </c>
      <c r="D1212" s="4" t="s">
        <v>90</v>
      </c>
      <c r="E1212" s="4" t="s">
        <v>91</v>
      </c>
      <c r="F1212" s="4" t="s">
        <v>16</v>
      </c>
      <c r="G1212" s="4" t="s">
        <v>42</v>
      </c>
      <c r="H1212" s="4" t="s">
        <v>27</v>
      </c>
      <c r="I1212" s="4" t="s">
        <v>47</v>
      </c>
      <c r="J1212" s="3">
        <v>2</v>
      </c>
      <c r="K1212" s="6">
        <v>79182</v>
      </c>
      <c r="L1212" s="6">
        <f t="shared" si="54"/>
        <v>55427.399999999994</v>
      </c>
      <c r="M1212" s="6">
        <v>23754.600000000006</v>
      </c>
      <c r="N1212" s="5" t="str">
        <f t="shared" si="55"/>
        <v>Nov</v>
      </c>
      <c r="O1212" s="5" t="str">
        <f t="shared" si="56"/>
        <v xml:space="preserve"> 2024</v>
      </c>
    </row>
    <row r="1213" spans="1:15" x14ac:dyDescent="0.35">
      <c r="A1213" t="s">
        <v>1878</v>
      </c>
      <c r="B1213" s="5" t="s">
        <v>688</v>
      </c>
      <c r="C1213" s="4" t="s">
        <v>22</v>
      </c>
      <c r="D1213" s="4" t="s">
        <v>90</v>
      </c>
      <c r="E1213" s="4" t="s">
        <v>110</v>
      </c>
      <c r="F1213" s="4" t="s">
        <v>67</v>
      </c>
      <c r="G1213" s="4" t="s">
        <v>113</v>
      </c>
      <c r="H1213" s="4" t="s">
        <v>27</v>
      </c>
      <c r="I1213" s="4" t="s">
        <v>60</v>
      </c>
      <c r="J1213" s="3">
        <v>5</v>
      </c>
      <c r="K1213" s="6">
        <v>155230</v>
      </c>
      <c r="L1213" s="6">
        <f t="shared" si="54"/>
        <v>108661</v>
      </c>
      <c r="M1213" s="6">
        <v>46569</v>
      </c>
      <c r="N1213" s="5" t="str">
        <f t="shared" si="55"/>
        <v>Oct</v>
      </c>
      <c r="O1213" s="5" t="str">
        <f t="shared" si="56"/>
        <v xml:space="preserve"> 2024</v>
      </c>
    </row>
    <row r="1214" spans="1:15" x14ac:dyDescent="0.35">
      <c r="A1214" t="s">
        <v>1879</v>
      </c>
      <c r="B1214" s="5" t="s">
        <v>1880</v>
      </c>
      <c r="C1214" s="4" t="s">
        <v>22</v>
      </c>
      <c r="D1214" s="4" t="s">
        <v>86</v>
      </c>
      <c r="E1214" s="4" t="s">
        <v>87</v>
      </c>
      <c r="F1214" s="4" t="s">
        <v>37</v>
      </c>
      <c r="G1214" s="4" t="s">
        <v>38</v>
      </c>
      <c r="H1214" s="4" t="s">
        <v>18</v>
      </c>
      <c r="I1214" s="4" t="s">
        <v>39</v>
      </c>
      <c r="J1214" s="3">
        <v>8</v>
      </c>
      <c r="K1214" s="6">
        <v>294664</v>
      </c>
      <c r="L1214" s="6">
        <f t="shared" si="54"/>
        <v>206264.8</v>
      </c>
      <c r="M1214" s="6">
        <v>88399.200000000012</v>
      </c>
      <c r="N1214" s="5" t="str">
        <f t="shared" si="55"/>
        <v>Oct</v>
      </c>
      <c r="O1214" s="5" t="str">
        <f t="shared" si="56"/>
        <v xml:space="preserve"> 2023</v>
      </c>
    </row>
    <row r="1215" spans="1:15" x14ac:dyDescent="0.35">
      <c r="A1215" t="s">
        <v>1881</v>
      </c>
      <c r="B1215" s="5" t="s">
        <v>802</v>
      </c>
      <c r="C1215" s="4" t="s">
        <v>22</v>
      </c>
      <c r="D1215" s="4" t="s">
        <v>86</v>
      </c>
      <c r="E1215" s="4" t="s">
        <v>87</v>
      </c>
      <c r="F1215" s="4" t="s">
        <v>16</v>
      </c>
      <c r="G1215" s="4" t="s">
        <v>42</v>
      </c>
      <c r="H1215" s="4" t="s">
        <v>72</v>
      </c>
      <c r="I1215" s="4" t="s">
        <v>47</v>
      </c>
      <c r="J1215" s="3">
        <v>9</v>
      </c>
      <c r="K1215" s="6">
        <v>18486</v>
      </c>
      <c r="L1215" s="6">
        <f t="shared" si="54"/>
        <v>12940.199999999999</v>
      </c>
      <c r="M1215" s="6">
        <v>5545.8000000000011</v>
      </c>
      <c r="N1215" s="5" t="str">
        <f t="shared" si="55"/>
        <v>Oct</v>
      </c>
      <c r="O1215" s="5" t="str">
        <f t="shared" si="56"/>
        <v xml:space="preserve"> 2024</v>
      </c>
    </row>
    <row r="1216" spans="1:15" x14ac:dyDescent="0.35">
      <c r="A1216" t="s">
        <v>1882</v>
      </c>
      <c r="B1216" s="5" t="s">
        <v>333</v>
      </c>
      <c r="C1216" s="4" t="s">
        <v>55</v>
      </c>
      <c r="D1216" s="4" t="s">
        <v>82</v>
      </c>
      <c r="E1216" s="4" t="s">
        <v>83</v>
      </c>
      <c r="F1216" s="4" t="s">
        <v>16</v>
      </c>
      <c r="G1216" s="4" t="s">
        <v>17</v>
      </c>
      <c r="H1216" s="4" t="s">
        <v>27</v>
      </c>
      <c r="I1216" s="4" t="s">
        <v>60</v>
      </c>
      <c r="J1216" s="3">
        <v>3</v>
      </c>
      <c r="K1216" s="6">
        <v>57450</v>
      </c>
      <c r="L1216" s="6">
        <f t="shared" si="54"/>
        <v>40215</v>
      </c>
      <c r="M1216" s="6">
        <v>17235</v>
      </c>
      <c r="N1216" s="5" t="str">
        <f t="shared" si="55"/>
        <v>Jul</v>
      </c>
      <c r="O1216" s="5" t="str">
        <f t="shared" si="56"/>
        <v xml:space="preserve"> 2023</v>
      </c>
    </row>
    <row r="1217" spans="1:15" x14ac:dyDescent="0.35">
      <c r="A1217" t="s">
        <v>1883</v>
      </c>
      <c r="B1217" s="5" t="s">
        <v>570</v>
      </c>
      <c r="C1217" s="4" t="s">
        <v>22</v>
      </c>
      <c r="D1217" s="4" t="s">
        <v>86</v>
      </c>
      <c r="E1217" s="4" t="s">
        <v>87</v>
      </c>
      <c r="F1217" s="4" t="s">
        <v>25</v>
      </c>
      <c r="G1217" s="4" t="s">
        <v>77</v>
      </c>
      <c r="H1217" s="4" t="s">
        <v>18</v>
      </c>
      <c r="I1217" s="4" t="s">
        <v>28</v>
      </c>
      <c r="J1217" s="3">
        <v>8</v>
      </c>
      <c r="K1217" s="6">
        <v>212648</v>
      </c>
      <c r="L1217" s="6">
        <f t="shared" si="54"/>
        <v>148853.59999999998</v>
      </c>
      <c r="M1217" s="6">
        <v>63794.400000000023</v>
      </c>
      <c r="N1217" s="5" t="str">
        <f t="shared" si="55"/>
        <v>Nov</v>
      </c>
      <c r="O1217" s="5" t="str">
        <f t="shared" si="56"/>
        <v xml:space="preserve"> 2024</v>
      </c>
    </row>
    <row r="1218" spans="1:15" x14ac:dyDescent="0.35">
      <c r="A1218" t="s">
        <v>1884</v>
      </c>
      <c r="B1218" s="5" t="s">
        <v>465</v>
      </c>
      <c r="C1218" s="4" t="s">
        <v>13</v>
      </c>
      <c r="D1218" s="4" t="s">
        <v>125</v>
      </c>
      <c r="E1218" s="4" t="s">
        <v>126</v>
      </c>
      <c r="F1218" s="4" t="s">
        <v>16</v>
      </c>
      <c r="G1218" s="4" t="s">
        <v>34</v>
      </c>
      <c r="H1218" s="4" t="s">
        <v>72</v>
      </c>
      <c r="I1218" s="4" t="s">
        <v>19</v>
      </c>
      <c r="J1218" s="3">
        <v>3</v>
      </c>
      <c r="K1218" s="6">
        <v>138966</v>
      </c>
      <c r="L1218" s="6">
        <f t="shared" ref="L1218:L1281" si="57">K1218*0.7</f>
        <v>97276.2</v>
      </c>
      <c r="M1218" s="6">
        <v>41689.800000000003</v>
      </c>
      <c r="N1218" s="5" t="str">
        <f t="shared" ref="N1218:N1281" si="58">TEXT(B1218,"mmm")</f>
        <v>Oct</v>
      </c>
      <c r="O1218" s="5" t="str">
        <f t="shared" ref="O1218:O1281" si="59">TEXT(B1218," yyyy")</f>
        <v xml:space="preserve"> 2024</v>
      </c>
    </row>
    <row r="1219" spans="1:15" x14ac:dyDescent="0.35">
      <c r="A1219" t="s">
        <v>1885</v>
      </c>
      <c r="B1219" s="5" t="s">
        <v>949</v>
      </c>
      <c r="C1219" s="4" t="s">
        <v>22</v>
      </c>
      <c r="D1219" s="4" t="s">
        <v>90</v>
      </c>
      <c r="E1219" s="4" t="s">
        <v>110</v>
      </c>
      <c r="F1219" s="4" t="s">
        <v>37</v>
      </c>
      <c r="G1219" s="4" t="s">
        <v>148</v>
      </c>
      <c r="H1219" s="4" t="s">
        <v>72</v>
      </c>
      <c r="I1219" s="4" t="s">
        <v>60</v>
      </c>
      <c r="J1219" s="3">
        <v>6</v>
      </c>
      <c r="K1219" s="6">
        <v>92274</v>
      </c>
      <c r="L1219" s="6">
        <f t="shared" si="57"/>
        <v>64591.799999999996</v>
      </c>
      <c r="M1219" s="6">
        <v>27682.200000000004</v>
      </c>
      <c r="N1219" s="5" t="str">
        <f t="shared" si="58"/>
        <v>Feb</v>
      </c>
      <c r="O1219" s="5" t="str">
        <f t="shared" si="59"/>
        <v xml:space="preserve"> 2023</v>
      </c>
    </row>
    <row r="1220" spans="1:15" x14ac:dyDescent="0.35">
      <c r="A1220" t="s">
        <v>1886</v>
      </c>
      <c r="B1220" s="5" t="s">
        <v>911</v>
      </c>
      <c r="C1220" s="4" t="s">
        <v>22</v>
      </c>
      <c r="D1220" s="4" t="s">
        <v>86</v>
      </c>
      <c r="E1220" s="4" t="s">
        <v>87</v>
      </c>
      <c r="F1220" s="4" t="s">
        <v>25</v>
      </c>
      <c r="G1220" s="4" t="s">
        <v>26</v>
      </c>
      <c r="H1220" s="4" t="s">
        <v>72</v>
      </c>
      <c r="I1220" s="4" t="s">
        <v>47</v>
      </c>
      <c r="J1220" s="3">
        <v>8</v>
      </c>
      <c r="K1220" s="6">
        <v>82064</v>
      </c>
      <c r="L1220" s="6">
        <f t="shared" si="57"/>
        <v>57444.799999999996</v>
      </c>
      <c r="M1220" s="6">
        <v>24619.200000000004</v>
      </c>
      <c r="N1220" s="5" t="str">
        <f t="shared" si="58"/>
        <v>Sep</v>
      </c>
      <c r="O1220" s="5" t="str">
        <f t="shared" si="59"/>
        <v xml:space="preserve"> 2023</v>
      </c>
    </row>
    <row r="1221" spans="1:15" x14ac:dyDescent="0.35">
      <c r="A1221" t="s">
        <v>1887</v>
      </c>
      <c r="B1221" s="5" t="s">
        <v>471</v>
      </c>
      <c r="C1221" s="4" t="s">
        <v>31</v>
      </c>
      <c r="D1221" s="4" t="s">
        <v>32</v>
      </c>
      <c r="E1221" s="4" t="s">
        <v>33</v>
      </c>
      <c r="F1221" s="4" t="s">
        <v>16</v>
      </c>
      <c r="G1221" s="4" t="s">
        <v>17</v>
      </c>
      <c r="H1221" s="4" t="s">
        <v>18</v>
      </c>
      <c r="I1221" s="4" t="s">
        <v>28</v>
      </c>
      <c r="J1221" s="3">
        <v>9</v>
      </c>
      <c r="K1221" s="6">
        <v>191862</v>
      </c>
      <c r="L1221" s="6">
        <f t="shared" si="57"/>
        <v>134303.4</v>
      </c>
      <c r="M1221" s="6">
        <v>57558.600000000006</v>
      </c>
      <c r="N1221" s="5" t="str">
        <f t="shared" si="58"/>
        <v>Oct</v>
      </c>
      <c r="O1221" s="5" t="str">
        <f t="shared" si="59"/>
        <v xml:space="preserve"> 2023</v>
      </c>
    </row>
    <row r="1222" spans="1:15" x14ac:dyDescent="0.35">
      <c r="A1222" t="s">
        <v>1888</v>
      </c>
      <c r="B1222" s="5" t="s">
        <v>975</v>
      </c>
      <c r="C1222" s="4" t="s">
        <v>13</v>
      </c>
      <c r="D1222" s="4" t="s">
        <v>162</v>
      </c>
      <c r="E1222" s="4" t="s">
        <v>163</v>
      </c>
      <c r="F1222" s="4" t="s">
        <v>16</v>
      </c>
      <c r="G1222" s="4" t="s">
        <v>34</v>
      </c>
      <c r="H1222" s="4" t="s">
        <v>27</v>
      </c>
      <c r="I1222" s="4" t="s">
        <v>39</v>
      </c>
      <c r="J1222" s="3">
        <v>3</v>
      </c>
      <c r="K1222" s="6">
        <v>61386</v>
      </c>
      <c r="L1222" s="6">
        <f t="shared" si="57"/>
        <v>42970.2</v>
      </c>
      <c r="M1222" s="6">
        <v>18415.800000000003</v>
      </c>
      <c r="N1222" s="5" t="str">
        <f t="shared" si="58"/>
        <v>Sep</v>
      </c>
      <c r="O1222" s="5" t="str">
        <f t="shared" si="59"/>
        <v xml:space="preserve"> 2023</v>
      </c>
    </row>
    <row r="1223" spans="1:15" x14ac:dyDescent="0.35">
      <c r="A1223" t="s">
        <v>1889</v>
      </c>
      <c r="B1223" s="5" t="s">
        <v>1340</v>
      </c>
      <c r="C1223" s="4" t="s">
        <v>22</v>
      </c>
      <c r="D1223" s="4" t="s">
        <v>23</v>
      </c>
      <c r="E1223" s="4" t="s">
        <v>24</v>
      </c>
      <c r="F1223" s="4" t="s">
        <v>16</v>
      </c>
      <c r="G1223" s="4" t="s">
        <v>122</v>
      </c>
      <c r="H1223" s="4" t="s">
        <v>18</v>
      </c>
      <c r="I1223" s="4" t="s">
        <v>47</v>
      </c>
      <c r="J1223" s="3">
        <v>5</v>
      </c>
      <c r="K1223" s="6">
        <v>90910</v>
      </c>
      <c r="L1223" s="6">
        <f t="shared" si="57"/>
        <v>63636.999999999993</v>
      </c>
      <c r="M1223" s="6">
        <v>27273.000000000007</v>
      </c>
      <c r="N1223" s="5" t="str">
        <f t="shared" si="58"/>
        <v>Nov</v>
      </c>
      <c r="O1223" s="5" t="str">
        <f t="shared" si="59"/>
        <v xml:space="preserve"> 2024</v>
      </c>
    </row>
    <row r="1224" spans="1:15" x14ac:dyDescent="0.35">
      <c r="A1224" t="s">
        <v>1890</v>
      </c>
      <c r="B1224" s="5" t="s">
        <v>1891</v>
      </c>
      <c r="C1224" s="4" t="s">
        <v>31</v>
      </c>
      <c r="D1224" s="4" t="s">
        <v>45</v>
      </c>
      <c r="E1224" s="4" t="s">
        <v>46</v>
      </c>
      <c r="F1224" s="4" t="s">
        <v>67</v>
      </c>
      <c r="G1224" s="4" t="s">
        <v>113</v>
      </c>
      <c r="H1224" s="4" t="s">
        <v>27</v>
      </c>
      <c r="I1224" s="4" t="s">
        <v>39</v>
      </c>
      <c r="J1224" s="3">
        <v>3</v>
      </c>
      <c r="K1224" s="6">
        <v>138021</v>
      </c>
      <c r="L1224" s="6">
        <f t="shared" si="57"/>
        <v>96614.7</v>
      </c>
      <c r="M1224" s="6">
        <v>41406.300000000003</v>
      </c>
      <c r="N1224" s="5" t="str">
        <f t="shared" si="58"/>
        <v>Nov</v>
      </c>
      <c r="O1224" s="5" t="str">
        <f t="shared" si="59"/>
        <v xml:space="preserve"> 2023</v>
      </c>
    </row>
    <row r="1225" spans="1:15" x14ac:dyDescent="0.35">
      <c r="A1225" t="s">
        <v>1892</v>
      </c>
      <c r="B1225" s="5" t="s">
        <v>188</v>
      </c>
      <c r="C1225" s="4" t="s">
        <v>55</v>
      </c>
      <c r="D1225" s="4" t="s">
        <v>63</v>
      </c>
      <c r="E1225" s="4" t="s">
        <v>64</v>
      </c>
      <c r="F1225" s="4" t="s">
        <v>37</v>
      </c>
      <c r="G1225" s="4" t="s">
        <v>38</v>
      </c>
      <c r="H1225" s="4" t="s">
        <v>72</v>
      </c>
      <c r="I1225" s="4" t="s">
        <v>39</v>
      </c>
      <c r="J1225" s="3">
        <v>10</v>
      </c>
      <c r="K1225" s="6">
        <v>282060</v>
      </c>
      <c r="L1225" s="6">
        <f t="shared" si="57"/>
        <v>197442</v>
      </c>
      <c r="M1225" s="6">
        <v>84618</v>
      </c>
      <c r="N1225" s="5" t="str">
        <f t="shared" si="58"/>
        <v>Oct</v>
      </c>
      <c r="O1225" s="5" t="str">
        <f t="shared" si="59"/>
        <v xml:space="preserve"> 2024</v>
      </c>
    </row>
    <row r="1226" spans="1:15" x14ac:dyDescent="0.35">
      <c r="A1226" t="s">
        <v>1893</v>
      </c>
      <c r="B1226" s="5" t="s">
        <v>491</v>
      </c>
      <c r="C1226" s="4" t="s">
        <v>31</v>
      </c>
      <c r="D1226" s="4" t="s">
        <v>50</v>
      </c>
      <c r="E1226" s="4" t="s">
        <v>51</v>
      </c>
      <c r="F1226" s="4" t="s">
        <v>25</v>
      </c>
      <c r="G1226" s="4" t="s">
        <v>26</v>
      </c>
      <c r="H1226" s="4" t="s">
        <v>72</v>
      </c>
      <c r="I1226" s="4" t="s">
        <v>28</v>
      </c>
      <c r="J1226" s="3">
        <v>4</v>
      </c>
      <c r="K1226" s="6">
        <v>26536</v>
      </c>
      <c r="L1226" s="6">
        <f t="shared" si="57"/>
        <v>18575.199999999997</v>
      </c>
      <c r="M1226" s="6">
        <v>7960.8000000000029</v>
      </c>
      <c r="N1226" s="5" t="str">
        <f t="shared" si="58"/>
        <v>Mar</v>
      </c>
      <c r="O1226" s="5" t="str">
        <f t="shared" si="59"/>
        <v xml:space="preserve"> 2024</v>
      </c>
    </row>
    <row r="1227" spans="1:15" x14ac:dyDescent="0.35">
      <c r="A1227" t="s">
        <v>1894</v>
      </c>
      <c r="B1227" s="5" t="s">
        <v>195</v>
      </c>
      <c r="C1227" s="4" t="s">
        <v>22</v>
      </c>
      <c r="D1227" s="4" t="s">
        <v>90</v>
      </c>
      <c r="E1227" s="4" t="s">
        <v>110</v>
      </c>
      <c r="F1227" s="4" t="s">
        <v>25</v>
      </c>
      <c r="G1227" s="4" t="s">
        <v>77</v>
      </c>
      <c r="H1227" s="4" t="s">
        <v>18</v>
      </c>
      <c r="I1227" s="4" t="s">
        <v>28</v>
      </c>
      <c r="J1227" s="3">
        <v>5</v>
      </c>
      <c r="K1227" s="6">
        <v>13770</v>
      </c>
      <c r="L1227" s="6">
        <f t="shared" si="57"/>
        <v>9639</v>
      </c>
      <c r="M1227" s="6">
        <v>4131</v>
      </c>
      <c r="N1227" s="5" t="str">
        <f t="shared" si="58"/>
        <v>Dec</v>
      </c>
      <c r="O1227" s="5" t="str">
        <f t="shared" si="59"/>
        <v xml:space="preserve"> 2023</v>
      </c>
    </row>
    <row r="1228" spans="1:15" x14ac:dyDescent="0.35">
      <c r="A1228" t="s">
        <v>1895</v>
      </c>
      <c r="B1228" s="5" t="s">
        <v>59</v>
      </c>
      <c r="C1228" s="4" t="s">
        <v>31</v>
      </c>
      <c r="D1228" s="4" t="s">
        <v>45</v>
      </c>
      <c r="E1228" s="4" t="s">
        <v>46</v>
      </c>
      <c r="F1228" s="4" t="s">
        <v>67</v>
      </c>
      <c r="G1228" s="4" t="s">
        <v>134</v>
      </c>
      <c r="H1228" s="4" t="s">
        <v>27</v>
      </c>
      <c r="I1228" s="4" t="s">
        <v>28</v>
      </c>
      <c r="J1228" s="3">
        <v>3</v>
      </c>
      <c r="K1228" s="6">
        <v>8343</v>
      </c>
      <c r="L1228" s="6">
        <f t="shared" si="57"/>
        <v>5840.0999999999995</v>
      </c>
      <c r="M1228" s="6">
        <v>2502.9000000000005</v>
      </c>
      <c r="N1228" s="5" t="str">
        <f t="shared" si="58"/>
        <v>Aug</v>
      </c>
      <c r="O1228" s="5" t="str">
        <f t="shared" si="59"/>
        <v xml:space="preserve"> 2024</v>
      </c>
    </row>
    <row r="1229" spans="1:15" x14ac:dyDescent="0.35">
      <c r="A1229" t="s">
        <v>1896</v>
      </c>
      <c r="B1229" s="5" t="s">
        <v>652</v>
      </c>
      <c r="C1229" s="4" t="s">
        <v>31</v>
      </c>
      <c r="D1229" s="4" t="s">
        <v>50</v>
      </c>
      <c r="E1229" s="4" t="s">
        <v>51</v>
      </c>
      <c r="F1229" s="4" t="s">
        <v>37</v>
      </c>
      <c r="G1229" s="4" t="s">
        <v>38</v>
      </c>
      <c r="H1229" s="4" t="s">
        <v>72</v>
      </c>
      <c r="I1229" s="4" t="s">
        <v>39</v>
      </c>
      <c r="J1229" s="3">
        <v>7</v>
      </c>
      <c r="K1229" s="6">
        <v>112735</v>
      </c>
      <c r="L1229" s="6">
        <f t="shared" si="57"/>
        <v>78914.5</v>
      </c>
      <c r="M1229" s="6">
        <v>33820.5</v>
      </c>
      <c r="N1229" s="5" t="str">
        <f t="shared" si="58"/>
        <v>May</v>
      </c>
      <c r="O1229" s="5" t="str">
        <f t="shared" si="59"/>
        <v xml:space="preserve"> 2023</v>
      </c>
    </row>
    <row r="1230" spans="1:15" x14ac:dyDescent="0.35">
      <c r="A1230" t="s">
        <v>1897</v>
      </c>
      <c r="B1230" s="5" t="s">
        <v>1115</v>
      </c>
      <c r="C1230" s="4" t="s">
        <v>31</v>
      </c>
      <c r="D1230" s="4" t="s">
        <v>45</v>
      </c>
      <c r="E1230" s="4" t="s">
        <v>46</v>
      </c>
      <c r="F1230" s="4" t="s">
        <v>37</v>
      </c>
      <c r="G1230" s="4" t="s">
        <v>38</v>
      </c>
      <c r="H1230" s="4" t="s">
        <v>18</v>
      </c>
      <c r="I1230" s="4" t="s">
        <v>47</v>
      </c>
      <c r="J1230" s="3">
        <v>8</v>
      </c>
      <c r="K1230" s="6">
        <v>235624</v>
      </c>
      <c r="L1230" s="6">
        <f t="shared" si="57"/>
        <v>164936.79999999999</v>
      </c>
      <c r="M1230" s="6">
        <v>70687.200000000012</v>
      </c>
      <c r="N1230" s="5" t="str">
        <f t="shared" si="58"/>
        <v>Jul</v>
      </c>
      <c r="O1230" s="5" t="str">
        <f t="shared" si="59"/>
        <v xml:space="preserve"> 2024</v>
      </c>
    </row>
    <row r="1231" spans="1:15" x14ac:dyDescent="0.35">
      <c r="A1231" t="s">
        <v>1898</v>
      </c>
      <c r="B1231" s="5" t="s">
        <v>1745</v>
      </c>
      <c r="C1231" s="4" t="s">
        <v>13</v>
      </c>
      <c r="D1231" s="4" t="s">
        <v>118</v>
      </c>
      <c r="E1231" s="4" t="s">
        <v>119</v>
      </c>
      <c r="F1231" s="4" t="s">
        <v>37</v>
      </c>
      <c r="G1231" s="4" t="s">
        <v>148</v>
      </c>
      <c r="H1231" s="4" t="s">
        <v>27</v>
      </c>
      <c r="I1231" s="4" t="s">
        <v>19</v>
      </c>
      <c r="J1231" s="3">
        <v>2</v>
      </c>
      <c r="K1231" s="6">
        <v>26174</v>
      </c>
      <c r="L1231" s="6">
        <f t="shared" si="57"/>
        <v>18321.8</v>
      </c>
      <c r="M1231" s="6">
        <v>7852.2000000000007</v>
      </c>
      <c r="N1231" s="5" t="str">
        <f t="shared" si="58"/>
        <v>Nov</v>
      </c>
      <c r="O1231" s="5" t="str">
        <f t="shared" si="59"/>
        <v xml:space="preserve"> 2024</v>
      </c>
    </row>
    <row r="1232" spans="1:15" x14ac:dyDescent="0.35">
      <c r="A1232" t="s">
        <v>1899</v>
      </c>
      <c r="B1232" s="5" t="s">
        <v>1900</v>
      </c>
      <c r="C1232" s="4" t="s">
        <v>55</v>
      </c>
      <c r="D1232" s="4" t="s">
        <v>98</v>
      </c>
      <c r="E1232" s="4" t="s">
        <v>99</v>
      </c>
      <c r="F1232" s="4" t="s">
        <v>25</v>
      </c>
      <c r="G1232" s="4" t="s">
        <v>71</v>
      </c>
      <c r="H1232" s="4" t="s">
        <v>18</v>
      </c>
      <c r="I1232" s="4" t="s">
        <v>47</v>
      </c>
      <c r="J1232" s="3">
        <v>6</v>
      </c>
      <c r="K1232" s="6">
        <v>57528</v>
      </c>
      <c r="L1232" s="6">
        <f t="shared" si="57"/>
        <v>40269.599999999999</v>
      </c>
      <c r="M1232" s="6">
        <v>17258.400000000001</v>
      </c>
      <c r="N1232" s="5" t="str">
        <f t="shared" si="58"/>
        <v>Jul</v>
      </c>
      <c r="O1232" s="5" t="str">
        <f t="shared" si="59"/>
        <v xml:space="preserve"> 2023</v>
      </c>
    </row>
    <row r="1233" spans="1:15" x14ac:dyDescent="0.35">
      <c r="A1233" t="s">
        <v>1901</v>
      </c>
      <c r="B1233" s="5" t="s">
        <v>384</v>
      </c>
      <c r="C1233" s="4" t="s">
        <v>55</v>
      </c>
      <c r="D1233" s="4" t="s">
        <v>82</v>
      </c>
      <c r="E1233" s="4" t="s">
        <v>83</v>
      </c>
      <c r="F1233" s="4" t="s">
        <v>16</v>
      </c>
      <c r="G1233" s="4" t="s">
        <v>17</v>
      </c>
      <c r="H1233" s="4" t="s">
        <v>27</v>
      </c>
      <c r="I1233" s="4" t="s">
        <v>47</v>
      </c>
      <c r="J1233" s="3">
        <v>3</v>
      </c>
      <c r="K1233" s="6">
        <v>147474</v>
      </c>
      <c r="L1233" s="6">
        <f t="shared" si="57"/>
        <v>103231.79999999999</v>
      </c>
      <c r="M1233" s="6">
        <v>44242.200000000012</v>
      </c>
      <c r="N1233" s="5" t="str">
        <f t="shared" si="58"/>
        <v>Jan</v>
      </c>
      <c r="O1233" s="5" t="str">
        <f t="shared" si="59"/>
        <v xml:space="preserve"> 2023</v>
      </c>
    </row>
    <row r="1234" spans="1:15" x14ac:dyDescent="0.35">
      <c r="A1234" t="s">
        <v>1902</v>
      </c>
      <c r="B1234" s="5" t="s">
        <v>603</v>
      </c>
      <c r="C1234" s="4" t="s">
        <v>13</v>
      </c>
      <c r="D1234" s="4" t="s">
        <v>14</v>
      </c>
      <c r="E1234" s="4" t="s">
        <v>15</v>
      </c>
      <c r="F1234" s="4" t="s">
        <v>25</v>
      </c>
      <c r="G1234" s="4" t="s">
        <v>77</v>
      </c>
      <c r="H1234" s="4" t="s">
        <v>27</v>
      </c>
      <c r="I1234" s="4" t="s">
        <v>60</v>
      </c>
      <c r="J1234" s="3">
        <v>6</v>
      </c>
      <c r="K1234" s="6">
        <v>196506</v>
      </c>
      <c r="L1234" s="6">
        <f t="shared" si="57"/>
        <v>137554.19999999998</v>
      </c>
      <c r="M1234" s="6">
        <v>58951.800000000017</v>
      </c>
      <c r="N1234" s="5" t="str">
        <f t="shared" si="58"/>
        <v>Oct</v>
      </c>
      <c r="O1234" s="5" t="str">
        <f t="shared" si="59"/>
        <v xml:space="preserve"> 2024</v>
      </c>
    </row>
    <row r="1235" spans="1:15" x14ac:dyDescent="0.35">
      <c r="A1235" t="s">
        <v>1903</v>
      </c>
      <c r="B1235" s="5" t="s">
        <v>374</v>
      </c>
      <c r="C1235" s="4" t="s">
        <v>22</v>
      </c>
      <c r="D1235" s="4" t="s">
        <v>90</v>
      </c>
      <c r="E1235" s="4" t="s">
        <v>91</v>
      </c>
      <c r="F1235" s="4" t="s">
        <v>37</v>
      </c>
      <c r="G1235" s="4" t="s">
        <v>183</v>
      </c>
      <c r="H1235" s="4" t="s">
        <v>72</v>
      </c>
      <c r="I1235" s="4" t="s">
        <v>19</v>
      </c>
      <c r="J1235" s="3">
        <v>8</v>
      </c>
      <c r="K1235" s="6">
        <v>337752</v>
      </c>
      <c r="L1235" s="6">
        <f t="shared" si="57"/>
        <v>236426.4</v>
      </c>
      <c r="M1235" s="6">
        <v>101325.6</v>
      </c>
      <c r="N1235" s="5" t="str">
        <f t="shared" si="58"/>
        <v>Apr</v>
      </c>
      <c r="O1235" s="5" t="str">
        <f t="shared" si="59"/>
        <v xml:space="preserve"> 2024</v>
      </c>
    </row>
    <row r="1236" spans="1:15" x14ac:dyDescent="0.35">
      <c r="A1236" t="s">
        <v>1904</v>
      </c>
      <c r="B1236" s="5" t="s">
        <v>396</v>
      </c>
      <c r="C1236" s="4" t="s">
        <v>22</v>
      </c>
      <c r="D1236" s="4" t="s">
        <v>23</v>
      </c>
      <c r="E1236" s="4" t="s">
        <v>24</v>
      </c>
      <c r="F1236" s="4" t="s">
        <v>16</v>
      </c>
      <c r="G1236" s="4" t="s">
        <v>17</v>
      </c>
      <c r="H1236" s="4" t="s">
        <v>72</v>
      </c>
      <c r="I1236" s="4" t="s">
        <v>47</v>
      </c>
      <c r="J1236" s="3">
        <v>7</v>
      </c>
      <c r="K1236" s="6">
        <v>277130</v>
      </c>
      <c r="L1236" s="6">
        <f t="shared" si="57"/>
        <v>193991</v>
      </c>
      <c r="M1236" s="6">
        <v>83139</v>
      </c>
      <c r="N1236" s="5" t="str">
        <f t="shared" si="58"/>
        <v>Mar</v>
      </c>
      <c r="O1236" s="5" t="str">
        <f t="shared" si="59"/>
        <v xml:space="preserve"> 2024</v>
      </c>
    </row>
    <row r="1237" spans="1:15" x14ac:dyDescent="0.35">
      <c r="A1237" t="s">
        <v>1905</v>
      </c>
      <c r="B1237" s="5" t="s">
        <v>652</v>
      </c>
      <c r="C1237" s="4" t="s">
        <v>22</v>
      </c>
      <c r="D1237" s="4" t="s">
        <v>86</v>
      </c>
      <c r="E1237" s="4" t="s">
        <v>87</v>
      </c>
      <c r="F1237" s="4" t="s">
        <v>37</v>
      </c>
      <c r="G1237" s="4" t="s">
        <v>38</v>
      </c>
      <c r="H1237" s="4" t="s">
        <v>18</v>
      </c>
      <c r="I1237" s="4" t="s">
        <v>60</v>
      </c>
      <c r="J1237" s="3">
        <v>4</v>
      </c>
      <c r="K1237" s="6">
        <v>147596</v>
      </c>
      <c r="L1237" s="6">
        <f t="shared" si="57"/>
        <v>103317.2</v>
      </c>
      <c r="M1237" s="6">
        <v>44278.8</v>
      </c>
      <c r="N1237" s="5" t="str">
        <f t="shared" si="58"/>
        <v>May</v>
      </c>
      <c r="O1237" s="5" t="str">
        <f t="shared" si="59"/>
        <v xml:space="preserve"> 2023</v>
      </c>
    </row>
    <row r="1238" spans="1:15" x14ac:dyDescent="0.35">
      <c r="A1238" t="s">
        <v>1906</v>
      </c>
      <c r="B1238" s="5" t="s">
        <v>977</v>
      </c>
      <c r="C1238" s="4" t="s">
        <v>13</v>
      </c>
      <c r="D1238" s="4" t="s">
        <v>162</v>
      </c>
      <c r="E1238" s="4" t="s">
        <v>163</v>
      </c>
      <c r="F1238" s="4" t="s">
        <v>25</v>
      </c>
      <c r="G1238" s="4" t="s">
        <v>77</v>
      </c>
      <c r="H1238" s="4" t="s">
        <v>27</v>
      </c>
      <c r="I1238" s="4" t="s">
        <v>28</v>
      </c>
      <c r="J1238" s="3">
        <v>7</v>
      </c>
      <c r="K1238" s="6">
        <v>324821</v>
      </c>
      <c r="L1238" s="6">
        <f t="shared" si="57"/>
        <v>227374.69999999998</v>
      </c>
      <c r="M1238" s="6">
        <v>97446.300000000017</v>
      </c>
      <c r="N1238" s="5" t="str">
        <f t="shared" si="58"/>
        <v>Aug</v>
      </c>
      <c r="O1238" s="5" t="str">
        <f t="shared" si="59"/>
        <v xml:space="preserve"> 2023</v>
      </c>
    </row>
    <row r="1239" spans="1:15" x14ac:dyDescent="0.35">
      <c r="A1239" t="s">
        <v>1907</v>
      </c>
      <c r="B1239" s="5" t="s">
        <v>1139</v>
      </c>
      <c r="C1239" s="4" t="s">
        <v>22</v>
      </c>
      <c r="D1239" s="4" t="s">
        <v>90</v>
      </c>
      <c r="E1239" s="4" t="s">
        <v>91</v>
      </c>
      <c r="F1239" s="4" t="s">
        <v>25</v>
      </c>
      <c r="G1239" s="4" t="s">
        <v>26</v>
      </c>
      <c r="H1239" s="4" t="s">
        <v>27</v>
      </c>
      <c r="I1239" s="4" t="s">
        <v>47</v>
      </c>
      <c r="J1239" s="3">
        <v>2</v>
      </c>
      <c r="K1239" s="6">
        <v>18124</v>
      </c>
      <c r="L1239" s="6">
        <f t="shared" si="57"/>
        <v>12686.8</v>
      </c>
      <c r="M1239" s="6">
        <v>5437.2000000000007</v>
      </c>
      <c r="N1239" s="5" t="str">
        <f t="shared" si="58"/>
        <v>Mar</v>
      </c>
      <c r="O1239" s="5" t="str">
        <f t="shared" si="59"/>
        <v xml:space="preserve"> 2023</v>
      </c>
    </row>
    <row r="1240" spans="1:15" x14ac:dyDescent="0.35">
      <c r="A1240" t="s">
        <v>1908</v>
      </c>
      <c r="B1240" s="5" t="s">
        <v>1120</v>
      </c>
      <c r="C1240" s="4" t="s">
        <v>13</v>
      </c>
      <c r="D1240" s="4" t="s">
        <v>118</v>
      </c>
      <c r="E1240" s="4" t="s">
        <v>119</v>
      </c>
      <c r="F1240" s="4" t="s">
        <v>25</v>
      </c>
      <c r="G1240" s="4" t="s">
        <v>26</v>
      </c>
      <c r="H1240" s="4" t="s">
        <v>72</v>
      </c>
      <c r="I1240" s="4" t="s">
        <v>47</v>
      </c>
      <c r="J1240" s="3">
        <v>2</v>
      </c>
      <c r="K1240" s="6">
        <v>7120</v>
      </c>
      <c r="L1240" s="6">
        <f t="shared" si="57"/>
        <v>4984</v>
      </c>
      <c r="M1240" s="6">
        <v>2136</v>
      </c>
      <c r="N1240" s="5" t="str">
        <f t="shared" si="58"/>
        <v>May</v>
      </c>
      <c r="O1240" s="5" t="str">
        <f t="shared" si="59"/>
        <v xml:space="preserve"> 2023</v>
      </c>
    </row>
    <row r="1241" spans="1:15" x14ac:dyDescent="0.35">
      <c r="A1241" t="s">
        <v>1909</v>
      </c>
      <c r="B1241" s="5" t="s">
        <v>1213</v>
      </c>
      <c r="C1241" s="4" t="s">
        <v>31</v>
      </c>
      <c r="D1241" s="4" t="s">
        <v>50</v>
      </c>
      <c r="E1241" s="4" t="s">
        <v>51</v>
      </c>
      <c r="F1241" s="4" t="s">
        <v>67</v>
      </c>
      <c r="G1241" s="4" t="s">
        <v>134</v>
      </c>
      <c r="H1241" s="4" t="s">
        <v>18</v>
      </c>
      <c r="I1241" s="4" t="s">
        <v>19</v>
      </c>
      <c r="J1241" s="3">
        <v>4</v>
      </c>
      <c r="K1241" s="6">
        <v>80604</v>
      </c>
      <c r="L1241" s="6">
        <f t="shared" si="57"/>
        <v>56422.799999999996</v>
      </c>
      <c r="M1241" s="6">
        <v>24181.200000000004</v>
      </c>
      <c r="N1241" s="5" t="str">
        <f t="shared" si="58"/>
        <v>Jan</v>
      </c>
      <c r="O1241" s="5" t="str">
        <f t="shared" si="59"/>
        <v xml:space="preserve"> 2024</v>
      </c>
    </row>
    <row r="1242" spans="1:15" x14ac:dyDescent="0.35">
      <c r="A1242" t="s">
        <v>1910</v>
      </c>
      <c r="B1242" s="5" t="s">
        <v>433</v>
      </c>
      <c r="C1242" s="4" t="s">
        <v>13</v>
      </c>
      <c r="D1242" s="4" t="s">
        <v>118</v>
      </c>
      <c r="E1242" s="4" t="s">
        <v>119</v>
      </c>
      <c r="F1242" s="4" t="s">
        <v>67</v>
      </c>
      <c r="G1242" s="4" t="s">
        <v>134</v>
      </c>
      <c r="H1242" s="4" t="s">
        <v>27</v>
      </c>
      <c r="I1242" s="4" t="s">
        <v>39</v>
      </c>
      <c r="J1242" s="3">
        <v>6</v>
      </c>
      <c r="K1242" s="6">
        <v>30894</v>
      </c>
      <c r="L1242" s="6">
        <f t="shared" si="57"/>
        <v>21625.8</v>
      </c>
      <c r="M1242" s="6">
        <v>9268.2000000000007</v>
      </c>
      <c r="N1242" s="5" t="str">
        <f t="shared" si="58"/>
        <v>Oct</v>
      </c>
      <c r="O1242" s="5" t="str">
        <f t="shared" si="59"/>
        <v xml:space="preserve"> 2024</v>
      </c>
    </row>
    <row r="1243" spans="1:15" x14ac:dyDescent="0.35">
      <c r="A1243" t="s">
        <v>1911</v>
      </c>
      <c r="B1243" s="5" t="s">
        <v>1618</v>
      </c>
      <c r="C1243" s="4" t="s">
        <v>55</v>
      </c>
      <c r="D1243" s="4" t="s">
        <v>82</v>
      </c>
      <c r="E1243" s="4" t="s">
        <v>83</v>
      </c>
      <c r="F1243" s="4" t="s">
        <v>25</v>
      </c>
      <c r="G1243" s="4" t="s">
        <v>71</v>
      </c>
      <c r="H1243" s="4" t="s">
        <v>72</v>
      </c>
      <c r="I1243" s="4" t="s">
        <v>39</v>
      </c>
      <c r="J1243" s="3">
        <v>2</v>
      </c>
      <c r="K1243" s="6">
        <v>43114</v>
      </c>
      <c r="L1243" s="6">
        <f t="shared" si="57"/>
        <v>30179.8</v>
      </c>
      <c r="M1243" s="6">
        <v>12934.2</v>
      </c>
      <c r="N1243" s="5" t="str">
        <f t="shared" si="58"/>
        <v>Apr</v>
      </c>
      <c r="O1243" s="5" t="str">
        <f t="shared" si="59"/>
        <v xml:space="preserve"> 2024</v>
      </c>
    </row>
    <row r="1244" spans="1:15" x14ac:dyDescent="0.35">
      <c r="A1244" t="s">
        <v>1912</v>
      </c>
      <c r="B1244" s="5" t="s">
        <v>1654</v>
      </c>
      <c r="C1244" s="4" t="s">
        <v>13</v>
      </c>
      <c r="D1244" s="4" t="s">
        <v>162</v>
      </c>
      <c r="E1244" s="4" t="s">
        <v>163</v>
      </c>
      <c r="F1244" s="4" t="s">
        <v>25</v>
      </c>
      <c r="G1244" s="4" t="s">
        <v>71</v>
      </c>
      <c r="H1244" s="4" t="s">
        <v>18</v>
      </c>
      <c r="I1244" s="4" t="s">
        <v>19</v>
      </c>
      <c r="J1244" s="3">
        <v>10</v>
      </c>
      <c r="K1244" s="6">
        <v>310950</v>
      </c>
      <c r="L1244" s="6">
        <f t="shared" si="57"/>
        <v>217665</v>
      </c>
      <c r="M1244" s="6">
        <v>93285</v>
      </c>
      <c r="N1244" s="5" t="str">
        <f t="shared" si="58"/>
        <v>Jul</v>
      </c>
      <c r="O1244" s="5" t="str">
        <f t="shared" si="59"/>
        <v xml:space="preserve"> 2024</v>
      </c>
    </row>
    <row r="1245" spans="1:15" x14ac:dyDescent="0.35">
      <c r="A1245" t="s">
        <v>1913</v>
      </c>
      <c r="B1245" s="5" t="s">
        <v>1021</v>
      </c>
      <c r="C1245" s="4" t="s">
        <v>13</v>
      </c>
      <c r="D1245" s="4" t="s">
        <v>118</v>
      </c>
      <c r="E1245" s="4" t="s">
        <v>119</v>
      </c>
      <c r="F1245" s="4" t="s">
        <v>67</v>
      </c>
      <c r="G1245" s="4" t="s">
        <v>113</v>
      </c>
      <c r="H1245" s="4" t="s">
        <v>27</v>
      </c>
      <c r="I1245" s="4" t="s">
        <v>28</v>
      </c>
      <c r="J1245" s="3">
        <v>4</v>
      </c>
      <c r="K1245" s="6">
        <v>100888</v>
      </c>
      <c r="L1245" s="6">
        <f t="shared" si="57"/>
        <v>70621.599999999991</v>
      </c>
      <c r="M1245" s="6">
        <v>30266.400000000009</v>
      </c>
      <c r="N1245" s="5" t="str">
        <f t="shared" si="58"/>
        <v>Oct</v>
      </c>
      <c r="O1245" s="5" t="str">
        <f t="shared" si="59"/>
        <v xml:space="preserve"> 2024</v>
      </c>
    </row>
    <row r="1246" spans="1:15" x14ac:dyDescent="0.35">
      <c r="A1246" t="s">
        <v>1914</v>
      </c>
      <c r="B1246" s="5" t="s">
        <v>1915</v>
      </c>
      <c r="C1246" s="4" t="s">
        <v>55</v>
      </c>
      <c r="D1246" s="4" t="s">
        <v>82</v>
      </c>
      <c r="E1246" s="4" t="s">
        <v>83</v>
      </c>
      <c r="F1246" s="4" t="s">
        <v>37</v>
      </c>
      <c r="G1246" s="4" t="s">
        <v>186</v>
      </c>
      <c r="H1246" s="4" t="s">
        <v>18</v>
      </c>
      <c r="I1246" s="4" t="s">
        <v>39</v>
      </c>
      <c r="J1246" s="3">
        <v>9</v>
      </c>
      <c r="K1246" s="6">
        <v>34299</v>
      </c>
      <c r="L1246" s="6">
        <f t="shared" si="57"/>
        <v>24009.3</v>
      </c>
      <c r="M1246" s="6">
        <v>10289.700000000001</v>
      </c>
      <c r="N1246" s="5" t="str">
        <f t="shared" si="58"/>
        <v>Mar</v>
      </c>
      <c r="O1246" s="5" t="str">
        <f t="shared" si="59"/>
        <v xml:space="preserve"> 2024</v>
      </c>
    </row>
    <row r="1247" spans="1:15" x14ac:dyDescent="0.35">
      <c r="A1247" t="s">
        <v>1916</v>
      </c>
      <c r="B1247" s="5" t="s">
        <v>1542</v>
      </c>
      <c r="C1247" s="4" t="s">
        <v>13</v>
      </c>
      <c r="D1247" s="4" t="s">
        <v>125</v>
      </c>
      <c r="E1247" s="4" t="s">
        <v>126</v>
      </c>
      <c r="F1247" s="4" t="s">
        <v>37</v>
      </c>
      <c r="G1247" s="4" t="s">
        <v>186</v>
      </c>
      <c r="H1247" s="4" t="s">
        <v>72</v>
      </c>
      <c r="I1247" s="4" t="s">
        <v>60</v>
      </c>
      <c r="J1247" s="3">
        <v>5</v>
      </c>
      <c r="K1247" s="6">
        <v>199050</v>
      </c>
      <c r="L1247" s="6">
        <f t="shared" si="57"/>
        <v>139335</v>
      </c>
      <c r="M1247" s="6">
        <v>59715</v>
      </c>
      <c r="N1247" s="5" t="str">
        <f t="shared" si="58"/>
        <v>Jun</v>
      </c>
      <c r="O1247" s="5" t="str">
        <f t="shared" si="59"/>
        <v xml:space="preserve"> 2024</v>
      </c>
    </row>
    <row r="1248" spans="1:15" x14ac:dyDescent="0.35">
      <c r="A1248" t="s">
        <v>1917</v>
      </c>
      <c r="B1248" s="5" t="s">
        <v>1788</v>
      </c>
      <c r="C1248" s="4" t="s">
        <v>31</v>
      </c>
      <c r="D1248" s="4" t="s">
        <v>45</v>
      </c>
      <c r="E1248" s="4" t="s">
        <v>46</v>
      </c>
      <c r="F1248" s="4" t="s">
        <v>67</v>
      </c>
      <c r="G1248" s="4" t="s">
        <v>180</v>
      </c>
      <c r="H1248" s="4" t="s">
        <v>72</v>
      </c>
      <c r="I1248" s="4" t="s">
        <v>39</v>
      </c>
      <c r="J1248" s="3">
        <v>1</v>
      </c>
      <c r="K1248" s="6">
        <v>31651</v>
      </c>
      <c r="L1248" s="6">
        <f t="shared" si="57"/>
        <v>22155.699999999997</v>
      </c>
      <c r="M1248" s="6">
        <v>9495.3000000000029</v>
      </c>
      <c r="N1248" s="5" t="str">
        <f t="shared" si="58"/>
        <v>Feb</v>
      </c>
      <c r="O1248" s="5" t="str">
        <f t="shared" si="59"/>
        <v xml:space="preserve"> 2023</v>
      </c>
    </row>
    <row r="1249" spans="1:15" x14ac:dyDescent="0.35">
      <c r="A1249" t="s">
        <v>1918</v>
      </c>
      <c r="B1249" s="5" t="s">
        <v>1264</v>
      </c>
      <c r="C1249" s="4" t="s">
        <v>31</v>
      </c>
      <c r="D1249" s="4" t="s">
        <v>104</v>
      </c>
      <c r="E1249" s="4" t="s">
        <v>105</v>
      </c>
      <c r="F1249" s="4" t="s">
        <v>67</v>
      </c>
      <c r="G1249" s="4" t="s">
        <v>68</v>
      </c>
      <c r="H1249" s="4" t="s">
        <v>18</v>
      </c>
      <c r="I1249" s="4" t="s">
        <v>28</v>
      </c>
      <c r="J1249" s="3">
        <v>7</v>
      </c>
      <c r="K1249" s="6">
        <v>236173</v>
      </c>
      <c r="L1249" s="6">
        <f t="shared" si="57"/>
        <v>165321.09999999998</v>
      </c>
      <c r="M1249" s="6">
        <v>70851.900000000023</v>
      </c>
      <c r="N1249" s="5" t="str">
        <f t="shared" si="58"/>
        <v>Apr</v>
      </c>
      <c r="O1249" s="5" t="str">
        <f t="shared" si="59"/>
        <v xml:space="preserve"> 2024</v>
      </c>
    </row>
    <row r="1250" spans="1:15" x14ac:dyDescent="0.35">
      <c r="A1250" t="s">
        <v>1919</v>
      </c>
      <c r="B1250" s="5" t="s">
        <v>396</v>
      </c>
      <c r="C1250" s="4" t="s">
        <v>55</v>
      </c>
      <c r="D1250" s="4" t="s">
        <v>98</v>
      </c>
      <c r="E1250" s="4" t="s">
        <v>99</v>
      </c>
      <c r="F1250" s="4" t="s">
        <v>67</v>
      </c>
      <c r="G1250" s="4" t="s">
        <v>180</v>
      </c>
      <c r="H1250" s="4" t="s">
        <v>72</v>
      </c>
      <c r="I1250" s="4" t="s">
        <v>60</v>
      </c>
      <c r="J1250" s="3">
        <v>5</v>
      </c>
      <c r="K1250" s="6">
        <v>15840</v>
      </c>
      <c r="L1250" s="6">
        <f t="shared" si="57"/>
        <v>11088</v>
      </c>
      <c r="M1250" s="6">
        <v>4752</v>
      </c>
      <c r="N1250" s="5" t="str">
        <f t="shared" si="58"/>
        <v>Mar</v>
      </c>
      <c r="O1250" s="5" t="str">
        <f t="shared" si="59"/>
        <v xml:space="preserve"> 2024</v>
      </c>
    </row>
    <row r="1251" spans="1:15" x14ac:dyDescent="0.35">
      <c r="A1251" t="s">
        <v>1920</v>
      </c>
      <c r="B1251" s="5" t="s">
        <v>926</v>
      </c>
      <c r="C1251" s="4" t="s">
        <v>13</v>
      </c>
      <c r="D1251" s="4" t="s">
        <v>14</v>
      </c>
      <c r="E1251" s="4" t="s">
        <v>15</v>
      </c>
      <c r="F1251" s="4" t="s">
        <v>25</v>
      </c>
      <c r="G1251" s="4" t="s">
        <v>71</v>
      </c>
      <c r="H1251" s="4" t="s">
        <v>72</v>
      </c>
      <c r="I1251" s="4" t="s">
        <v>19</v>
      </c>
      <c r="J1251" s="3">
        <v>3</v>
      </c>
      <c r="K1251" s="6">
        <v>11475</v>
      </c>
      <c r="L1251" s="6">
        <f t="shared" si="57"/>
        <v>8032.4999999999991</v>
      </c>
      <c r="M1251" s="6">
        <v>3442.5000000000009</v>
      </c>
      <c r="N1251" s="5" t="str">
        <f t="shared" si="58"/>
        <v>Oct</v>
      </c>
      <c r="O1251" s="5" t="str">
        <f t="shared" si="59"/>
        <v xml:space="preserve"> 2023</v>
      </c>
    </row>
    <row r="1252" spans="1:15" x14ac:dyDescent="0.35">
      <c r="A1252" t="s">
        <v>1921</v>
      </c>
      <c r="B1252" s="5" t="s">
        <v>331</v>
      </c>
      <c r="C1252" s="4" t="s">
        <v>55</v>
      </c>
      <c r="D1252" s="4" t="s">
        <v>98</v>
      </c>
      <c r="E1252" s="4" t="s">
        <v>99</v>
      </c>
      <c r="F1252" s="4" t="s">
        <v>25</v>
      </c>
      <c r="G1252" s="4" t="s">
        <v>71</v>
      </c>
      <c r="H1252" s="4" t="s">
        <v>72</v>
      </c>
      <c r="I1252" s="4" t="s">
        <v>47</v>
      </c>
      <c r="J1252" s="3">
        <v>4</v>
      </c>
      <c r="K1252" s="6">
        <v>185724</v>
      </c>
      <c r="L1252" s="6">
        <f t="shared" si="57"/>
        <v>130006.79999999999</v>
      </c>
      <c r="M1252" s="6">
        <v>55717.200000000012</v>
      </c>
      <c r="N1252" s="5" t="str">
        <f t="shared" si="58"/>
        <v>May</v>
      </c>
      <c r="O1252" s="5" t="str">
        <f t="shared" si="59"/>
        <v xml:space="preserve"> 2024</v>
      </c>
    </row>
    <row r="1253" spans="1:15" x14ac:dyDescent="0.35">
      <c r="A1253" t="s">
        <v>1922</v>
      </c>
      <c r="B1253" s="5" t="s">
        <v>1923</v>
      </c>
      <c r="C1253" s="4" t="s">
        <v>22</v>
      </c>
      <c r="D1253" s="4" t="s">
        <v>23</v>
      </c>
      <c r="E1253" s="4" t="s">
        <v>24</v>
      </c>
      <c r="F1253" s="4" t="s">
        <v>67</v>
      </c>
      <c r="G1253" s="4" t="s">
        <v>134</v>
      </c>
      <c r="H1253" s="4" t="s">
        <v>72</v>
      </c>
      <c r="I1253" s="4" t="s">
        <v>47</v>
      </c>
      <c r="J1253" s="3">
        <v>8</v>
      </c>
      <c r="K1253" s="6">
        <v>382720</v>
      </c>
      <c r="L1253" s="6">
        <f t="shared" si="57"/>
        <v>267904</v>
      </c>
      <c r="M1253" s="6">
        <v>114816</v>
      </c>
      <c r="N1253" s="5" t="str">
        <f t="shared" si="58"/>
        <v>Mar</v>
      </c>
      <c r="O1253" s="5" t="str">
        <f t="shared" si="59"/>
        <v xml:space="preserve"> 2023</v>
      </c>
    </row>
    <row r="1254" spans="1:15" x14ac:dyDescent="0.35">
      <c r="A1254" t="s">
        <v>1924</v>
      </c>
      <c r="B1254" s="5" t="s">
        <v>1192</v>
      </c>
      <c r="C1254" s="4" t="s">
        <v>22</v>
      </c>
      <c r="D1254" s="4" t="s">
        <v>23</v>
      </c>
      <c r="E1254" s="4" t="s">
        <v>24</v>
      </c>
      <c r="F1254" s="4" t="s">
        <v>16</v>
      </c>
      <c r="G1254" s="4" t="s">
        <v>17</v>
      </c>
      <c r="H1254" s="4" t="s">
        <v>18</v>
      </c>
      <c r="I1254" s="4" t="s">
        <v>28</v>
      </c>
      <c r="J1254" s="3">
        <v>5</v>
      </c>
      <c r="K1254" s="6">
        <v>137080</v>
      </c>
      <c r="L1254" s="6">
        <f t="shared" si="57"/>
        <v>95956</v>
      </c>
      <c r="M1254" s="6">
        <v>41124</v>
      </c>
      <c r="N1254" s="5" t="str">
        <f t="shared" si="58"/>
        <v>Jun</v>
      </c>
      <c r="O1254" s="5" t="str">
        <f t="shared" si="59"/>
        <v xml:space="preserve"> 2024</v>
      </c>
    </row>
    <row r="1255" spans="1:15" x14ac:dyDescent="0.35">
      <c r="A1255" t="s">
        <v>1925</v>
      </c>
      <c r="B1255" s="5" t="s">
        <v>297</v>
      </c>
      <c r="C1255" s="4" t="s">
        <v>22</v>
      </c>
      <c r="D1255" s="4" t="s">
        <v>90</v>
      </c>
      <c r="E1255" s="4" t="s">
        <v>91</v>
      </c>
      <c r="F1255" s="4" t="s">
        <v>16</v>
      </c>
      <c r="G1255" s="4" t="s">
        <v>122</v>
      </c>
      <c r="H1255" s="4" t="s">
        <v>72</v>
      </c>
      <c r="I1255" s="4" t="s">
        <v>60</v>
      </c>
      <c r="J1255" s="3">
        <v>1</v>
      </c>
      <c r="K1255" s="6">
        <v>11933</v>
      </c>
      <c r="L1255" s="6">
        <f t="shared" si="57"/>
        <v>8353.1</v>
      </c>
      <c r="M1255" s="6">
        <v>3579.8999999999996</v>
      </c>
      <c r="N1255" s="5" t="str">
        <f t="shared" si="58"/>
        <v>May</v>
      </c>
      <c r="O1255" s="5" t="str">
        <f t="shared" si="59"/>
        <v xml:space="preserve"> 2023</v>
      </c>
    </row>
    <row r="1256" spans="1:15" x14ac:dyDescent="0.35">
      <c r="A1256" t="s">
        <v>1926</v>
      </c>
      <c r="B1256" s="5" t="s">
        <v>913</v>
      </c>
      <c r="C1256" s="4" t="s">
        <v>31</v>
      </c>
      <c r="D1256" s="4" t="s">
        <v>45</v>
      </c>
      <c r="E1256" s="4" t="s">
        <v>46</v>
      </c>
      <c r="F1256" s="4" t="s">
        <v>67</v>
      </c>
      <c r="G1256" s="4" t="s">
        <v>113</v>
      </c>
      <c r="H1256" s="4" t="s">
        <v>72</v>
      </c>
      <c r="I1256" s="4" t="s">
        <v>28</v>
      </c>
      <c r="J1256" s="3">
        <v>5</v>
      </c>
      <c r="K1256" s="6">
        <v>134700</v>
      </c>
      <c r="L1256" s="6">
        <f t="shared" si="57"/>
        <v>94290</v>
      </c>
      <c r="M1256" s="6">
        <v>40410</v>
      </c>
      <c r="N1256" s="5" t="str">
        <f t="shared" si="58"/>
        <v>Sep</v>
      </c>
      <c r="O1256" s="5" t="str">
        <f t="shared" si="59"/>
        <v xml:space="preserve"> 2023</v>
      </c>
    </row>
    <row r="1257" spans="1:15" x14ac:dyDescent="0.35">
      <c r="A1257" t="s">
        <v>1927</v>
      </c>
      <c r="B1257" s="5" t="s">
        <v>1736</v>
      </c>
      <c r="C1257" s="4" t="s">
        <v>31</v>
      </c>
      <c r="D1257" s="4" t="s">
        <v>50</v>
      </c>
      <c r="E1257" s="4" t="s">
        <v>51</v>
      </c>
      <c r="F1257" s="4" t="s">
        <v>25</v>
      </c>
      <c r="G1257" s="4" t="s">
        <v>52</v>
      </c>
      <c r="H1257" s="4" t="s">
        <v>72</v>
      </c>
      <c r="I1257" s="4" t="s">
        <v>47</v>
      </c>
      <c r="J1257" s="3">
        <v>7</v>
      </c>
      <c r="K1257" s="6">
        <v>329371</v>
      </c>
      <c r="L1257" s="6">
        <f t="shared" si="57"/>
        <v>230559.69999999998</v>
      </c>
      <c r="M1257" s="6">
        <v>98811.300000000017</v>
      </c>
      <c r="N1257" s="5" t="str">
        <f t="shared" si="58"/>
        <v>Jul</v>
      </c>
      <c r="O1257" s="5" t="str">
        <f t="shared" si="59"/>
        <v xml:space="preserve"> 2023</v>
      </c>
    </row>
    <row r="1258" spans="1:15" x14ac:dyDescent="0.35">
      <c r="A1258" t="s">
        <v>1928</v>
      </c>
      <c r="B1258" s="5" t="s">
        <v>482</v>
      </c>
      <c r="C1258" s="4" t="s">
        <v>22</v>
      </c>
      <c r="D1258" s="4" t="s">
        <v>90</v>
      </c>
      <c r="E1258" s="4" t="s">
        <v>91</v>
      </c>
      <c r="F1258" s="4" t="s">
        <v>25</v>
      </c>
      <c r="G1258" s="4" t="s">
        <v>77</v>
      </c>
      <c r="H1258" s="4" t="s">
        <v>18</v>
      </c>
      <c r="I1258" s="4" t="s">
        <v>47</v>
      </c>
      <c r="J1258" s="3">
        <v>3</v>
      </c>
      <c r="K1258" s="6">
        <v>111672</v>
      </c>
      <c r="L1258" s="6">
        <f t="shared" si="57"/>
        <v>78170.399999999994</v>
      </c>
      <c r="M1258" s="6">
        <v>33501.600000000006</v>
      </c>
      <c r="N1258" s="5" t="str">
        <f t="shared" si="58"/>
        <v>Sep</v>
      </c>
      <c r="O1258" s="5" t="str">
        <f t="shared" si="59"/>
        <v xml:space="preserve"> 2024</v>
      </c>
    </row>
    <row r="1259" spans="1:15" x14ac:dyDescent="0.35">
      <c r="A1259" t="s">
        <v>1929</v>
      </c>
      <c r="B1259" s="5" t="s">
        <v>1165</v>
      </c>
      <c r="C1259" s="4" t="s">
        <v>55</v>
      </c>
      <c r="D1259" s="4" t="s">
        <v>98</v>
      </c>
      <c r="E1259" s="4" t="s">
        <v>99</v>
      </c>
      <c r="F1259" s="4" t="s">
        <v>25</v>
      </c>
      <c r="G1259" s="4" t="s">
        <v>26</v>
      </c>
      <c r="H1259" s="4" t="s">
        <v>27</v>
      </c>
      <c r="I1259" s="4" t="s">
        <v>60</v>
      </c>
      <c r="J1259" s="3">
        <v>5</v>
      </c>
      <c r="K1259" s="6">
        <v>227765</v>
      </c>
      <c r="L1259" s="6">
        <f t="shared" si="57"/>
        <v>159435.5</v>
      </c>
      <c r="M1259" s="6">
        <v>68329.5</v>
      </c>
      <c r="N1259" s="5" t="str">
        <f t="shared" si="58"/>
        <v>Aug</v>
      </c>
      <c r="O1259" s="5" t="str">
        <f t="shared" si="59"/>
        <v xml:space="preserve"> 2023</v>
      </c>
    </row>
    <row r="1260" spans="1:15" x14ac:dyDescent="0.35">
      <c r="A1260" t="s">
        <v>1930</v>
      </c>
      <c r="B1260" s="5" t="s">
        <v>1350</v>
      </c>
      <c r="C1260" s="4" t="s">
        <v>13</v>
      </c>
      <c r="D1260" s="4" t="s">
        <v>125</v>
      </c>
      <c r="E1260" s="4" t="s">
        <v>126</v>
      </c>
      <c r="F1260" s="4" t="s">
        <v>25</v>
      </c>
      <c r="G1260" s="4" t="s">
        <v>52</v>
      </c>
      <c r="H1260" s="4" t="s">
        <v>72</v>
      </c>
      <c r="I1260" s="4" t="s">
        <v>47</v>
      </c>
      <c r="J1260" s="3">
        <v>8</v>
      </c>
      <c r="K1260" s="6">
        <v>12880</v>
      </c>
      <c r="L1260" s="6">
        <f t="shared" si="57"/>
        <v>9016</v>
      </c>
      <c r="M1260" s="6">
        <v>3864</v>
      </c>
      <c r="N1260" s="5" t="str">
        <f t="shared" si="58"/>
        <v>Jun</v>
      </c>
      <c r="O1260" s="5" t="str">
        <f t="shared" si="59"/>
        <v xml:space="preserve"> 2023</v>
      </c>
    </row>
    <row r="1261" spans="1:15" x14ac:dyDescent="0.35">
      <c r="A1261" t="s">
        <v>1931</v>
      </c>
      <c r="B1261" s="5" t="s">
        <v>593</v>
      </c>
      <c r="C1261" s="4" t="s">
        <v>31</v>
      </c>
      <c r="D1261" s="4" t="s">
        <v>32</v>
      </c>
      <c r="E1261" s="4" t="s">
        <v>33</v>
      </c>
      <c r="F1261" s="4" t="s">
        <v>16</v>
      </c>
      <c r="G1261" s="4" t="s">
        <v>122</v>
      </c>
      <c r="H1261" s="4" t="s">
        <v>27</v>
      </c>
      <c r="I1261" s="4" t="s">
        <v>60</v>
      </c>
      <c r="J1261" s="3">
        <v>3</v>
      </c>
      <c r="K1261" s="6">
        <v>37395</v>
      </c>
      <c r="L1261" s="6">
        <f t="shared" si="57"/>
        <v>26176.5</v>
      </c>
      <c r="M1261" s="6">
        <v>11218.5</v>
      </c>
      <c r="N1261" s="5" t="str">
        <f t="shared" si="58"/>
        <v>Dec</v>
      </c>
      <c r="O1261" s="5" t="str">
        <f t="shared" si="59"/>
        <v xml:space="preserve"> 2023</v>
      </c>
    </row>
    <row r="1262" spans="1:15" x14ac:dyDescent="0.35">
      <c r="A1262" t="s">
        <v>1932</v>
      </c>
      <c r="B1262" s="5" t="s">
        <v>1685</v>
      </c>
      <c r="C1262" s="4" t="s">
        <v>13</v>
      </c>
      <c r="D1262" s="4" t="s">
        <v>14</v>
      </c>
      <c r="E1262" s="4" t="s">
        <v>15</v>
      </c>
      <c r="F1262" s="4" t="s">
        <v>37</v>
      </c>
      <c r="G1262" s="4" t="s">
        <v>38</v>
      </c>
      <c r="H1262" s="4" t="s">
        <v>72</v>
      </c>
      <c r="I1262" s="4" t="s">
        <v>47</v>
      </c>
      <c r="J1262" s="3">
        <v>1</v>
      </c>
      <c r="K1262" s="6">
        <v>10521</v>
      </c>
      <c r="L1262" s="6">
        <f t="shared" si="57"/>
        <v>7364.7</v>
      </c>
      <c r="M1262" s="6">
        <v>3156.3</v>
      </c>
      <c r="N1262" s="5" t="str">
        <f t="shared" si="58"/>
        <v>Aug</v>
      </c>
      <c r="O1262" s="5" t="str">
        <f t="shared" si="59"/>
        <v xml:space="preserve"> 2024</v>
      </c>
    </row>
    <row r="1263" spans="1:15" x14ac:dyDescent="0.35">
      <c r="A1263" t="s">
        <v>1933</v>
      </c>
      <c r="B1263" s="5" t="s">
        <v>886</v>
      </c>
      <c r="C1263" s="4" t="s">
        <v>22</v>
      </c>
      <c r="D1263" s="4" t="s">
        <v>90</v>
      </c>
      <c r="E1263" s="4" t="s">
        <v>110</v>
      </c>
      <c r="F1263" s="4" t="s">
        <v>16</v>
      </c>
      <c r="G1263" s="4" t="s">
        <v>122</v>
      </c>
      <c r="H1263" s="4" t="s">
        <v>27</v>
      </c>
      <c r="I1263" s="4" t="s">
        <v>28</v>
      </c>
      <c r="J1263" s="3">
        <v>1</v>
      </c>
      <c r="K1263" s="6">
        <v>24537</v>
      </c>
      <c r="L1263" s="6">
        <f t="shared" si="57"/>
        <v>17175.899999999998</v>
      </c>
      <c r="M1263" s="6">
        <v>7361.1000000000022</v>
      </c>
      <c r="N1263" s="5" t="str">
        <f t="shared" si="58"/>
        <v>Jun</v>
      </c>
      <c r="O1263" s="5" t="str">
        <f t="shared" si="59"/>
        <v xml:space="preserve"> 2023</v>
      </c>
    </row>
    <row r="1264" spans="1:15" x14ac:dyDescent="0.35">
      <c r="A1264" t="s">
        <v>1934</v>
      </c>
      <c r="B1264" s="5" t="s">
        <v>152</v>
      </c>
      <c r="C1264" s="4" t="s">
        <v>13</v>
      </c>
      <c r="D1264" s="4" t="s">
        <v>125</v>
      </c>
      <c r="E1264" s="4" t="s">
        <v>126</v>
      </c>
      <c r="F1264" s="4" t="s">
        <v>25</v>
      </c>
      <c r="G1264" s="4" t="s">
        <v>77</v>
      </c>
      <c r="H1264" s="4" t="s">
        <v>27</v>
      </c>
      <c r="I1264" s="4" t="s">
        <v>39</v>
      </c>
      <c r="J1264" s="3">
        <v>9</v>
      </c>
      <c r="K1264" s="6">
        <v>115659</v>
      </c>
      <c r="L1264" s="6">
        <f t="shared" si="57"/>
        <v>80961.299999999988</v>
      </c>
      <c r="M1264" s="6">
        <v>34697.700000000012</v>
      </c>
      <c r="N1264" s="5" t="str">
        <f t="shared" si="58"/>
        <v>Jul</v>
      </c>
      <c r="O1264" s="5" t="str">
        <f t="shared" si="59"/>
        <v xml:space="preserve"> 2024</v>
      </c>
    </row>
    <row r="1265" spans="1:15" x14ac:dyDescent="0.35">
      <c r="A1265" t="s">
        <v>1935</v>
      </c>
      <c r="B1265" s="5" t="s">
        <v>482</v>
      </c>
      <c r="C1265" s="4" t="s">
        <v>55</v>
      </c>
      <c r="D1265" s="4" t="s">
        <v>98</v>
      </c>
      <c r="E1265" s="4" t="s">
        <v>99</v>
      </c>
      <c r="F1265" s="4" t="s">
        <v>37</v>
      </c>
      <c r="G1265" s="4" t="s">
        <v>186</v>
      </c>
      <c r="H1265" s="4" t="s">
        <v>72</v>
      </c>
      <c r="I1265" s="4" t="s">
        <v>60</v>
      </c>
      <c r="J1265" s="3">
        <v>5</v>
      </c>
      <c r="K1265" s="6">
        <v>141935</v>
      </c>
      <c r="L1265" s="6">
        <f t="shared" si="57"/>
        <v>99354.5</v>
      </c>
      <c r="M1265" s="6">
        <v>42580.5</v>
      </c>
      <c r="N1265" s="5" t="str">
        <f t="shared" si="58"/>
        <v>Sep</v>
      </c>
      <c r="O1265" s="5" t="str">
        <f t="shared" si="59"/>
        <v xml:space="preserve"> 2024</v>
      </c>
    </row>
    <row r="1266" spans="1:15" x14ac:dyDescent="0.35">
      <c r="A1266" t="s">
        <v>1936</v>
      </c>
      <c r="B1266" s="5" t="s">
        <v>293</v>
      </c>
      <c r="C1266" s="4" t="s">
        <v>55</v>
      </c>
      <c r="D1266" s="4" t="s">
        <v>98</v>
      </c>
      <c r="E1266" s="4" t="s">
        <v>99</v>
      </c>
      <c r="F1266" s="4" t="s">
        <v>25</v>
      </c>
      <c r="G1266" s="4" t="s">
        <v>77</v>
      </c>
      <c r="H1266" s="4" t="s">
        <v>27</v>
      </c>
      <c r="I1266" s="4" t="s">
        <v>39</v>
      </c>
      <c r="J1266" s="3">
        <v>4</v>
      </c>
      <c r="K1266" s="6">
        <v>26944</v>
      </c>
      <c r="L1266" s="6">
        <f t="shared" si="57"/>
        <v>18860.8</v>
      </c>
      <c r="M1266" s="6">
        <v>8083.2000000000007</v>
      </c>
      <c r="N1266" s="5" t="str">
        <f t="shared" si="58"/>
        <v>Apr</v>
      </c>
      <c r="O1266" s="5" t="str">
        <f t="shared" si="59"/>
        <v xml:space="preserve"> 2024</v>
      </c>
    </row>
    <row r="1267" spans="1:15" x14ac:dyDescent="0.35">
      <c r="A1267" t="s">
        <v>1937</v>
      </c>
      <c r="B1267" s="5" t="s">
        <v>1047</v>
      </c>
      <c r="C1267" s="4" t="s">
        <v>31</v>
      </c>
      <c r="D1267" s="4" t="s">
        <v>50</v>
      </c>
      <c r="E1267" s="4" t="s">
        <v>51</v>
      </c>
      <c r="F1267" s="4" t="s">
        <v>67</v>
      </c>
      <c r="G1267" s="4" t="s">
        <v>113</v>
      </c>
      <c r="H1267" s="4" t="s">
        <v>18</v>
      </c>
      <c r="I1267" s="4" t="s">
        <v>19</v>
      </c>
      <c r="J1267" s="3">
        <v>4</v>
      </c>
      <c r="K1267" s="6">
        <v>103148</v>
      </c>
      <c r="L1267" s="6">
        <f t="shared" si="57"/>
        <v>72203.599999999991</v>
      </c>
      <c r="M1267" s="6">
        <v>30944.400000000009</v>
      </c>
      <c r="N1267" s="5" t="str">
        <f t="shared" si="58"/>
        <v>Aug</v>
      </c>
      <c r="O1267" s="5" t="str">
        <f t="shared" si="59"/>
        <v xml:space="preserve"> 2023</v>
      </c>
    </row>
    <row r="1268" spans="1:15" x14ac:dyDescent="0.35">
      <c r="A1268" t="s">
        <v>1938</v>
      </c>
      <c r="B1268" s="5" t="s">
        <v>1012</v>
      </c>
      <c r="C1268" s="4" t="s">
        <v>31</v>
      </c>
      <c r="D1268" s="4" t="s">
        <v>104</v>
      </c>
      <c r="E1268" s="4" t="s">
        <v>105</v>
      </c>
      <c r="F1268" s="4" t="s">
        <v>37</v>
      </c>
      <c r="G1268" s="4" t="s">
        <v>183</v>
      </c>
      <c r="H1268" s="4" t="s">
        <v>18</v>
      </c>
      <c r="I1268" s="4" t="s">
        <v>28</v>
      </c>
      <c r="J1268" s="3">
        <v>1</v>
      </c>
      <c r="K1268" s="6">
        <v>8241</v>
      </c>
      <c r="L1268" s="6">
        <f t="shared" si="57"/>
        <v>5768.7</v>
      </c>
      <c r="M1268" s="6">
        <v>2472.3000000000002</v>
      </c>
      <c r="N1268" s="5" t="str">
        <f t="shared" si="58"/>
        <v>Nov</v>
      </c>
      <c r="O1268" s="5" t="str">
        <f t="shared" si="59"/>
        <v xml:space="preserve"> 2024</v>
      </c>
    </row>
    <row r="1269" spans="1:15" x14ac:dyDescent="0.35">
      <c r="A1269" t="s">
        <v>1939</v>
      </c>
      <c r="B1269" s="5" t="s">
        <v>788</v>
      </c>
      <c r="C1269" s="4" t="s">
        <v>55</v>
      </c>
      <c r="D1269" s="4" t="s">
        <v>98</v>
      </c>
      <c r="E1269" s="4" t="s">
        <v>99</v>
      </c>
      <c r="F1269" s="4" t="s">
        <v>16</v>
      </c>
      <c r="G1269" s="4" t="s">
        <v>17</v>
      </c>
      <c r="H1269" s="4" t="s">
        <v>18</v>
      </c>
      <c r="I1269" s="4" t="s">
        <v>47</v>
      </c>
      <c r="J1269" s="3">
        <v>3</v>
      </c>
      <c r="K1269" s="6">
        <v>138411</v>
      </c>
      <c r="L1269" s="6">
        <f t="shared" si="57"/>
        <v>96887.7</v>
      </c>
      <c r="M1269" s="6">
        <v>41523.300000000003</v>
      </c>
      <c r="N1269" s="5" t="str">
        <f t="shared" si="58"/>
        <v>Sep</v>
      </c>
      <c r="O1269" s="5" t="str">
        <f t="shared" si="59"/>
        <v xml:space="preserve"> 2024</v>
      </c>
    </row>
    <row r="1270" spans="1:15" x14ac:dyDescent="0.35">
      <c r="A1270" t="s">
        <v>1940</v>
      </c>
      <c r="B1270" s="5" t="s">
        <v>741</v>
      </c>
      <c r="C1270" s="4" t="s">
        <v>55</v>
      </c>
      <c r="D1270" s="4" t="s">
        <v>82</v>
      </c>
      <c r="E1270" s="4" t="s">
        <v>83</v>
      </c>
      <c r="F1270" s="4" t="s">
        <v>25</v>
      </c>
      <c r="G1270" s="4" t="s">
        <v>52</v>
      </c>
      <c r="H1270" s="4" t="s">
        <v>18</v>
      </c>
      <c r="I1270" s="4" t="s">
        <v>60</v>
      </c>
      <c r="J1270" s="3">
        <v>5</v>
      </c>
      <c r="K1270" s="6">
        <v>131280</v>
      </c>
      <c r="L1270" s="6">
        <f t="shared" si="57"/>
        <v>91896</v>
      </c>
      <c r="M1270" s="6">
        <v>39384</v>
      </c>
      <c r="N1270" s="5" t="str">
        <f t="shared" si="58"/>
        <v>Jan</v>
      </c>
      <c r="O1270" s="5" t="str">
        <f t="shared" si="59"/>
        <v xml:space="preserve"> 2024</v>
      </c>
    </row>
    <row r="1271" spans="1:15" x14ac:dyDescent="0.35">
      <c r="A1271" t="s">
        <v>1941</v>
      </c>
      <c r="B1271" s="5" t="s">
        <v>291</v>
      </c>
      <c r="C1271" s="4" t="s">
        <v>55</v>
      </c>
      <c r="D1271" s="4" t="s">
        <v>56</v>
      </c>
      <c r="E1271" s="4" t="s">
        <v>57</v>
      </c>
      <c r="F1271" s="4" t="s">
        <v>16</v>
      </c>
      <c r="G1271" s="4" t="s">
        <v>34</v>
      </c>
      <c r="H1271" s="4" t="s">
        <v>18</v>
      </c>
      <c r="I1271" s="4" t="s">
        <v>47</v>
      </c>
      <c r="J1271" s="3">
        <v>7</v>
      </c>
      <c r="K1271" s="6">
        <v>244489</v>
      </c>
      <c r="L1271" s="6">
        <f t="shared" si="57"/>
        <v>171142.3</v>
      </c>
      <c r="M1271" s="6">
        <v>73346.700000000012</v>
      </c>
      <c r="N1271" s="5" t="str">
        <f t="shared" si="58"/>
        <v>Jul</v>
      </c>
      <c r="O1271" s="5" t="str">
        <f t="shared" si="59"/>
        <v xml:space="preserve"> 2023</v>
      </c>
    </row>
    <row r="1272" spans="1:15" x14ac:dyDescent="0.35">
      <c r="A1272" t="s">
        <v>1942</v>
      </c>
      <c r="B1272" s="5" t="s">
        <v>1891</v>
      </c>
      <c r="C1272" s="4" t="s">
        <v>13</v>
      </c>
      <c r="D1272" s="4" t="s">
        <v>125</v>
      </c>
      <c r="E1272" s="4" t="s">
        <v>126</v>
      </c>
      <c r="F1272" s="4" t="s">
        <v>37</v>
      </c>
      <c r="G1272" s="4" t="s">
        <v>148</v>
      </c>
      <c r="H1272" s="4" t="s">
        <v>72</v>
      </c>
      <c r="I1272" s="4" t="s">
        <v>28</v>
      </c>
      <c r="J1272" s="3">
        <v>8</v>
      </c>
      <c r="K1272" s="6">
        <v>251656</v>
      </c>
      <c r="L1272" s="6">
        <f t="shared" si="57"/>
        <v>176159.19999999998</v>
      </c>
      <c r="M1272" s="6">
        <v>75496.800000000017</v>
      </c>
      <c r="N1272" s="5" t="str">
        <f t="shared" si="58"/>
        <v>Nov</v>
      </c>
      <c r="O1272" s="5" t="str">
        <f t="shared" si="59"/>
        <v xml:space="preserve"> 2023</v>
      </c>
    </row>
    <row r="1273" spans="1:15" x14ac:dyDescent="0.35">
      <c r="A1273" t="s">
        <v>1943</v>
      </c>
      <c r="B1273" s="5" t="s">
        <v>324</v>
      </c>
      <c r="C1273" s="4" t="s">
        <v>55</v>
      </c>
      <c r="D1273" s="4" t="s">
        <v>56</v>
      </c>
      <c r="E1273" s="4" t="s">
        <v>57</v>
      </c>
      <c r="F1273" s="4" t="s">
        <v>37</v>
      </c>
      <c r="G1273" s="4" t="s">
        <v>186</v>
      </c>
      <c r="H1273" s="4" t="s">
        <v>27</v>
      </c>
      <c r="I1273" s="4" t="s">
        <v>19</v>
      </c>
      <c r="J1273" s="3">
        <v>8</v>
      </c>
      <c r="K1273" s="6">
        <v>312376</v>
      </c>
      <c r="L1273" s="6">
        <f t="shared" si="57"/>
        <v>218663.19999999998</v>
      </c>
      <c r="M1273" s="6">
        <v>93712.800000000017</v>
      </c>
      <c r="N1273" s="5" t="str">
        <f t="shared" si="58"/>
        <v>Jan</v>
      </c>
      <c r="O1273" s="5" t="str">
        <f t="shared" si="59"/>
        <v xml:space="preserve"> 2024</v>
      </c>
    </row>
    <row r="1274" spans="1:15" x14ac:dyDescent="0.35">
      <c r="A1274" t="s">
        <v>1944</v>
      </c>
      <c r="B1274" s="5" t="s">
        <v>1084</v>
      </c>
      <c r="C1274" s="4" t="s">
        <v>13</v>
      </c>
      <c r="D1274" s="4" t="s">
        <v>125</v>
      </c>
      <c r="E1274" s="4" t="s">
        <v>126</v>
      </c>
      <c r="F1274" s="4" t="s">
        <v>37</v>
      </c>
      <c r="G1274" s="4" t="s">
        <v>148</v>
      </c>
      <c r="H1274" s="4" t="s">
        <v>27</v>
      </c>
      <c r="I1274" s="4" t="s">
        <v>39</v>
      </c>
      <c r="J1274" s="3">
        <v>2</v>
      </c>
      <c r="K1274" s="6">
        <v>79714</v>
      </c>
      <c r="L1274" s="6">
        <f t="shared" si="57"/>
        <v>55799.799999999996</v>
      </c>
      <c r="M1274" s="6">
        <v>23914.200000000004</v>
      </c>
      <c r="N1274" s="5" t="str">
        <f t="shared" si="58"/>
        <v>Dec</v>
      </c>
      <c r="O1274" s="5" t="str">
        <f t="shared" si="59"/>
        <v xml:space="preserve"> 2023</v>
      </c>
    </row>
    <row r="1275" spans="1:15" x14ac:dyDescent="0.35">
      <c r="A1275" t="s">
        <v>1945</v>
      </c>
      <c r="B1275" s="5" t="s">
        <v>811</v>
      </c>
      <c r="C1275" s="4" t="s">
        <v>31</v>
      </c>
      <c r="D1275" s="4" t="s">
        <v>45</v>
      </c>
      <c r="E1275" s="4" t="s">
        <v>46</v>
      </c>
      <c r="F1275" s="4" t="s">
        <v>16</v>
      </c>
      <c r="G1275" s="4" t="s">
        <v>122</v>
      </c>
      <c r="H1275" s="4" t="s">
        <v>72</v>
      </c>
      <c r="I1275" s="4" t="s">
        <v>39</v>
      </c>
      <c r="J1275" s="3">
        <v>6</v>
      </c>
      <c r="K1275" s="6">
        <v>111846</v>
      </c>
      <c r="L1275" s="6">
        <f t="shared" si="57"/>
        <v>78292.2</v>
      </c>
      <c r="M1275" s="6">
        <v>33553.800000000003</v>
      </c>
      <c r="N1275" s="5" t="str">
        <f t="shared" si="58"/>
        <v>Jan</v>
      </c>
      <c r="O1275" s="5" t="str">
        <f t="shared" si="59"/>
        <v xml:space="preserve"> 2024</v>
      </c>
    </row>
    <row r="1276" spans="1:15" x14ac:dyDescent="0.35">
      <c r="A1276" t="s">
        <v>1946</v>
      </c>
      <c r="B1276" s="5" t="s">
        <v>550</v>
      </c>
      <c r="C1276" s="4" t="s">
        <v>22</v>
      </c>
      <c r="D1276" s="4" t="s">
        <v>90</v>
      </c>
      <c r="E1276" s="4" t="s">
        <v>110</v>
      </c>
      <c r="F1276" s="4" t="s">
        <v>37</v>
      </c>
      <c r="G1276" s="4" t="s">
        <v>186</v>
      </c>
      <c r="H1276" s="4" t="s">
        <v>18</v>
      </c>
      <c r="I1276" s="4" t="s">
        <v>47</v>
      </c>
      <c r="J1276" s="3">
        <v>7</v>
      </c>
      <c r="K1276" s="6">
        <v>288708</v>
      </c>
      <c r="L1276" s="6">
        <f t="shared" si="57"/>
        <v>202095.59999999998</v>
      </c>
      <c r="M1276" s="6">
        <v>86612.400000000023</v>
      </c>
      <c r="N1276" s="5" t="str">
        <f t="shared" si="58"/>
        <v>May</v>
      </c>
      <c r="O1276" s="5" t="str">
        <f t="shared" si="59"/>
        <v xml:space="preserve"> 2024</v>
      </c>
    </row>
    <row r="1277" spans="1:15" x14ac:dyDescent="0.35">
      <c r="A1277" t="s">
        <v>1947</v>
      </c>
      <c r="B1277" s="5" t="s">
        <v>877</v>
      </c>
      <c r="C1277" s="4" t="s">
        <v>22</v>
      </c>
      <c r="D1277" s="4" t="s">
        <v>23</v>
      </c>
      <c r="E1277" s="4" t="s">
        <v>24</v>
      </c>
      <c r="F1277" s="4" t="s">
        <v>67</v>
      </c>
      <c r="G1277" s="4" t="s">
        <v>134</v>
      </c>
      <c r="H1277" s="4" t="s">
        <v>27</v>
      </c>
      <c r="I1277" s="4" t="s">
        <v>19</v>
      </c>
      <c r="J1277" s="3">
        <v>9</v>
      </c>
      <c r="K1277" s="6">
        <v>309942</v>
      </c>
      <c r="L1277" s="6">
        <f t="shared" si="57"/>
        <v>216959.4</v>
      </c>
      <c r="M1277" s="6">
        <v>92982.6</v>
      </c>
      <c r="N1277" s="5" t="str">
        <f t="shared" si="58"/>
        <v>Sep</v>
      </c>
      <c r="O1277" s="5" t="str">
        <f t="shared" si="59"/>
        <v xml:space="preserve"> 2023</v>
      </c>
    </row>
    <row r="1278" spans="1:15" x14ac:dyDescent="0.35">
      <c r="A1278" t="s">
        <v>1948</v>
      </c>
      <c r="B1278" s="5" t="s">
        <v>145</v>
      </c>
      <c r="C1278" s="4" t="s">
        <v>55</v>
      </c>
      <c r="D1278" s="4" t="s">
        <v>98</v>
      </c>
      <c r="E1278" s="4" t="s">
        <v>99</v>
      </c>
      <c r="F1278" s="4" t="s">
        <v>25</v>
      </c>
      <c r="G1278" s="4" t="s">
        <v>77</v>
      </c>
      <c r="H1278" s="4" t="s">
        <v>27</v>
      </c>
      <c r="I1278" s="4" t="s">
        <v>47</v>
      </c>
      <c r="J1278" s="3">
        <v>3</v>
      </c>
      <c r="K1278" s="6">
        <v>101298</v>
      </c>
      <c r="L1278" s="6">
        <f t="shared" si="57"/>
        <v>70908.599999999991</v>
      </c>
      <c r="M1278" s="6">
        <v>30389.400000000009</v>
      </c>
      <c r="N1278" s="5" t="str">
        <f t="shared" si="58"/>
        <v>Jun</v>
      </c>
      <c r="O1278" s="5" t="str">
        <f t="shared" si="59"/>
        <v xml:space="preserve"> 2024</v>
      </c>
    </row>
    <row r="1279" spans="1:15" x14ac:dyDescent="0.35">
      <c r="A1279" t="s">
        <v>1949</v>
      </c>
      <c r="B1279" s="5" t="s">
        <v>1440</v>
      </c>
      <c r="C1279" s="4" t="s">
        <v>31</v>
      </c>
      <c r="D1279" s="4" t="s">
        <v>50</v>
      </c>
      <c r="E1279" s="4" t="s">
        <v>51</v>
      </c>
      <c r="F1279" s="4" t="s">
        <v>16</v>
      </c>
      <c r="G1279" s="4" t="s">
        <v>122</v>
      </c>
      <c r="H1279" s="4" t="s">
        <v>27</v>
      </c>
      <c r="I1279" s="4" t="s">
        <v>28</v>
      </c>
      <c r="J1279" s="3">
        <v>5</v>
      </c>
      <c r="K1279" s="6">
        <v>164635</v>
      </c>
      <c r="L1279" s="6">
        <f t="shared" si="57"/>
        <v>115244.49999999999</v>
      </c>
      <c r="M1279" s="6">
        <v>49390.500000000015</v>
      </c>
      <c r="N1279" s="5" t="str">
        <f t="shared" si="58"/>
        <v>May</v>
      </c>
      <c r="O1279" s="5" t="str">
        <f t="shared" si="59"/>
        <v xml:space="preserve"> 2023</v>
      </c>
    </row>
    <row r="1280" spans="1:15" x14ac:dyDescent="0.35">
      <c r="A1280" t="s">
        <v>1950</v>
      </c>
      <c r="B1280" s="5" t="s">
        <v>641</v>
      </c>
      <c r="C1280" s="4" t="s">
        <v>13</v>
      </c>
      <c r="D1280" s="4" t="s">
        <v>14</v>
      </c>
      <c r="E1280" s="4" t="s">
        <v>15</v>
      </c>
      <c r="F1280" s="4" t="s">
        <v>25</v>
      </c>
      <c r="G1280" s="4" t="s">
        <v>77</v>
      </c>
      <c r="H1280" s="4" t="s">
        <v>72</v>
      </c>
      <c r="I1280" s="4" t="s">
        <v>28</v>
      </c>
      <c r="J1280" s="3">
        <v>3</v>
      </c>
      <c r="K1280" s="6">
        <v>93111</v>
      </c>
      <c r="L1280" s="6">
        <f t="shared" si="57"/>
        <v>65177.7</v>
      </c>
      <c r="M1280" s="6">
        <v>27933.300000000003</v>
      </c>
      <c r="N1280" s="5" t="str">
        <f t="shared" si="58"/>
        <v>May</v>
      </c>
      <c r="O1280" s="5" t="str">
        <f t="shared" si="59"/>
        <v xml:space="preserve"> 2024</v>
      </c>
    </row>
    <row r="1281" spans="1:15" x14ac:dyDescent="0.35">
      <c r="A1281" t="s">
        <v>1951</v>
      </c>
      <c r="B1281" s="5" t="s">
        <v>678</v>
      </c>
      <c r="C1281" s="4" t="s">
        <v>55</v>
      </c>
      <c r="D1281" s="4" t="s">
        <v>82</v>
      </c>
      <c r="E1281" s="4" t="s">
        <v>83</v>
      </c>
      <c r="F1281" s="4" t="s">
        <v>25</v>
      </c>
      <c r="G1281" s="4" t="s">
        <v>52</v>
      </c>
      <c r="H1281" s="4" t="s">
        <v>72</v>
      </c>
      <c r="I1281" s="4" t="s">
        <v>19</v>
      </c>
      <c r="J1281" s="3">
        <v>6</v>
      </c>
      <c r="K1281" s="6">
        <v>151812</v>
      </c>
      <c r="L1281" s="6">
        <f t="shared" si="57"/>
        <v>106268.4</v>
      </c>
      <c r="M1281" s="6">
        <v>45543.600000000006</v>
      </c>
      <c r="N1281" s="5" t="str">
        <f t="shared" si="58"/>
        <v>Oct</v>
      </c>
      <c r="O1281" s="5" t="str">
        <f t="shared" si="59"/>
        <v xml:space="preserve"> 2023</v>
      </c>
    </row>
    <row r="1282" spans="1:15" x14ac:dyDescent="0.35">
      <c r="A1282" t="s">
        <v>1952</v>
      </c>
      <c r="B1282" s="5" t="s">
        <v>608</v>
      </c>
      <c r="C1282" s="4" t="s">
        <v>22</v>
      </c>
      <c r="D1282" s="4" t="s">
        <v>90</v>
      </c>
      <c r="E1282" s="4" t="s">
        <v>91</v>
      </c>
      <c r="F1282" s="4" t="s">
        <v>67</v>
      </c>
      <c r="G1282" s="4" t="s">
        <v>180</v>
      </c>
      <c r="H1282" s="4" t="s">
        <v>18</v>
      </c>
      <c r="I1282" s="4" t="s">
        <v>60</v>
      </c>
      <c r="J1282" s="3">
        <v>1</v>
      </c>
      <c r="K1282" s="6">
        <v>12661</v>
      </c>
      <c r="L1282" s="6">
        <f t="shared" ref="L1282:L1345" si="60">K1282*0.7</f>
        <v>8862.6999999999989</v>
      </c>
      <c r="M1282" s="6">
        <v>3798.3000000000011</v>
      </c>
      <c r="N1282" s="5" t="str">
        <f t="shared" ref="N1282:N1345" si="61">TEXT(B1282,"mmm")</f>
        <v>Mar</v>
      </c>
      <c r="O1282" s="5" t="str">
        <f t="shared" ref="O1282:O1345" si="62">TEXT(B1282," yyyy")</f>
        <v xml:space="preserve"> 2024</v>
      </c>
    </row>
    <row r="1283" spans="1:15" x14ac:dyDescent="0.35">
      <c r="A1283" t="s">
        <v>1953</v>
      </c>
      <c r="B1283" s="5" t="s">
        <v>1954</v>
      </c>
      <c r="C1283" s="4" t="s">
        <v>55</v>
      </c>
      <c r="D1283" s="4" t="s">
        <v>56</v>
      </c>
      <c r="E1283" s="4" t="s">
        <v>57</v>
      </c>
      <c r="F1283" s="4" t="s">
        <v>67</v>
      </c>
      <c r="G1283" s="4" t="s">
        <v>68</v>
      </c>
      <c r="H1283" s="4" t="s">
        <v>72</v>
      </c>
      <c r="I1283" s="4" t="s">
        <v>28</v>
      </c>
      <c r="J1283" s="3">
        <v>3</v>
      </c>
      <c r="K1283" s="6">
        <v>53694</v>
      </c>
      <c r="L1283" s="6">
        <f t="shared" si="60"/>
        <v>37585.799999999996</v>
      </c>
      <c r="M1283" s="6">
        <v>16108.200000000004</v>
      </c>
      <c r="N1283" s="5" t="str">
        <f t="shared" si="61"/>
        <v>Oct</v>
      </c>
      <c r="O1283" s="5" t="str">
        <f t="shared" si="62"/>
        <v xml:space="preserve"> 2024</v>
      </c>
    </row>
    <row r="1284" spans="1:15" x14ac:dyDescent="0.35">
      <c r="A1284" t="s">
        <v>1955</v>
      </c>
      <c r="B1284" s="5" t="s">
        <v>1956</v>
      </c>
      <c r="C1284" s="4" t="s">
        <v>55</v>
      </c>
      <c r="D1284" s="4" t="s">
        <v>98</v>
      </c>
      <c r="E1284" s="4" t="s">
        <v>99</v>
      </c>
      <c r="F1284" s="4" t="s">
        <v>16</v>
      </c>
      <c r="G1284" s="4" t="s">
        <v>122</v>
      </c>
      <c r="H1284" s="4" t="s">
        <v>18</v>
      </c>
      <c r="I1284" s="4" t="s">
        <v>28</v>
      </c>
      <c r="J1284" s="3">
        <v>7</v>
      </c>
      <c r="K1284" s="6">
        <v>241297</v>
      </c>
      <c r="L1284" s="6">
        <f t="shared" si="60"/>
        <v>168907.9</v>
      </c>
      <c r="M1284" s="6">
        <v>72389.100000000006</v>
      </c>
      <c r="N1284" s="5" t="str">
        <f t="shared" si="61"/>
        <v>May</v>
      </c>
      <c r="O1284" s="5" t="str">
        <f t="shared" si="62"/>
        <v xml:space="preserve"> 2023</v>
      </c>
    </row>
    <row r="1285" spans="1:15" x14ac:dyDescent="0.35">
      <c r="A1285" t="s">
        <v>1957</v>
      </c>
      <c r="B1285" s="5" t="s">
        <v>650</v>
      </c>
      <c r="C1285" s="4" t="s">
        <v>55</v>
      </c>
      <c r="D1285" s="4" t="s">
        <v>56</v>
      </c>
      <c r="E1285" s="4" t="s">
        <v>57</v>
      </c>
      <c r="F1285" s="4" t="s">
        <v>16</v>
      </c>
      <c r="G1285" s="4" t="s">
        <v>42</v>
      </c>
      <c r="H1285" s="4" t="s">
        <v>72</v>
      </c>
      <c r="I1285" s="4" t="s">
        <v>60</v>
      </c>
      <c r="J1285" s="3">
        <v>3</v>
      </c>
      <c r="K1285" s="6">
        <v>20643</v>
      </c>
      <c r="L1285" s="6">
        <f t="shared" si="60"/>
        <v>14450.099999999999</v>
      </c>
      <c r="M1285" s="6">
        <v>6192.9000000000015</v>
      </c>
      <c r="N1285" s="5" t="str">
        <f t="shared" si="61"/>
        <v>Jan</v>
      </c>
      <c r="O1285" s="5" t="str">
        <f t="shared" si="62"/>
        <v xml:space="preserve"> 2023</v>
      </c>
    </row>
    <row r="1286" spans="1:15" x14ac:dyDescent="0.35">
      <c r="A1286" t="s">
        <v>1958</v>
      </c>
      <c r="B1286" s="5" t="s">
        <v>1959</v>
      </c>
      <c r="C1286" s="4" t="s">
        <v>55</v>
      </c>
      <c r="D1286" s="4" t="s">
        <v>56</v>
      </c>
      <c r="E1286" s="4" t="s">
        <v>57</v>
      </c>
      <c r="F1286" s="4" t="s">
        <v>25</v>
      </c>
      <c r="G1286" s="4" t="s">
        <v>71</v>
      </c>
      <c r="H1286" s="4" t="s">
        <v>18</v>
      </c>
      <c r="I1286" s="4" t="s">
        <v>19</v>
      </c>
      <c r="J1286" s="3">
        <v>5</v>
      </c>
      <c r="K1286" s="6">
        <v>229840</v>
      </c>
      <c r="L1286" s="6">
        <f t="shared" si="60"/>
        <v>160888</v>
      </c>
      <c r="M1286" s="6">
        <v>68952</v>
      </c>
      <c r="N1286" s="5" t="str">
        <f t="shared" si="61"/>
        <v>Oct</v>
      </c>
      <c r="O1286" s="5" t="str">
        <f t="shared" si="62"/>
        <v xml:space="preserve"> 2024</v>
      </c>
    </row>
    <row r="1287" spans="1:15" x14ac:dyDescent="0.35">
      <c r="A1287" t="s">
        <v>1960</v>
      </c>
      <c r="B1287" s="5" t="s">
        <v>756</v>
      </c>
      <c r="C1287" s="4" t="s">
        <v>31</v>
      </c>
      <c r="D1287" s="4" t="s">
        <v>104</v>
      </c>
      <c r="E1287" s="4" t="s">
        <v>105</v>
      </c>
      <c r="F1287" s="4" t="s">
        <v>25</v>
      </c>
      <c r="G1287" s="4" t="s">
        <v>52</v>
      </c>
      <c r="H1287" s="4" t="s">
        <v>18</v>
      </c>
      <c r="I1287" s="4" t="s">
        <v>39</v>
      </c>
      <c r="J1287" s="3">
        <v>9</v>
      </c>
      <c r="K1287" s="6">
        <v>93987</v>
      </c>
      <c r="L1287" s="6">
        <f t="shared" si="60"/>
        <v>65790.899999999994</v>
      </c>
      <c r="M1287" s="6">
        <v>28196.100000000006</v>
      </c>
      <c r="N1287" s="5" t="str">
        <f t="shared" si="61"/>
        <v>May</v>
      </c>
      <c r="O1287" s="5" t="str">
        <f t="shared" si="62"/>
        <v xml:space="preserve"> 2024</v>
      </c>
    </row>
    <row r="1288" spans="1:15" x14ac:dyDescent="0.35">
      <c r="A1288" t="s">
        <v>1961</v>
      </c>
      <c r="B1288" s="5" t="s">
        <v>1076</v>
      </c>
      <c r="C1288" s="4" t="s">
        <v>22</v>
      </c>
      <c r="D1288" s="4" t="s">
        <v>86</v>
      </c>
      <c r="E1288" s="4" t="s">
        <v>87</v>
      </c>
      <c r="F1288" s="4" t="s">
        <v>67</v>
      </c>
      <c r="G1288" s="4" t="s">
        <v>180</v>
      </c>
      <c r="H1288" s="4" t="s">
        <v>27</v>
      </c>
      <c r="I1288" s="4" t="s">
        <v>28</v>
      </c>
      <c r="J1288" s="3">
        <v>1</v>
      </c>
      <c r="K1288" s="6">
        <v>44120</v>
      </c>
      <c r="L1288" s="6">
        <f t="shared" si="60"/>
        <v>30883.999999999996</v>
      </c>
      <c r="M1288" s="6">
        <v>13236.000000000004</v>
      </c>
      <c r="N1288" s="5" t="str">
        <f t="shared" si="61"/>
        <v>Jul</v>
      </c>
      <c r="O1288" s="5" t="str">
        <f t="shared" si="62"/>
        <v xml:space="preserve"> 2023</v>
      </c>
    </row>
    <row r="1289" spans="1:15" x14ac:dyDescent="0.35">
      <c r="A1289" t="s">
        <v>1962</v>
      </c>
      <c r="B1289" s="5" t="s">
        <v>304</v>
      </c>
      <c r="C1289" s="4" t="s">
        <v>31</v>
      </c>
      <c r="D1289" s="4" t="s">
        <v>45</v>
      </c>
      <c r="E1289" s="4" t="s">
        <v>46</v>
      </c>
      <c r="F1289" s="4" t="s">
        <v>37</v>
      </c>
      <c r="G1289" s="4" t="s">
        <v>186</v>
      </c>
      <c r="H1289" s="4" t="s">
        <v>72</v>
      </c>
      <c r="I1289" s="4" t="s">
        <v>19</v>
      </c>
      <c r="J1289" s="3">
        <v>7</v>
      </c>
      <c r="K1289" s="6">
        <v>51093</v>
      </c>
      <c r="L1289" s="6">
        <f t="shared" si="60"/>
        <v>35765.1</v>
      </c>
      <c r="M1289" s="6">
        <v>15327.900000000001</v>
      </c>
      <c r="N1289" s="5" t="str">
        <f t="shared" si="61"/>
        <v>Apr</v>
      </c>
      <c r="O1289" s="5" t="str">
        <f t="shared" si="62"/>
        <v xml:space="preserve"> 2023</v>
      </c>
    </row>
    <row r="1290" spans="1:15" x14ac:dyDescent="0.35">
      <c r="A1290" t="s">
        <v>1963</v>
      </c>
      <c r="B1290" s="5" t="s">
        <v>307</v>
      </c>
      <c r="C1290" s="4" t="s">
        <v>31</v>
      </c>
      <c r="D1290" s="4" t="s">
        <v>45</v>
      </c>
      <c r="E1290" s="4" t="s">
        <v>46</v>
      </c>
      <c r="F1290" s="4" t="s">
        <v>37</v>
      </c>
      <c r="G1290" s="4" t="s">
        <v>38</v>
      </c>
      <c r="H1290" s="4" t="s">
        <v>27</v>
      </c>
      <c r="I1290" s="4" t="s">
        <v>28</v>
      </c>
      <c r="J1290" s="3">
        <v>1</v>
      </c>
      <c r="K1290" s="6">
        <v>27163</v>
      </c>
      <c r="L1290" s="6">
        <f t="shared" si="60"/>
        <v>19014.099999999999</v>
      </c>
      <c r="M1290" s="6">
        <v>8148.9000000000015</v>
      </c>
      <c r="N1290" s="5" t="str">
        <f t="shared" si="61"/>
        <v>Oct</v>
      </c>
      <c r="O1290" s="5" t="str">
        <f t="shared" si="62"/>
        <v xml:space="preserve"> 2023</v>
      </c>
    </row>
    <row r="1291" spans="1:15" x14ac:dyDescent="0.35">
      <c r="A1291" t="s">
        <v>1964</v>
      </c>
      <c r="B1291" s="5" t="s">
        <v>115</v>
      </c>
      <c r="C1291" s="4" t="s">
        <v>55</v>
      </c>
      <c r="D1291" s="4" t="s">
        <v>56</v>
      </c>
      <c r="E1291" s="4" t="s">
        <v>57</v>
      </c>
      <c r="F1291" s="4" t="s">
        <v>37</v>
      </c>
      <c r="G1291" s="4" t="s">
        <v>148</v>
      </c>
      <c r="H1291" s="4" t="s">
        <v>72</v>
      </c>
      <c r="I1291" s="4" t="s">
        <v>39</v>
      </c>
      <c r="J1291" s="3">
        <v>3</v>
      </c>
      <c r="K1291" s="6">
        <v>119109</v>
      </c>
      <c r="L1291" s="6">
        <f t="shared" si="60"/>
        <v>83376.299999999988</v>
      </c>
      <c r="M1291" s="6">
        <v>35732.700000000012</v>
      </c>
      <c r="N1291" s="5" t="str">
        <f t="shared" si="61"/>
        <v>Jan</v>
      </c>
      <c r="O1291" s="5" t="str">
        <f t="shared" si="62"/>
        <v xml:space="preserve"> 2024</v>
      </c>
    </row>
    <row r="1292" spans="1:15" x14ac:dyDescent="0.35">
      <c r="A1292" t="s">
        <v>1965</v>
      </c>
      <c r="B1292" s="5" t="s">
        <v>800</v>
      </c>
      <c r="C1292" s="4" t="s">
        <v>55</v>
      </c>
      <c r="D1292" s="4" t="s">
        <v>56</v>
      </c>
      <c r="E1292" s="4" t="s">
        <v>57</v>
      </c>
      <c r="F1292" s="4" t="s">
        <v>16</v>
      </c>
      <c r="G1292" s="4" t="s">
        <v>42</v>
      </c>
      <c r="H1292" s="4" t="s">
        <v>18</v>
      </c>
      <c r="I1292" s="4" t="s">
        <v>60</v>
      </c>
      <c r="J1292" s="3">
        <v>7</v>
      </c>
      <c r="K1292" s="6">
        <v>237587</v>
      </c>
      <c r="L1292" s="6">
        <f t="shared" si="60"/>
        <v>166310.9</v>
      </c>
      <c r="M1292" s="6">
        <v>71276.100000000006</v>
      </c>
      <c r="N1292" s="5" t="str">
        <f t="shared" si="61"/>
        <v>Dec</v>
      </c>
      <c r="O1292" s="5" t="str">
        <f t="shared" si="62"/>
        <v xml:space="preserve"> 2023</v>
      </c>
    </row>
    <row r="1293" spans="1:15" x14ac:dyDescent="0.35">
      <c r="A1293" t="s">
        <v>1966</v>
      </c>
      <c r="B1293" s="5" t="s">
        <v>660</v>
      </c>
      <c r="C1293" s="4" t="s">
        <v>55</v>
      </c>
      <c r="D1293" s="4" t="s">
        <v>82</v>
      </c>
      <c r="E1293" s="4" t="s">
        <v>83</v>
      </c>
      <c r="F1293" s="4" t="s">
        <v>25</v>
      </c>
      <c r="G1293" s="4" t="s">
        <v>77</v>
      </c>
      <c r="H1293" s="4" t="s">
        <v>18</v>
      </c>
      <c r="I1293" s="4" t="s">
        <v>39</v>
      </c>
      <c r="J1293" s="3">
        <v>9</v>
      </c>
      <c r="K1293" s="6">
        <v>301644</v>
      </c>
      <c r="L1293" s="6">
        <f t="shared" si="60"/>
        <v>211150.8</v>
      </c>
      <c r="M1293" s="6">
        <v>90493.200000000012</v>
      </c>
      <c r="N1293" s="5" t="str">
        <f t="shared" si="61"/>
        <v>Aug</v>
      </c>
      <c r="O1293" s="5" t="str">
        <f t="shared" si="62"/>
        <v xml:space="preserve"> 2024</v>
      </c>
    </row>
    <row r="1294" spans="1:15" x14ac:dyDescent="0.35">
      <c r="A1294" t="s">
        <v>1967</v>
      </c>
      <c r="B1294" s="5" t="s">
        <v>329</v>
      </c>
      <c r="C1294" s="4" t="s">
        <v>22</v>
      </c>
      <c r="D1294" s="4" t="s">
        <v>86</v>
      </c>
      <c r="E1294" s="4" t="s">
        <v>87</v>
      </c>
      <c r="F1294" s="4" t="s">
        <v>37</v>
      </c>
      <c r="G1294" s="4" t="s">
        <v>186</v>
      </c>
      <c r="H1294" s="4" t="s">
        <v>18</v>
      </c>
      <c r="I1294" s="4" t="s">
        <v>28</v>
      </c>
      <c r="J1294" s="3">
        <v>10</v>
      </c>
      <c r="K1294" s="6">
        <v>463210</v>
      </c>
      <c r="L1294" s="6">
        <f t="shared" si="60"/>
        <v>324247</v>
      </c>
      <c r="M1294" s="6">
        <v>138963</v>
      </c>
      <c r="N1294" s="5" t="str">
        <f t="shared" si="61"/>
        <v>Sep</v>
      </c>
      <c r="O1294" s="5" t="str">
        <f t="shared" si="62"/>
        <v xml:space="preserve"> 2024</v>
      </c>
    </row>
    <row r="1295" spans="1:15" x14ac:dyDescent="0.35">
      <c r="A1295" t="s">
        <v>1968</v>
      </c>
      <c r="B1295" s="5" t="s">
        <v>461</v>
      </c>
      <c r="C1295" s="4" t="s">
        <v>22</v>
      </c>
      <c r="D1295" s="4" t="s">
        <v>90</v>
      </c>
      <c r="E1295" s="4" t="s">
        <v>110</v>
      </c>
      <c r="F1295" s="4" t="s">
        <v>16</v>
      </c>
      <c r="G1295" s="4" t="s">
        <v>42</v>
      </c>
      <c r="H1295" s="4" t="s">
        <v>72</v>
      </c>
      <c r="I1295" s="4" t="s">
        <v>28</v>
      </c>
      <c r="J1295" s="3">
        <v>3</v>
      </c>
      <c r="K1295" s="6">
        <v>48477</v>
      </c>
      <c r="L1295" s="6">
        <f t="shared" si="60"/>
        <v>33933.9</v>
      </c>
      <c r="M1295" s="6">
        <v>14543.099999999999</v>
      </c>
      <c r="N1295" s="5" t="str">
        <f t="shared" si="61"/>
        <v>Jul</v>
      </c>
      <c r="O1295" s="5" t="str">
        <f t="shared" si="62"/>
        <v xml:space="preserve"> 2023</v>
      </c>
    </row>
    <row r="1296" spans="1:15" x14ac:dyDescent="0.35">
      <c r="A1296" t="s">
        <v>1969</v>
      </c>
      <c r="B1296" s="5" t="s">
        <v>658</v>
      </c>
      <c r="C1296" s="4" t="s">
        <v>31</v>
      </c>
      <c r="D1296" s="4" t="s">
        <v>45</v>
      </c>
      <c r="E1296" s="4" t="s">
        <v>46</v>
      </c>
      <c r="F1296" s="4" t="s">
        <v>67</v>
      </c>
      <c r="G1296" s="4" t="s">
        <v>180</v>
      </c>
      <c r="H1296" s="4" t="s">
        <v>27</v>
      </c>
      <c r="I1296" s="4" t="s">
        <v>39</v>
      </c>
      <c r="J1296" s="3">
        <v>5</v>
      </c>
      <c r="K1296" s="6">
        <v>173385</v>
      </c>
      <c r="L1296" s="6">
        <f t="shared" si="60"/>
        <v>121369.49999999999</v>
      </c>
      <c r="M1296" s="6">
        <v>52015.500000000015</v>
      </c>
      <c r="N1296" s="5" t="str">
        <f t="shared" si="61"/>
        <v>Jan</v>
      </c>
      <c r="O1296" s="5" t="str">
        <f t="shared" si="62"/>
        <v xml:space="preserve"> 2023</v>
      </c>
    </row>
    <row r="1297" spans="1:15" x14ac:dyDescent="0.35">
      <c r="A1297" t="s">
        <v>1970</v>
      </c>
      <c r="B1297" s="5" t="s">
        <v>514</v>
      </c>
      <c r="C1297" s="4" t="s">
        <v>13</v>
      </c>
      <c r="D1297" s="4" t="s">
        <v>118</v>
      </c>
      <c r="E1297" s="4" t="s">
        <v>119</v>
      </c>
      <c r="F1297" s="4" t="s">
        <v>37</v>
      </c>
      <c r="G1297" s="4" t="s">
        <v>148</v>
      </c>
      <c r="H1297" s="4" t="s">
        <v>72</v>
      </c>
      <c r="I1297" s="4" t="s">
        <v>19</v>
      </c>
      <c r="J1297" s="3">
        <v>8</v>
      </c>
      <c r="K1297" s="6">
        <v>262816</v>
      </c>
      <c r="L1297" s="6">
        <f t="shared" si="60"/>
        <v>183971.19999999998</v>
      </c>
      <c r="M1297" s="6">
        <v>78844.800000000017</v>
      </c>
      <c r="N1297" s="5" t="str">
        <f t="shared" si="61"/>
        <v>Nov</v>
      </c>
      <c r="O1297" s="5" t="str">
        <f t="shared" si="62"/>
        <v xml:space="preserve"> 2023</v>
      </c>
    </row>
    <row r="1298" spans="1:15" x14ac:dyDescent="0.35">
      <c r="A1298" t="s">
        <v>1971</v>
      </c>
      <c r="B1298" s="5" t="s">
        <v>1972</v>
      </c>
      <c r="C1298" s="4" t="s">
        <v>31</v>
      </c>
      <c r="D1298" s="4" t="s">
        <v>50</v>
      </c>
      <c r="E1298" s="4" t="s">
        <v>51</v>
      </c>
      <c r="F1298" s="4" t="s">
        <v>16</v>
      </c>
      <c r="G1298" s="4" t="s">
        <v>17</v>
      </c>
      <c r="H1298" s="4" t="s">
        <v>27</v>
      </c>
      <c r="I1298" s="4" t="s">
        <v>28</v>
      </c>
      <c r="J1298" s="3">
        <v>2</v>
      </c>
      <c r="K1298" s="6">
        <v>33590</v>
      </c>
      <c r="L1298" s="6">
        <f t="shared" si="60"/>
        <v>23513</v>
      </c>
      <c r="M1298" s="6">
        <v>10077</v>
      </c>
      <c r="N1298" s="5" t="str">
        <f t="shared" si="61"/>
        <v>Oct</v>
      </c>
      <c r="O1298" s="5" t="str">
        <f t="shared" si="62"/>
        <v xml:space="preserve"> 2023</v>
      </c>
    </row>
    <row r="1299" spans="1:15" x14ac:dyDescent="0.35">
      <c r="A1299" t="s">
        <v>1973</v>
      </c>
      <c r="B1299" s="5" t="s">
        <v>1537</v>
      </c>
      <c r="C1299" s="4" t="s">
        <v>55</v>
      </c>
      <c r="D1299" s="4" t="s">
        <v>82</v>
      </c>
      <c r="E1299" s="4" t="s">
        <v>83</v>
      </c>
      <c r="F1299" s="4" t="s">
        <v>37</v>
      </c>
      <c r="G1299" s="4" t="s">
        <v>148</v>
      </c>
      <c r="H1299" s="4" t="s">
        <v>18</v>
      </c>
      <c r="I1299" s="4" t="s">
        <v>60</v>
      </c>
      <c r="J1299" s="3">
        <v>4</v>
      </c>
      <c r="K1299" s="6">
        <v>53596</v>
      </c>
      <c r="L1299" s="6">
        <f t="shared" si="60"/>
        <v>37517.199999999997</v>
      </c>
      <c r="M1299" s="6">
        <v>16078.800000000003</v>
      </c>
      <c r="N1299" s="5" t="str">
        <f t="shared" si="61"/>
        <v>Jan</v>
      </c>
      <c r="O1299" s="5" t="str">
        <f t="shared" si="62"/>
        <v xml:space="preserve"> 2024</v>
      </c>
    </row>
    <row r="1300" spans="1:15" x14ac:dyDescent="0.35">
      <c r="A1300" t="s">
        <v>1974</v>
      </c>
      <c r="B1300" s="5" t="s">
        <v>333</v>
      </c>
      <c r="C1300" s="4" t="s">
        <v>31</v>
      </c>
      <c r="D1300" s="4" t="s">
        <v>50</v>
      </c>
      <c r="E1300" s="4" t="s">
        <v>51</v>
      </c>
      <c r="F1300" s="4" t="s">
        <v>25</v>
      </c>
      <c r="G1300" s="4" t="s">
        <v>71</v>
      </c>
      <c r="H1300" s="4" t="s">
        <v>18</v>
      </c>
      <c r="I1300" s="4" t="s">
        <v>47</v>
      </c>
      <c r="J1300" s="3">
        <v>4</v>
      </c>
      <c r="K1300" s="6">
        <v>82808</v>
      </c>
      <c r="L1300" s="6">
        <f t="shared" si="60"/>
        <v>57965.599999999999</v>
      </c>
      <c r="M1300" s="6">
        <v>24842.400000000001</v>
      </c>
      <c r="N1300" s="5" t="str">
        <f t="shared" si="61"/>
        <v>Jul</v>
      </c>
      <c r="O1300" s="5" t="str">
        <f t="shared" si="62"/>
        <v xml:space="preserve"> 2023</v>
      </c>
    </row>
    <row r="1301" spans="1:15" x14ac:dyDescent="0.35">
      <c r="A1301" t="s">
        <v>1975</v>
      </c>
      <c r="B1301" s="5" t="s">
        <v>971</v>
      </c>
      <c r="C1301" s="4" t="s">
        <v>31</v>
      </c>
      <c r="D1301" s="4" t="s">
        <v>50</v>
      </c>
      <c r="E1301" s="4" t="s">
        <v>51</v>
      </c>
      <c r="F1301" s="4" t="s">
        <v>37</v>
      </c>
      <c r="G1301" s="4" t="s">
        <v>183</v>
      </c>
      <c r="H1301" s="4" t="s">
        <v>18</v>
      </c>
      <c r="I1301" s="4" t="s">
        <v>47</v>
      </c>
      <c r="J1301" s="3">
        <v>3</v>
      </c>
      <c r="K1301" s="6">
        <v>72201</v>
      </c>
      <c r="L1301" s="6">
        <f t="shared" si="60"/>
        <v>50540.7</v>
      </c>
      <c r="M1301" s="6">
        <v>21660.300000000003</v>
      </c>
      <c r="N1301" s="5" t="str">
        <f t="shared" si="61"/>
        <v>May</v>
      </c>
      <c r="O1301" s="5" t="str">
        <f t="shared" si="62"/>
        <v xml:space="preserve"> 2023</v>
      </c>
    </row>
    <row r="1302" spans="1:15" x14ac:dyDescent="0.35">
      <c r="A1302" t="s">
        <v>1976</v>
      </c>
      <c r="B1302" s="5" t="s">
        <v>318</v>
      </c>
      <c r="C1302" s="4" t="s">
        <v>55</v>
      </c>
      <c r="D1302" s="4" t="s">
        <v>56</v>
      </c>
      <c r="E1302" s="4" t="s">
        <v>57</v>
      </c>
      <c r="F1302" s="4" t="s">
        <v>67</v>
      </c>
      <c r="G1302" s="4" t="s">
        <v>68</v>
      </c>
      <c r="H1302" s="4" t="s">
        <v>18</v>
      </c>
      <c r="I1302" s="4" t="s">
        <v>28</v>
      </c>
      <c r="J1302" s="3">
        <v>5</v>
      </c>
      <c r="K1302" s="6">
        <v>185765</v>
      </c>
      <c r="L1302" s="6">
        <f t="shared" si="60"/>
        <v>130035.49999999999</v>
      </c>
      <c r="M1302" s="6">
        <v>55729.500000000015</v>
      </c>
      <c r="N1302" s="5" t="str">
        <f t="shared" si="61"/>
        <v>Jun</v>
      </c>
      <c r="O1302" s="5" t="str">
        <f t="shared" si="62"/>
        <v xml:space="preserve"> 2024</v>
      </c>
    </row>
    <row r="1303" spans="1:15" x14ac:dyDescent="0.35">
      <c r="A1303" t="s">
        <v>1977</v>
      </c>
      <c r="B1303" s="5" t="s">
        <v>1587</v>
      </c>
      <c r="C1303" s="4" t="s">
        <v>13</v>
      </c>
      <c r="D1303" s="4" t="s">
        <v>162</v>
      </c>
      <c r="E1303" s="4" t="s">
        <v>163</v>
      </c>
      <c r="F1303" s="4" t="s">
        <v>37</v>
      </c>
      <c r="G1303" s="4" t="s">
        <v>186</v>
      </c>
      <c r="H1303" s="4" t="s">
        <v>27</v>
      </c>
      <c r="I1303" s="4" t="s">
        <v>28</v>
      </c>
      <c r="J1303" s="3">
        <v>8</v>
      </c>
      <c r="K1303" s="6">
        <v>248064</v>
      </c>
      <c r="L1303" s="6">
        <f t="shared" si="60"/>
        <v>173644.79999999999</v>
      </c>
      <c r="M1303" s="6">
        <v>74419.200000000012</v>
      </c>
      <c r="N1303" s="5" t="str">
        <f t="shared" si="61"/>
        <v>Nov</v>
      </c>
      <c r="O1303" s="5" t="str">
        <f t="shared" si="62"/>
        <v xml:space="preserve"> 2023</v>
      </c>
    </row>
    <row r="1304" spans="1:15" x14ac:dyDescent="0.35">
      <c r="A1304" t="s">
        <v>1978</v>
      </c>
      <c r="B1304" s="5" t="s">
        <v>138</v>
      </c>
      <c r="C1304" s="4" t="s">
        <v>55</v>
      </c>
      <c r="D1304" s="4" t="s">
        <v>82</v>
      </c>
      <c r="E1304" s="4" t="s">
        <v>83</v>
      </c>
      <c r="F1304" s="4" t="s">
        <v>37</v>
      </c>
      <c r="G1304" s="4" t="s">
        <v>38</v>
      </c>
      <c r="H1304" s="4" t="s">
        <v>27</v>
      </c>
      <c r="I1304" s="4" t="s">
        <v>60</v>
      </c>
      <c r="J1304" s="3">
        <v>6</v>
      </c>
      <c r="K1304" s="6">
        <v>19350</v>
      </c>
      <c r="L1304" s="6">
        <f t="shared" si="60"/>
        <v>13545</v>
      </c>
      <c r="M1304" s="6">
        <v>5805</v>
      </c>
      <c r="N1304" s="5" t="str">
        <f t="shared" si="61"/>
        <v>Nov</v>
      </c>
      <c r="O1304" s="5" t="str">
        <f t="shared" si="62"/>
        <v xml:space="preserve"> 2024</v>
      </c>
    </row>
    <row r="1305" spans="1:15" x14ac:dyDescent="0.35">
      <c r="A1305" t="s">
        <v>1979</v>
      </c>
      <c r="B1305" s="5" t="s">
        <v>154</v>
      </c>
      <c r="C1305" s="4" t="s">
        <v>55</v>
      </c>
      <c r="D1305" s="4" t="s">
        <v>63</v>
      </c>
      <c r="E1305" s="4" t="s">
        <v>64</v>
      </c>
      <c r="F1305" s="4" t="s">
        <v>37</v>
      </c>
      <c r="G1305" s="4" t="s">
        <v>186</v>
      </c>
      <c r="H1305" s="4" t="s">
        <v>27</v>
      </c>
      <c r="I1305" s="4" t="s">
        <v>60</v>
      </c>
      <c r="J1305" s="3">
        <v>9</v>
      </c>
      <c r="K1305" s="6">
        <v>163872</v>
      </c>
      <c r="L1305" s="6">
        <f t="shared" si="60"/>
        <v>114710.39999999999</v>
      </c>
      <c r="M1305" s="6">
        <v>49161.600000000006</v>
      </c>
      <c r="N1305" s="5" t="str">
        <f t="shared" si="61"/>
        <v>Jul</v>
      </c>
      <c r="O1305" s="5" t="str">
        <f t="shared" si="62"/>
        <v xml:space="preserve"> 2024</v>
      </c>
    </row>
    <row r="1306" spans="1:15" x14ac:dyDescent="0.35">
      <c r="A1306" t="s">
        <v>1980</v>
      </c>
      <c r="B1306" s="5" t="s">
        <v>451</v>
      </c>
      <c r="C1306" s="4" t="s">
        <v>55</v>
      </c>
      <c r="D1306" s="4" t="s">
        <v>56</v>
      </c>
      <c r="E1306" s="4" t="s">
        <v>57</v>
      </c>
      <c r="F1306" s="4" t="s">
        <v>67</v>
      </c>
      <c r="G1306" s="4" t="s">
        <v>113</v>
      </c>
      <c r="H1306" s="4" t="s">
        <v>27</v>
      </c>
      <c r="I1306" s="4" t="s">
        <v>60</v>
      </c>
      <c r="J1306" s="3">
        <v>4</v>
      </c>
      <c r="K1306" s="6">
        <v>14940</v>
      </c>
      <c r="L1306" s="6">
        <f t="shared" si="60"/>
        <v>10458</v>
      </c>
      <c r="M1306" s="6">
        <v>4482</v>
      </c>
      <c r="N1306" s="5" t="str">
        <f t="shared" si="61"/>
        <v>Feb</v>
      </c>
      <c r="O1306" s="5" t="str">
        <f t="shared" si="62"/>
        <v xml:space="preserve"> 2024</v>
      </c>
    </row>
    <row r="1307" spans="1:15" x14ac:dyDescent="0.35">
      <c r="A1307" t="s">
        <v>1981</v>
      </c>
      <c r="B1307" s="5" t="s">
        <v>1551</v>
      </c>
      <c r="C1307" s="4" t="s">
        <v>13</v>
      </c>
      <c r="D1307" s="4" t="s">
        <v>125</v>
      </c>
      <c r="E1307" s="4" t="s">
        <v>126</v>
      </c>
      <c r="F1307" s="4" t="s">
        <v>16</v>
      </c>
      <c r="G1307" s="4" t="s">
        <v>17</v>
      </c>
      <c r="H1307" s="4" t="s">
        <v>72</v>
      </c>
      <c r="I1307" s="4" t="s">
        <v>47</v>
      </c>
      <c r="J1307" s="3">
        <v>7</v>
      </c>
      <c r="K1307" s="6">
        <v>247184</v>
      </c>
      <c r="L1307" s="6">
        <f t="shared" si="60"/>
        <v>173028.8</v>
      </c>
      <c r="M1307" s="6">
        <v>74155.200000000012</v>
      </c>
      <c r="N1307" s="5" t="str">
        <f t="shared" si="61"/>
        <v>Dec</v>
      </c>
      <c r="O1307" s="5" t="str">
        <f t="shared" si="62"/>
        <v xml:space="preserve"> 2023</v>
      </c>
    </row>
    <row r="1308" spans="1:15" x14ac:dyDescent="0.35">
      <c r="A1308" t="s">
        <v>1982</v>
      </c>
      <c r="B1308" s="5" t="s">
        <v>1880</v>
      </c>
      <c r="C1308" s="4" t="s">
        <v>13</v>
      </c>
      <c r="D1308" s="4" t="s">
        <v>14</v>
      </c>
      <c r="E1308" s="4" t="s">
        <v>15</v>
      </c>
      <c r="F1308" s="4" t="s">
        <v>37</v>
      </c>
      <c r="G1308" s="4" t="s">
        <v>38</v>
      </c>
      <c r="H1308" s="4" t="s">
        <v>72</v>
      </c>
      <c r="I1308" s="4" t="s">
        <v>28</v>
      </c>
      <c r="J1308" s="3">
        <v>4</v>
      </c>
      <c r="K1308" s="6">
        <v>36432</v>
      </c>
      <c r="L1308" s="6">
        <f t="shared" si="60"/>
        <v>25502.399999999998</v>
      </c>
      <c r="M1308" s="6">
        <v>10929.600000000002</v>
      </c>
      <c r="N1308" s="5" t="str">
        <f t="shared" si="61"/>
        <v>Oct</v>
      </c>
      <c r="O1308" s="5" t="str">
        <f t="shared" si="62"/>
        <v xml:space="preserve"> 2023</v>
      </c>
    </row>
    <row r="1309" spans="1:15" x14ac:dyDescent="0.35">
      <c r="A1309" t="s">
        <v>1983</v>
      </c>
      <c r="B1309" s="5" t="s">
        <v>441</v>
      </c>
      <c r="C1309" s="4" t="s">
        <v>13</v>
      </c>
      <c r="D1309" s="4" t="s">
        <v>14</v>
      </c>
      <c r="E1309" s="4" t="s">
        <v>15</v>
      </c>
      <c r="F1309" s="4" t="s">
        <v>67</v>
      </c>
      <c r="G1309" s="4" t="s">
        <v>134</v>
      </c>
      <c r="H1309" s="4" t="s">
        <v>27</v>
      </c>
      <c r="I1309" s="4" t="s">
        <v>19</v>
      </c>
      <c r="J1309" s="3">
        <v>3</v>
      </c>
      <c r="K1309" s="6">
        <v>88647</v>
      </c>
      <c r="L1309" s="6">
        <f t="shared" si="60"/>
        <v>62052.899999999994</v>
      </c>
      <c r="M1309" s="6">
        <v>26594.100000000006</v>
      </c>
      <c r="N1309" s="5" t="str">
        <f t="shared" si="61"/>
        <v>Mar</v>
      </c>
      <c r="O1309" s="5" t="str">
        <f t="shared" si="62"/>
        <v xml:space="preserve"> 2024</v>
      </c>
    </row>
    <row r="1310" spans="1:15" x14ac:dyDescent="0.35">
      <c r="A1310" t="s">
        <v>1984</v>
      </c>
      <c r="B1310" s="5" t="s">
        <v>946</v>
      </c>
      <c r="C1310" s="4" t="s">
        <v>22</v>
      </c>
      <c r="D1310" s="4" t="s">
        <v>90</v>
      </c>
      <c r="E1310" s="4" t="s">
        <v>91</v>
      </c>
      <c r="F1310" s="4" t="s">
        <v>25</v>
      </c>
      <c r="G1310" s="4" t="s">
        <v>26</v>
      </c>
      <c r="H1310" s="4" t="s">
        <v>18</v>
      </c>
      <c r="I1310" s="4" t="s">
        <v>60</v>
      </c>
      <c r="J1310" s="3">
        <v>4</v>
      </c>
      <c r="K1310" s="6">
        <v>86960</v>
      </c>
      <c r="L1310" s="6">
        <f t="shared" si="60"/>
        <v>60871.999999999993</v>
      </c>
      <c r="M1310" s="6">
        <v>26088.000000000007</v>
      </c>
      <c r="N1310" s="5" t="str">
        <f t="shared" si="61"/>
        <v>Jan</v>
      </c>
      <c r="O1310" s="5" t="str">
        <f t="shared" si="62"/>
        <v xml:space="preserve"> 2023</v>
      </c>
    </row>
    <row r="1311" spans="1:15" x14ac:dyDescent="0.35">
      <c r="A1311" t="s">
        <v>1985</v>
      </c>
      <c r="B1311" s="5" t="s">
        <v>535</v>
      </c>
      <c r="C1311" s="4" t="s">
        <v>22</v>
      </c>
      <c r="D1311" s="4" t="s">
        <v>86</v>
      </c>
      <c r="E1311" s="4" t="s">
        <v>87</v>
      </c>
      <c r="F1311" s="4" t="s">
        <v>67</v>
      </c>
      <c r="G1311" s="4" t="s">
        <v>180</v>
      </c>
      <c r="H1311" s="4" t="s">
        <v>18</v>
      </c>
      <c r="I1311" s="4" t="s">
        <v>60</v>
      </c>
      <c r="J1311" s="3">
        <v>8</v>
      </c>
      <c r="K1311" s="6">
        <v>386416</v>
      </c>
      <c r="L1311" s="6">
        <f t="shared" si="60"/>
        <v>270491.2</v>
      </c>
      <c r="M1311" s="6">
        <v>115924.79999999999</v>
      </c>
      <c r="N1311" s="5" t="str">
        <f t="shared" si="61"/>
        <v>Sep</v>
      </c>
      <c r="O1311" s="5" t="str">
        <f t="shared" si="62"/>
        <v xml:space="preserve"> 2023</v>
      </c>
    </row>
    <row r="1312" spans="1:15" x14ac:dyDescent="0.35">
      <c r="A1312" t="s">
        <v>1986</v>
      </c>
      <c r="B1312" s="5" t="s">
        <v>1745</v>
      </c>
      <c r="C1312" s="4" t="s">
        <v>55</v>
      </c>
      <c r="D1312" s="4" t="s">
        <v>82</v>
      </c>
      <c r="E1312" s="4" t="s">
        <v>83</v>
      </c>
      <c r="F1312" s="4" t="s">
        <v>25</v>
      </c>
      <c r="G1312" s="4" t="s">
        <v>26</v>
      </c>
      <c r="H1312" s="4" t="s">
        <v>27</v>
      </c>
      <c r="I1312" s="4" t="s">
        <v>47</v>
      </c>
      <c r="J1312" s="3">
        <v>10</v>
      </c>
      <c r="K1312" s="6">
        <v>408430</v>
      </c>
      <c r="L1312" s="6">
        <f t="shared" si="60"/>
        <v>285901</v>
      </c>
      <c r="M1312" s="6">
        <v>122529</v>
      </c>
      <c r="N1312" s="5" t="str">
        <f t="shared" si="61"/>
        <v>Nov</v>
      </c>
      <c r="O1312" s="5" t="str">
        <f t="shared" si="62"/>
        <v xml:space="preserve"> 2024</v>
      </c>
    </row>
    <row r="1313" spans="1:15" x14ac:dyDescent="0.35">
      <c r="A1313" t="s">
        <v>1987</v>
      </c>
      <c r="B1313" s="5" t="s">
        <v>1988</v>
      </c>
      <c r="C1313" s="4" t="s">
        <v>31</v>
      </c>
      <c r="D1313" s="4" t="s">
        <v>45</v>
      </c>
      <c r="E1313" s="4" t="s">
        <v>46</v>
      </c>
      <c r="F1313" s="4" t="s">
        <v>16</v>
      </c>
      <c r="G1313" s="4" t="s">
        <v>17</v>
      </c>
      <c r="H1313" s="4" t="s">
        <v>18</v>
      </c>
      <c r="I1313" s="4" t="s">
        <v>28</v>
      </c>
      <c r="J1313" s="3">
        <v>3</v>
      </c>
      <c r="K1313" s="6">
        <v>129396</v>
      </c>
      <c r="L1313" s="6">
        <f t="shared" si="60"/>
        <v>90577.2</v>
      </c>
      <c r="M1313" s="6">
        <v>38818.800000000003</v>
      </c>
      <c r="N1313" s="5" t="str">
        <f t="shared" si="61"/>
        <v>Sep</v>
      </c>
      <c r="O1313" s="5" t="str">
        <f t="shared" si="62"/>
        <v xml:space="preserve"> 2024</v>
      </c>
    </row>
    <row r="1314" spans="1:15" x14ac:dyDescent="0.35">
      <c r="A1314" t="s">
        <v>1989</v>
      </c>
      <c r="B1314" s="5" t="s">
        <v>1417</v>
      </c>
      <c r="C1314" s="4" t="s">
        <v>22</v>
      </c>
      <c r="D1314" s="4" t="s">
        <v>23</v>
      </c>
      <c r="E1314" s="4" t="s">
        <v>24</v>
      </c>
      <c r="F1314" s="4" t="s">
        <v>25</v>
      </c>
      <c r="G1314" s="4" t="s">
        <v>71</v>
      </c>
      <c r="H1314" s="4" t="s">
        <v>72</v>
      </c>
      <c r="I1314" s="4" t="s">
        <v>39</v>
      </c>
      <c r="J1314" s="3">
        <v>5</v>
      </c>
      <c r="K1314" s="6">
        <v>42900</v>
      </c>
      <c r="L1314" s="6">
        <f t="shared" si="60"/>
        <v>30029.999999999996</v>
      </c>
      <c r="M1314" s="6">
        <v>12870.000000000004</v>
      </c>
      <c r="N1314" s="5" t="str">
        <f t="shared" si="61"/>
        <v>Jul</v>
      </c>
      <c r="O1314" s="5" t="str">
        <f t="shared" si="62"/>
        <v xml:space="preserve"> 2023</v>
      </c>
    </row>
    <row r="1315" spans="1:15" x14ac:dyDescent="0.35">
      <c r="A1315" t="s">
        <v>1990</v>
      </c>
      <c r="B1315" s="5" t="s">
        <v>915</v>
      </c>
      <c r="C1315" s="4" t="s">
        <v>55</v>
      </c>
      <c r="D1315" s="4" t="s">
        <v>63</v>
      </c>
      <c r="E1315" s="4" t="s">
        <v>64</v>
      </c>
      <c r="F1315" s="4" t="s">
        <v>25</v>
      </c>
      <c r="G1315" s="4" t="s">
        <v>71</v>
      </c>
      <c r="H1315" s="4" t="s">
        <v>72</v>
      </c>
      <c r="I1315" s="4" t="s">
        <v>47</v>
      </c>
      <c r="J1315" s="3">
        <v>1</v>
      </c>
      <c r="K1315" s="6">
        <v>30589</v>
      </c>
      <c r="L1315" s="6">
        <f t="shared" si="60"/>
        <v>21412.3</v>
      </c>
      <c r="M1315" s="6">
        <v>9176.7000000000007</v>
      </c>
      <c r="N1315" s="5" t="str">
        <f t="shared" si="61"/>
        <v>Jul</v>
      </c>
      <c r="O1315" s="5" t="str">
        <f t="shared" si="62"/>
        <v xml:space="preserve"> 2024</v>
      </c>
    </row>
    <row r="1316" spans="1:15" x14ac:dyDescent="0.35">
      <c r="A1316" t="s">
        <v>1991</v>
      </c>
      <c r="B1316" s="5" t="s">
        <v>70</v>
      </c>
      <c r="C1316" s="4" t="s">
        <v>55</v>
      </c>
      <c r="D1316" s="4" t="s">
        <v>56</v>
      </c>
      <c r="E1316" s="4" t="s">
        <v>57</v>
      </c>
      <c r="F1316" s="4" t="s">
        <v>37</v>
      </c>
      <c r="G1316" s="4" t="s">
        <v>38</v>
      </c>
      <c r="H1316" s="4" t="s">
        <v>72</v>
      </c>
      <c r="I1316" s="4" t="s">
        <v>60</v>
      </c>
      <c r="J1316" s="3">
        <v>10</v>
      </c>
      <c r="K1316" s="6">
        <v>11130</v>
      </c>
      <c r="L1316" s="6">
        <f t="shared" si="60"/>
        <v>7790.9999999999991</v>
      </c>
      <c r="M1316" s="6">
        <v>3339.0000000000009</v>
      </c>
      <c r="N1316" s="5" t="str">
        <f t="shared" si="61"/>
        <v>Jul</v>
      </c>
      <c r="O1316" s="5" t="str">
        <f t="shared" si="62"/>
        <v xml:space="preserve"> 2023</v>
      </c>
    </row>
    <row r="1317" spans="1:15" x14ac:dyDescent="0.35">
      <c r="A1317" t="s">
        <v>1992</v>
      </c>
      <c r="B1317" s="5" t="s">
        <v>612</v>
      </c>
      <c r="C1317" s="4" t="s">
        <v>55</v>
      </c>
      <c r="D1317" s="4" t="s">
        <v>56</v>
      </c>
      <c r="E1317" s="4" t="s">
        <v>57</v>
      </c>
      <c r="F1317" s="4" t="s">
        <v>16</v>
      </c>
      <c r="G1317" s="4" t="s">
        <v>17</v>
      </c>
      <c r="H1317" s="4" t="s">
        <v>27</v>
      </c>
      <c r="I1317" s="4" t="s">
        <v>60</v>
      </c>
      <c r="J1317" s="3">
        <v>2</v>
      </c>
      <c r="K1317" s="6">
        <v>97176</v>
      </c>
      <c r="L1317" s="6">
        <f t="shared" si="60"/>
        <v>68023.199999999997</v>
      </c>
      <c r="M1317" s="6">
        <v>29152.800000000003</v>
      </c>
      <c r="N1317" s="5" t="str">
        <f t="shared" si="61"/>
        <v>Oct</v>
      </c>
      <c r="O1317" s="5" t="str">
        <f t="shared" si="62"/>
        <v xml:space="preserve"> 2024</v>
      </c>
    </row>
    <row r="1318" spans="1:15" x14ac:dyDescent="0.35">
      <c r="A1318" t="s">
        <v>1993</v>
      </c>
      <c r="B1318" s="5" t="s">
        <v>1658</v>
      </c>
      <c r="C1318" s="4" t="s">
        <v>31</v>
      </c>
      <c r="D1318" s="4" t="s">
        <v>32</v>
      </c>
      <c r="E1318" s="4" t="s">
        <v>33</v>
      </c>
      <c r="F1318" s="4" t="s">
        <v>67</v>
      </c>
      <c r="G1318" s="4" t="s">
        <v>134</v>
      </c>
      <c r="H1318" s="4" t="s">
        <v>18</v>
      </c>
      <c r="I1318" s="4" t="s">
        <v>60</v>
      </c>
      <c r="J1318" s="3">
        <v>6</v>
      </c>
      <c r="K1318" s="6">
        <v>89436</v>
      </c>
      <c r="L1318" s="6">
        <f t="shared" si="60"/>
        <v>62605.2</v>
      </c>
      <c r="M1318" s="6">
        <v>26830.800000000003</v>
      </c>
      <c r="N1318" s="5" t="str">
        <f t="shared" si="61"/>
        <v>Oct</v>
      </c>
      <c r="O1318" s="5" t="str">
        <f t="shared" si="62"/>
        <v xml:space="preserve"> 2023</v>
      </c>
    </row>
    <row r="1319" spans="1:15" x14ac:dyDescent="0.35">
      <c r="A1319" t="s">
        <v>1994</v>
      </c>
      <c r="B1319" s="5" t="s">
        <v>1742</v>
      </c>
      <c r="C1319" s="4" t="s">
        <v>31</v>
      </c>
      <c r="D1319" s="4" t="s">
        <v>32</v>
      </c>
      <c r="E1319" s="4" t="s">
        <v>33</v>
      </c>
      <c r="F1319" s="4" t="s">
        <v>16</v>
      </c>
      <c r="G1319" s="4" t="s">
        <v>122</v>
      </c>
      <c r="H1319" s="4" t="s">
        <v>72</v>
      </c>
      <c r="I1319" s="4" t="s">
        <v>39</v>
      </c>
      <c r="J1319" s="3">
        <v>7</v>
      </c>
      <c r="K1319" s="6">
        <v>318507</v>
      </c>
      <c r="L1319" s="6">
        <f t="shared" si="60"/>
        <v>222954.9</v>
      </c>
      <c r="M1319" s="6">
        <v>95552.1</v>
      </c>
      <c r="N1319" s="5" t="str">
        <f t="shared" si="61"/>
        <v>Oct</v>
      </c>
      <c r="O1319" s="5" t="str">
        <f t="shared" si="62"/>
        <v xml:space="preserve"> 2023</v>
      </c>
    </row>
    <row r="1320" spans="1:15" x14ac:dyDescent="0.35">
      <c r="A1320" t="s">
        <v>1995</v>
      </c>
      <c r="B1320" s="5" t="s">
        <v>1996</v>
      </c>
      <c r="C1320" s="4" t="s">
        <v>31</v>
      </c>
      <c r="D1320" s="4" t="s">
        <v>50</v>
      </c>
      <c r="E1320" s="4" t="s">
        <v>51</v>
      </c>
      <c r="F1320" s="4" t="s">
        <v>16</v>
      </c>
      <c r="G1320" s="4" t="s">
        <v>122</v>
      </c>
      <c r="H1320" s="4" t="s">
        <v>72</v>
      </c>
      <c r="I1320" s="4" t="s">
        <v>39</v>
      </c>
      <c r="J1320" s="3">
        <v>5</v>
      </c>
      <c r="K1320" s="6">
        <v>149160</v>
      </c>
      <c r="L1320" s="6">
        <f t="shared" si="60"/>
        <v>104412</v>
      </c>
      <c r="M1320" s="6">
        <v>44748</v>
      </c>
      <c r="N1320" s="5" t="str">
        <f t="shared" si="61"/>
        <v>Jul</v>
      </c>
      <c r="O1320" s="5" t="str">
        <f t="shared" si="62"/>
        <v xml:space="preserve"> 2024</v>
      </c>
    </row>
    <row r="1321" spans="1:15" x14ac:dyDescent="0.35">
      <c r="A1321" t="s">
        <v>1997</v>
      </c>
      <c r="B1321" s="5" t="s">
        <v>512</v>
      </c>
      <c r="C1321" s="4" t="s">
        <v>55</v>
      </c>
      <c r="D1321" s="4" t="s">
        <v>56</v>
      </c>
      <c r="E1321" s="4" t="s">
        <v>57</v>
      </c>
      <c r="F1321" s="4" t="s">
        <v>16</v>
      </c>
      <c r="G1321" s="4" t="s">
        <v>122</v>
      </c>
      <c r="H1321" s="4" t="s">
        <v>18</v>
      </c>
      <c r="I1321" s="4" t="s">
        <v>28</v>
      </c>
      <c r="J1321" s="3">
        <v>5</v>
      </c>
      <c r="K1321" s="6">
        <v>134045</v>
      </c>
      <c r="L1321" s="6">
        <f t="shared" si="60"/>
        <v>93831.5</v>
      </c>
      <c r="M1321" s="6">
        <v>40213.5</v>
      </c>
      <c r="N1321" s="5" t="str">
        <f t="shared" si="61"/>
        <v>May</v>
      </c>
      <c r="O1321" s="5" t="str">
        <f t="shared" si="62"/>
        <v xml:space="preserve"> 2024</v>
      </c>
    </row>
    <row r="1322" spans="1:15" x14ac:dyDescent="0.35">
      <c r="A1322" t="s">
        <v>1998</v>
      </c>
      <c r="B1322" s="5" t="s">
        <v>131</v>
      </c>
      <c r="C1322" s="4" t="s">
        <v>13</v>
      </c>
      <c r="D1322" s="4" t="s">
        <v>118</v>
      </c>
      <c r="E1322" s="4" t="s">
        <v>119</v>
      </c>
      <c r="F1322" s="4" t="s">
        <v>25</v>
      </c>
      <c r="G1322" s="4" t="s">
        <v>77</v>
      </c>
      <c r="H1322" s="4" t="s">
        <v>72</v>
      </c>
      <c r="I1322" s="4" t="s">
        <v>19</v>
      </c>
      <c r="J1322" s="3">
        <v>1</v>
      </c>
      <c r="K1322" s="6">
        <v>46766</v>
      </c>
      <c r="L1322" s="6">
        <f t="shared" si="60"/>
        <v>32736.199999999997</v>
      </c>
      <c r="M1322" s="6">
        <v>14029.800000000003</v>
      </c>
      <c r="N1322" s="5" t="str">
        <f t="shared" si="61"/>
        <v>Feb</v>
      </c>
      <c r="O1322" s="5" t="str">
        <f t="shared" si="62"/>
        <v xml:space="preserve"> 2023</v>
      </c>
    </row>
    <row r="1323" spans="1:15" x14ac:dyDescent="0.35">
      <c r="A1323" t="s">
        <v>1999</v>
      </c>
      <c r="B1323" s="5" t="s">
        <v>1387</v>
      </c>
      <c r="C1323" s="4" t="s">
        <v>31</v>
      </c>
      <c r="D1323" s="4" t="s">
        <v>104</v>
      </c>
      <c r="E1323" s="4" t="s">
        <v>105</v>
      </c>
      <c r="F1323" s="4" t="s">
        <v>25</v>
      </c>
      <c r="G1323" s="4" t="s">
        <v>71</v>
      </c>
      <c r="H1323" s="4" t="s">
        <v>72</v>
      </c>
      <c r="I1323" s="4" t="s">
        <v>19</v>
      </c>
      <c r="J1323" s="3">
        <v>5</v>
      </c>
      <c r="K1323" s="6">
        <v>77945</v>
      </c>
      <c r="L1323" s="6">
        <f t="shared" si="60"/>
        <v>54561.5</v>
      </c>
      <c r="M1323" s="6">
        <v>23383.5</v>
      </c>
      <c r="N1323" s="5" t="str">
        <f t="shared" si="61"/>
        <v>Jun</v>
      </c>
      <c r="O1323" s="5" t="str">
        <f t="shared" si="62"/>
        <v xml:space="preserve"> 2023</v>
      </c>
    </row>
    <row r="1324" spans="1:15" x14ac:dyDescent="0.35">
      <c r="A1324" t="s">
        <v>2000</v>
      </c>
      <c r="B1324" s="5" t="s">
        <v>211</v>
      </c>
      <c r="C1324" s="4" t="s">
        <v>31</v>
      </c>
      <c r="D1324" s="4" t="s">
        <v>32</v>
      </c>
      <c r="E1324" s="4" t="s">
        <v>33</v>
      </c>
      <c r="F1324" s="4" t="s">
        <v>25</v>
      </c>
      <c r="G1324" s="4" t="s">
        <v>71</v>
      </c>
      <c r="H1324" s="4" t="s">
        <v>27</v>
      </c>
      <c r="I1324" s="4" t="s">
        <v>19</v>
      </c>
      <c r="J1324" s="3">
        <v>9</v>
      </c>
      <c r="K1324" s="6">
        <v>55845</v>
      </c>
      <c r="L1324" s="6">
        <f t="shared" si="60"/>
        <v>39091.5</v>
      </c>
      <c r="M1324" s="6">
        <v>16753.5</v>
      </c>
      <c r="N1324" s="5" t="str">
        <f t="shared" si="61"/>
        <v>Apr</v>
      </c>
      <c r="O1324" s="5" t="str">
        <f t="shared" si="62"/>
        <v xml:space="preserve"> 2024</v>
      </c>
    </row>
    <row r="1325" spans="1:15" x14ac:dyDescent="0.35">
      <c r="A1325" t="s">
        <v>2001</v>
      </c>
      <c r="B1325" s="5" t="s">
        <v>1738</v>
      </c>
      <c r="C1325" s="4" t="s">
        <v>13</v>
      </c>
      <c r="D1325" s="4" t="s">
        <v>162</v>
      </c>
      <c r="E1325" s="4" t="s">
        <v>163</v>
      </c>
      <c r="F1325" s="4" t="s">
        <v>37</v>
      </c>
      <c r="G1325" s="4" t="s">
        <v>148</v>
      </c>
      <c r="H1325" s="4" t="s">
        <v>18</v>
      </c>
      <c r="I1325" s="4" t="s">
        <v>47</v>
      </c>
      <c r="J1325" s="3">
        <v>10</v>
      </c>
      <c r="K1325" s="6">
        <v>116070</v>
      </c>
      <c r="L1325" s="6">
        <f t="shared" si="60"/>
        <v>81249</v>
      </c>
      <c r="M1325" s="6">
        <v>34821</v>
      </c>
      <c r="N1325" s="5" t="str">
        <f t="shared" si="61"/>
        <v>Jan</v>
      </c>
      <c r="O1325" s="5" t="str">
        <f t="shared" si="62"/>
        <v xml:space="preserve"> 2023</v>
      </c>
    </row>
    <row r="1326" spans="1:15" x14ac:dyDescent="0.35">
      <c r="A1326" t="s">
        <v>2002</v>
      </c>
      <c r="B1326" s="5" t="s">
        <v>182</v>
      </c>
      <c r="C1326" s="4" t="s">
        <v>22</v>
      </c>
      <c r="D1326" s="4" t="s">
        <v>86</v>
      </c>
      <c r="E1326" s="4" t="s">
        <v>87</v>
      </c>
      <c r="F1326" s="4" t="s">
        <v>67</v>
      </c>
      <c r="G1326" s="4" t="s">
        <v>68</v>
      </c>
      <c r="H1326" s="4" t="s">
        <v>72</v>
      </c>
      <c r="I1326" s="4" t="s">
        <v>39</v>
      </c>
      <c r="J1326" s="3">
        <v>7</v>
      </c>
      <c r="K1326" s="6">
        <v>160286</v>
      </c>
      <c r="L1326" s="6">
        <f t="shared" si="60"/>
        <v>112200.2</v>
      </c>
      <c r="M1326" s="6">
        <v>48085.8</v>
      </c>
      <c r="N1326" s="5" t="str">
        <f t="shared" si="61"/>
        <v>Apr</v>
      </c>
      <c r="O1326" s="5" t="str">
        <f t="shared" si="62"/>
        <v xml:space="preserve"> 2023</v>
      </c>
    </row>
    <row r="1327" spans="1:15" x14ac:dyDescent="0.35">
      <c r="A1327" t="s">
        <v>2003</v>
      </c>
      <c r="B1327" s="5" t="s">
        <v>115</v>
      </c>
      <c r="C1327" s="4" t="s">
        <v>13</v>
      </c>
      <c r="D1327" s="4" t="s">
        <v>125</v>
      </c>
      <c r="E1327" s="4" t="s">
        <v>126</v>
      </c>
      <c r="F1327" s="4" t="s">
        <v>16</v>
      </c>
      <c r="G1327" s="4" t="s">
        <v>34</v>
      </c>
      <c r="H1327" s="4" t="s">
        <v>27</v>
      </c>
      <c r="I1327" s="4" t="s">
        <v>47</v>
      </c>
      <c r="J1327" s="3">
        <v>6</v>
      </c>
      <c r="K1327" s="6">
        <v>223848</v>
      </c>
      <c r="L1327" s="6">
        <f t="shared" si="60"/>
        <v>156693.59999999998</v>
      </c>
      <c r="M1327" s="6">
        <v>67154.400000000023</v>
      </c>
      <c r="N1327" s="5" t="str">
        <f t="shared" si="61"/>
        <v>Jan</v>
      </c>
      <c r="O1327" s="5" t="str">
        <f t="shared" si="62"/>
        <v xml:space="preserve"> 2024</v>
      </c>
    </row>
    <row r="1328" spans="1:15" x14ac:dyDescent="0.35">
      <c r="A1328" t="s">
        <v>2004</v>
      </c>
      <c r="B1328" s="5" t="s">
        <v>546</v>
      </c>
      <c r="C1328" s="4" t="s">
        <v>55</v>
      </c>
      <c r="D1328" s="4" t="s">
        <v>56</v>
      </c>
      <c r="E1328" s="4" t="s">
        <v>57</v>
      </c>
      <c r="F1328" s="4" t="s">
        <v>16</v>
      </c>
      <c r="G1328" s="4" t="s">
        <v>17</v>
      </c>
      <c r="H1328" s="4" t="s">
        <v>18</v>
      </c>
      <c r="I1328" s="4" t="s">
        <v>39</v>
      </c>
      <c r="J1328" s="3">
        <v>7</v>
      </c>
      <c r="K1328" s="6">
        <v>245973</v>
      </c>
      <c r="L1328" s="6">
        <f t="shared" si="60"/>
        <v>172181.09999999998</v>
      </c>
      <c r="M1328" s="6">
        <v>73791.900000000023</v>
      </c>
      <c r="N1328" s="5" t="str">
        <f t="shared" si="61"/>
        <v>Feb</v>
      </c>
      <c r="O1328" s="5" t="str">
        <f t="shared" si="62"/>
        <v xml:space="preserve"> 2023</v>
      </c>
    </row>
    <row r="1329" spans="1:15" x14ac:dyDescent="0.35">
      <c r="A1329" t="s">
        <v>2005</v>
      </c>
      <c r="B1329" s="5" t="s">
        <v>469</v>
      </c>
      <c r="C1329" s="4" t="s">
        <v>31</v>
      </c>
      <c r="D1329" s="4" t="s">
        <v>45</v>
      </c>
      <c r="E1329" s="4" t="s">
        <v>46</v>
      </c>
      <c r="F1329" s="4" t="s">
        <v>25</v>
      </c>
      <c r="G1329" s="4" t="s">
        <v>77</v>
      </c>
      <c r="H1329" s="4" t="s">
        <v>27</v>
      </c>
      <c r="I1329" s="4" t="s">
        <v>39</v>
      </c>
      <c r="J1329" s="3">
        <v>4</v>
      </c>
      <c r="K1329" s="6">
        <v>12516</v>
      </c>
      <c r="L1329" s="6">
        <f t="shared" si="60"/>
        <v>8761.1999999999989</v>
      </c>
      <c r="M1329" s="6">
        <v>3754.8000000000011</v>
      </c>
      <c r="N1329" s="5" t="str">
        <f t="shared" si="61"/>
        <v>Mar</v>
      </c>
      <c r="O1329" s="5" t="str">
        <f t="shared" si="62"/>
        <v xml:space="preserve"> 2024</v>
      </c>
    </row>
    <row r="1330" spans="1:15" x14ac:dyDescent="0.35">
      <c r="A1330" t="s">
        <v>2006</v>
      </c>
      <c r="B1330" s="5" t="s">
        <v>433</v>
      </c>
      <c r="C1330" s="4" t="s">
        <v>55</v>
      </c>
      <c r="D1330" s="4" t="s">
        <v>63</v>
      </c>
      <c r="E1330" s="4" t="s">
        <v>64</v>
      </c>
      <c r="F1330" s="4" t="s">
        <v>16</v>
      </c>
      <c r="G1330" s="4" t="s">
        <v>122</v>
      </c>
      <c r="H1330" s="4" t="s">
        <v>27</v>
      </c>
      <c r="I1330" s="4" t="s">
        <v>47</v>
      </c>
      <c r="J1330" s="3">
        <v>2</v>
      </c>
      <c r="K1330" s="6">
        <v>34166</v>
      </c>
      <c r="L1330" s="6">
        <f t="shared" si="60"/>
        <v>23916.199999999997</v>
      </c>
      <c r="M1330" s="6">
        <v>10249.800000000003</v>
      </c>
      <c r="N1330" s="5" t="str">
        <f t="shared" si="61"/>
        <v>Oct</v>
      </c>
      <c r="O1330" s="5" t="str">
        <f t="shared" si="62"/>
        <v xml:space="preserve"> 2024</v>
      </c>
    </row>
    <row r="1331" spans="1:15" x14ac:dyDescent="0.35">
      <c r="A1331" t="s">
        <v>2007</v>
      </c>
      <c r="B1331" s="5" t="s">
        <v>1206</v>
      </c>
      <c r="C1331" s="4" t="s">
        <v>13</v>
      </c>
      <c r="D1331" s="4" t="s">
        <v>125</v>
      </c>
      <c r="E1331" s="4" t="s">
        <v>126</v>
      </c>
      <c r="F1331" s="4" t="s">
        <v>37</v>
      </c>
      <c r="G1331" s="4" t="s">
        <v>148</v>
      </c>
      <c r="H1331" s="4" t="s">
        <v>18</v>
      </c>
      <c r="I1331" s="4" t="s">
        <v>19</v>
      </c>
      <c r="J1331" s="3">
        <v>4</v>
      </c>
      <c r="K1331" s="6">
        <v>116316</v>
      </c>
      <c r="L1331" s="6">
        <f t="shared" si="60"/>
        <v>81421.2</v>
      </c>
      <c r="M1331" s="6">
        <v>34894.800000000003</v>
      </c>
      <c r="N1331" s="5" t="str">
        <f t="shared" si="61"/>
        <v>Feb</v>
      </c>
      <c r="O1331" s="5" t="str">
        <f t="shared" si="62"/>
        <v xml:space="preserve"> 2024</v>
      </c>
    </row>
    <row r="1332" spans="1:15" x14ac:dyDescent="0.35">
      <c r="A1332" t="s">
        <v>2008</v>
      </c>
      <c r="B1332" s="5" t="s">
        <v>721</v>
      </c>
      <c r="C1332" s="4" t="s">
        <v>22</v>
      </c>
      <c r="D1332" s="4" t="s">
        <v>90</v>
      </c>
      <c r="E1332" s="4" t="s">
        <v>91</v>
      </c>
      <c r="F1332" s="4" t="s">
        <v>25</v>
      </c>
      <c r="G1332" s="4" t="s">
        <v>71</v>
      </c>
      <c r="H1332" s="4" t="s">
        <v>18</v>
      </c>
      <c r="I1332" s="4" t="s">
        <v>60</v>
      </c>
      <c r="J1332" s="3">
        <v>8</v>
      </c>
      <c r="K1332" s="6">
        <v>45912</v>
      </c>
      <c r="L1332" s="6">
        <f t="shared" si="60"/>
        <v>32138.399999999998</v>
      </c>
      <c r="M1332" s="6">
        <v>13773.600000000002</v>
      </c>
      <c r="N1332" s="5" t="str">
        <f t="shared" si="61"/>
        <v>May</v>
      </c>
      <c r="O1332" s="5" t="str">
        <f t="shared" si="62"/>
        <v xml:space="preserve"> 2023</v>
      </c>
    </row>
    <row r="1333" spans="1:15" x14ac:dyDescent="0.35">
      <c r="A1333" t="s">
        <v>2009</v>
      </c>
      <c r="B1333" s="5" t="s">
        <v>489</v>
      </c>
      <c r="C1333" s="4" t="s">
        <v>55</v>
      </c>
      <c r="D1333" s="4" t="s">
        <v>82</v>
      </c>
      <c r="E1333" s="4" t="s">
        <v>83</v>
      </c>
      <c r="F1333" s="4" t="s">
        <v>16</v>
      </c>
      <c r="G1333" s="4" t="s">
        <v>34</v>
      </c>
      <c r="H1333" s="4" t="s">
        <v>27</v>
      </c>
      <c r="I1333" s="4" t="s">
        <v>47</v>
      </c>
      <c r="J1333" s="3">
        <v>4</v>
      </c>
      <c r="K1333" s="6">
        <v>61140</v>
      </c>
      <c r="L1333" s="6">
        <f t="shared" si="60"/>
        <v>42798</v>
      </c>
      <c r="M1333" s="6">
        <v>18342</v>
      </c>
      <c r="N1333" s="5" t="str">
        <f t="shared" si="61"/>
        <v>Feb</v>
      </c>
      <c r="O1333" s="5" t="str">
        <f t="shared" si="62"/>
        <v xml:space="preserve"> 2024</v>
      </c>
    </row>
    <row r="1334" spans="1:15" x14ac:dyDescent="0.35">
      <c r="A1334" t="s">
        <v>2010</v>
      </c>
      <c r="B1334" s="5" t="s">
        <v>2011</v>
      </c>
      <c r="C1334" s="4" t="s">
        <v>31</v>
      </c>
      <c r="D1334" s="4" t="s">
        <v>50</v>
      </c>
      <c r="E1334" s="4" t="s">
        <v>51</v>
      </c>
      <c r="F1334" s="4" t="s">
        <v>67</v>
      </c>
      <c r="G1334" s="4" t="s">
        <v>68</v>
      </c>
      <c r="H1334" s="4" t="s">
        <v>72</v>
      </c>
      <c r="I1334" s="4" t="s">
        <v>28</v>
      </c>
      <c r="J1334" s="3">
        <v>3</v>
      </c>
      <c r="K1334" s="6">
        <v>86994</v>
      </c>
      <c r="L1334" s="6">
        <f t="shared" si="60"/>
        <v>60895.799999999996</v>
      </c>
      <c r="M1334" s="6">
        <v>26098.200000000004</v>
      </c>
      <c r="N1334" s="5" t="str">
        <f t="shared" si="61"/>
        <v>Apr</v>
      </c>
      <c r="O1334" s="5" t="str">
        <f t="shared" si="62"/>
        <v xml:space="preserve"> 2024</v>
      </c>
    </row>
    <row r="1335" spans="1:15" x14ac:dyDescent="0.35">
      <c r="A1335" t="s">
        <v>2012</v>
      </c>
      <c r="B1335" s="5" t="s">
        <v>1373</v>
      </c>
      <c r="C1335" s="4" t="s">
        <v>31</v>
      </c>
      <c r="D1335" s="4" t="s">
        <v>32</v>
      </c>
      <c r="E1335" s="4" t="s">
        <v>33</v>
      </c>
      <c r="F1335" s="4" t="s">
        <v>16</v>
      </c>
      <c r="G1335" s="4" t="s">
        <v>17</v>
      </c>
      <c r="H1335" s="4" t="s">
        <v>72</v>
      </c>
      <c r="I1335" s="4" t="s">
        <v>60</v>
      </c>
      <c r="J1335" s="3">
        <v>7</v>
      </c>
      <c r="K1335" s="6">
        <v>99876</v>
      </c>
      <c r="L1335" s="6">
        <f t="shared" si="60"/>
        <v>69913.2</v>
      </c>
      <c r="M1335" s="6">
        <v>29962.800000000003</v>
      </c>
      <c r="N1335" s="5" t="str">
        <f t="shared" si="61"/>
        <v>Dec</v>
      </c>
      <c r="O1335" s="5" t="str">
        <f t="shared" si="62"/>
        <v xml:space="preserve"> 2023</v>
      </c>
    </row>
    <row r="1336" spans="1:15" x14ac:dyDescent="0.35">
      <c r="A1336" t="s">
        <v>2013</v>
      </c>
      <c r="B1336" s="5" t="s">
        <v>275</v>
      </c>
      <c r="C1336" s="4" t="s">
        <v>31</v>
      </c>
      <c r="D1336" s="4" t="s">
        <v>104</v>
      </c>
      <c r="E1336" s="4" t="s">
        <v>105</v>
      </c>
      <c r="F1336" s="4" t="s">
        <v>16</v>
      </c>
      <c r="G1336" s="4" t="s">
        <v>42</v>
      </c>
      <c r="H1336" s="4" t="s">
        <v>27</v>
      </c>
      <c r="I1336" s="4" t="s">
        <v>19</v>
      </c>
      <c r="J1336" s="3">
        <v>10</v>
      </c>
      <c r="K1336" s="6">
        <v>197620</v>
      </c>
      <c r="L1336" s="6">
        <f t="shared" si="60"/>
        <v>138334</v>
      </c>
      <c r="M1336" s="6">
        <v>59286</v>
      </c>
      <c r="N1336" s="5" t="str">
        <f t="shared" si="61"/>
        <v>Jan</v>
      </c>
      <c r="O1336" s="5" t="str">
        <f t="shared" si="62"/>
        <v xml:space="preserve"> 2024</v>
      </c>
    </row>
    <row r="1337" spans="1:15" x14ac:dyDescent="0.35">
      <c r="A1337" t="s">
        <v>2014</v>
      </c>
      <c r="B1337" s="5" t="s">
        <v>489</v>
      </c>
      <c r="C1337" s="4" t="s">
        <v>22</v>
      </c>
      <c r="D1337" s="4" t="s">
        <v>90</v>
      </c>
      <c r="E1337" s="4" t="s">
        <v>110</v>
      </c>
      <c r="F1337" s="4" t="s">
        <v>16</v>
      </c>
      <c r="G1337" s="4" t="s">
        <v>34</v>
      </c>
      <c r="H1337" s="4" t="s">
        <v>27</v>
      </c>
      <c r="I1337" s="4" t="s">
        <v>39</v>
      </c>
      <c r="J1337" s="3">
        <v>10</v>
      </c>
      <c r="K1337" s="6">
        <v>45260</v>
      </c>
      <c r="L1337" s="6">
        <f t="shared" si="60"/>
        <v>31681.999999999996</v>
      </c>
      <c r="M1337" s="6">
        <v>13578.000000000004</v>
      </c>
      <c r="N1337" s="5" t="str">
        <f t="shared" si="61"/>
        <v>Feb</v>
      </c>
      <c r="O1337" s="5" t="str">
        <f t="shared" si="62"/>
        <v xml:space="preserve"> 2024</v>
      </c>
    </row>
    <row r="1338" spans="1:15" x14ac:dyDescent="0.35">
      <c r="A1338" t="s">
        <v>2015</v>
      </c>
      <c r="B1338" s="5" t="s">
        <v>251</v>
      </c>
      <c r="C1338" s="4" t="s">
        <v>31</v>
      </c>
      <c r="D1338" s="4" t="s">
        <v>32</v>
      </c>
      <c r="E1338" s="4" t="s">
        <v>33</v>
      </c>
      <c r="F1338" s="4" t="s">
        <v>25</v>
      </c>
      <c r="G1338" s="4" t="s">
        <v>71</v>
      </c>
      <c r="H1338" s="4" t="s">
        <v>18</v>
      </c>
      <c r="I1338" s="4" t="s">
        <v>19</v>
      </c>
      <c r="J1338" s="3">
        <v>10</v>
      </c>
      <c r="K1338" s="6">
        <v>432400</v>
      </c>
      <c r="L1338" s="6">
        <f t="shared" si="60"/>
        <v>302680</v>
      </c>
      <c r="M1338" s="6">
        <v>129720</v>
      </c>
      <c r="N1338" s="5" t="str">
        <f t="shared" si="61"/>
        <v>Sep</v>
      </c>
      <c r="O1338" s="5" t="str">
        <f t="shared" si="62"/>
        <v xml:space="preserve"> 2024</v>
      </c>
    </row>
    <row r="1339" spans="1:15" x14ac:dyDescent="0.35">
      <c r="A1339" t="s">
        <v>2016</v>
      </c>
      <c r="B1339" s="5" t="s">
        <v>461</v>
      </c>
      <c r="C1339" s="4" t="s">
        <v>55</v>
      </c>
      <c r="D1339" s="4" t="s">
        <v>98</v>
      </c>
      <c r="E1339" s="4" t="s">
        <v>99</v>
      </c>
      <c r="F1339" s="4" t="s">
        <v>16</v>
      </c>
      <c r="G1339" s="4" t="s">
        <v>42</v>
      </c>
      <c r="H1339" s="4" t="s">
        <v>18</v>
      </c>
      <c r="I1339" s="4" t="s">
        <v>47</v>
      </c>
      <c r="J1339" s="3">
        <v>7</v>
      </c>
      <c r="K1339" s="6">
        <v>40880</v>
      </c>
      <c r="L1339" s="6">
        <f t="shared" si="60"/>
        <v>28616</v>
      </c>
      <c r="M1339" s="6">
        <v>12264</v>
      </c>
      <c r="N1339" s="5" t="str">
        <f t="shared" si="61"/>
        <v>Jul</v>
      </c>
      <c r="O1339" s="5" t="str">
        <f t="shared" si="62"/>
        <v xml:space="preserve"> 2023</v>
      </c>
    </row>
    <row r="1340" spans="1:15" x14ac:dyDescent="0.35">
      <c r="A1340" t="s">
        <v>2017</v>
      </c>
      <c r="B1340" s="5" t="s">
        <v>1556</v>
      </c>
      <c r="C1340" s="4" t="s">
        <v>55</v>
      </c>
      <c r="D1340" s="4" t="s">
        <v>82</v>
      </c>
      <c r="E1340" s="4" t="s">
        <v>83</v>
      </c>
      <c r="F1340" s="4" t="s">
        <v>16</v>
      </c>
      <c r="G1340" s="4" t="s">
        <v>17</v>
      </c>
      <c r="H1340" s="4" t="s">
        <v>72</v>
      </c>
      <c r="I1340" s="4" t="s">
        <v>19</v>
      </c>
      <c r="J1340" s="3">
        <v>10</v>
      </c>
      <c r="K1340" s="6">
        <v>468320</v>
      </c>
      <c r="L1340" s="6">
        <f t="shared" si="60"/>
        <v>327824</v>
      </c>
      <c r="M1340" s="6">
        <v>140496</v>
      </c>
      <c r="N1340" s="5" t="str">
        <f t="shared" si="61"/>
        <v>Jun</v>
      </c>
      <c r="O1340" s="5" t="str">
        <f t="shared" si="62"/>
        <v xml:space="preserve"> 2023</v>
      </c>
    </row>
    <row r="1341" spans="1:15" x14ac:dyDescent="0.35">
      <c r="A1341" t="s">
        <v>2018</v>
      </c>
      <c r="B1341" s="5" t="s">
        <v>374</v>
      </c>
      <c r="C1341" s="4" t="s">
        <v>13</v>
      </c>
      <c r="D1341" s="4" t="s">
        <v>162</v>
      </c>
      <c r="E1341" s="4" t="s">
        <v>163</v>
      </c>
      <c r="F1341" s="4" t="s">
        <v>16</v>
      </c>
      <c r="G1341" s="4" t="s">
        <v>34</v>
      </c>
      <c r="H1341" s="4" t="s">
        <v>72</v>
      </c>
      <c r="I1341" s="4" t="s">
        <v>60</v>
      </c>
      <c r="J1341" s="3">
        <v>3</v>
      </c>
      <c r="K1341" s="6">
        <v>102936</v>
      </c>
      <c r="L1341" s="6">
        <f t="shared" si="60"/>
        <v>72055.199999999997</v>
      </c>
      <c r="M1341" s="6">
        <v>30880.800000000003</v>
      </c>
      <c r="N1341" s="5" t="str">
        <f t="shared" si="61"/>
        <v>Apr</v>
      </c>
      <c r="O1341" s="5" t="str">
        <f t="shared" si="62"/>
        <v xml:space="preserve"> 2024</v>
      </c>
    </row>
    <row r="1342" spans="1:15" x14ac:dyDescent="0.35">
      <c r="A1342" t="s">
        <v>2019</v>
      </c>
      <c r="B1342" s="5" t="s">
        <v>570</v>
      </c>
      <c r="C1342" s="4" t="s">
        <v>55</v>
      </c>
      <c r="D1342" s="4" t="s">
        <v>98</v>
      </c>
      <c r="E1342" s="4" t="s">
        <v>99</v>
      </c>
      <c r="F1342" s="4" t="s">
        <v>67</v>
      </c>
      <c r="G1342" s="4" t="s">
        <v>134</v>
      </c>
      <c r="H1342" s="4" t="s">
        <v>72</v>
      </c>
      <c r="I1342" s="4" t="s">
        <v>39</v>
      </c>
      <c r="J1342" s="3">
        <v>7</v>
      </c>
      <c r="K1342" s="6">
        <v>143339</v>
      </c>
      <c r="L1342" s="6">
        <f t="shared" si="60"/>
        <v>100337.29999999999</v>
      </c>
      <c r="M1342" s="6">
        <v>43001.700000000012</v>
      </c>
      <c r="N1342" s="5" t="str">
        <f t="shared" si="61"/>
        <v>Nov</v>
      </c>
      <c r="O1342" s="5" t="str">
        <f t="shared" si="62"/>
        <v xml:space="preserve"> 2024</v>
      </c>
    </row>
    <row r="1343" spans="1:15" x14ac:dyDescent="0.35">
      <c r="A1343" t="s">
        <v>2020</v>
      </c>
      <c r="B1343" s="5" t="s">
        <v>1167</v>
      </c>
      <c r="C1343" s="4" t="s">
        <v>22</v>
      </c>
      <c r="D1343" s="4" t="s">
        <v>86</v>
      </c>
      <c r="E1343" s="4" t="s">
        <v>87</v>
      </c>
      <c r="F1343" s="4" t="s">
        <v>16</v>
      </c>
      <c r="G1343" s="4" t="s">
        <v>17</v>
      </c>
      <c r="H1343" s="4" t="s">
        <v>18</v>
      </c>
      <c r="I1343" s="4" t="s">
        <v>28</v>
      </c>
      <c r="J1343" s="3">
        <v>2</v>
      </c>
      <c r="K1343" s="6">
        <v>13836</v>
      </c>
      <c r="L1343" s="6">
        <f t="shared" si="60"/>
        <v>9685.1999999999989</v>
      </c>
      <c r="M1343" s="6">
        <v>4150.8000000000011</v>
      </c>
      <c r="N1343" s="5" t="str">
        <f t="shared" si="61"/>
        <v>Feb</v>
      </c>
      <c r="O1343" s="5" t="str">
        <f t="shared" si="62"/>
        <v xml:space="preserve"> 2023</v>
      </c>
    </row>
    <row r="1344" spans="1:15" x14ac:dyDescent="0.35">
      <c r="A1344" t="s">
        <v>2021</v>
      </c>
      <c r="B1344" s="5" t="s">
        <v>1587</v>
      </c>
      <c r="C1344" s="4" t="s">
        <v>31</v>
      </c>
      <c r="D1344" s="4" t="s">
        <v>104</v>
      </c>
      <c r="E1344" s="4" t="s">
        <v>105</v>
      </c>
      <c r="F1344" s="4" t="s">
        <v>16</v>
      </c>
      <c r="G1344" s="4" t="s">
        <v>42</v>
      </c>
      <c r="H1344" s="4" t="s">
        <v>18</v>
      </c>
      <c r="I1344" s="4" t="s">
        <v>47</v>
      </c>
      <c r="J1344" s="3">
        <v>8</v>
      </c>
      <c r="K1344" s="6">
        <v>287192</v>
      </c>
      <c r="L1344" s="6">
        <f t="shared" si="60"/>
        <v>201034.4</v>
      </c>
      <c r="M1344" s="6">
        <v>86157.6</v>
      </c>
      <c r="N1344" s="5" t="str">
        <f t="shared" si="61"/>
        <v>Nov</v>
      </c>
      <c r="O1344" s="5" t="str">
        <f t="shared" si="62"/>
        <v xml:space="preserve"> 2023</v>
      </c>
    </row>
    <row r="1345" spans="1:15" x14ac:dyDescent="0.35">
      <c r="A1345" t="s">
        <v>2022</v>
      </c>
      <c r="B1345" s="5" t="s">
        <v>2023</v>
      </c>
      <c r="C1345" s="4" t="s">
        <v>13</v>
      </c>
      <c r="D1345" s="4" t="s">
        <v>14</v>
      </c>
      <c r="E1345" s="4" t="s">
        <v>15</v>
      </c>
      <c r="F1345" s="4" t="s">
        <v>16</v>
      </c>
      <c r="G1345" s="4" t="s">
        <v>122</v>
      </c>
      <c r="H1345" s="4" t="s">
        <v>27</v>
      </c>
      <c r="I1345" s="4" t="s">
        <v>19</v>
      </c>
      <c r="J1345" s="3">
        <v>2</v>
      </c>
      <c r="K1345" s="6">
        <v>50820</v>
      </c>
      <c r="L1345" s="6">
        <f t="shared" si="60"/>
        <v>35574</v>
      </c>
      <c r="M1345" s="6">
        <v>15246</v>
      </c>
      <c r="N1345" s="5" t="str">
        <f t="shared" si="61"/>
        <v>Dec</v>
      </c>
      <c r="O1345" s="5" t="str">
        <f t="shared" si="62"/>
        <v xml:space="preserve"> 2023</v>
      </c>
    </row>
    <row r="1346" spans="1:15" x14ac:dyDescent="0.35">
      <c r="A1346" t="s">
        <v>2024</v>
      </c>
      <c r="B1346" s="5" t="s">
        <v>1747</v>
      </c>
      <c r="C1346" s="4" t="s">
        <v>13</v>
      </c>
      <c r="D1346" s="4" t="s">
        <v>14</v>
      </c>
      <c r="E1346" s="4" t="s">
        <v>15</v>
      </c>
      <c r="F1346" s="4" t="s">
        <v>16</v>
      </c>
      <c r="G1346" s="4" t="s">
        <v>17</v>
      </c>
      <c r="H1346" s="4" t="s">
        <v>72</v>
      </c>
      <c r="I1346" s="4" t="s">
        <v>28</v>
      </c>
      <c r="J1346" s="3">
        <v>5</v>
      </c>
      <c r="K1346" s="6">
        <v>71630</v>
      </c>
      <c r="L1346" s="6">
        <f t="shared" ref="L1346:L1409" si="63">K1346*0.7</f>
        <v>50141</v>
      </c>
      <c r="M1346" s="6">
        <v>21489</v>
      </c>
      <c r="N1346" s="5" t="str">
        <f t="shared" ref="N1346:N1409" si="64">TEXT(B1346,"mmm")</f>
        <v>Oct</v>
      </c>
      <c r="O1346" s="5" t="str">
        <f t="shared" ref="O1346:O1409" si="65">TEXT(B1346," yyyy")</f>
        <v xml:space="preserve"> 2023</v>
      </c>
    </row>
    <row r="1347" spans="1:15" x14ac:dyDescent="0.35">
      <c r="A1347" t="s">
        <v>2025</v>
      </c>
      <c r="B1347" s="5" t="s">
        <v>236</v>
      </c>
      <c r="C1347" s="4" t="s">
        <v>22</v>
      </c>
      <c r="D1347" s="4" t="s">
        <v>23</v>
      </c>
      <c r="E1347" s="4" t="s">
        <v>24</v>
      </c>
      <c r="F1347" s="4" t="s">
        <v>25</v>
      </c>
      <c r="G1347" s="4" t="s">
        <v>52</v>
      </c>
      <c r="H1347" s="4" t="s">
        <v>27</v>
      </c>
      <c r="I1347" s="4" t="s">
        <v>19</v>
      </c>
      <c r="J1347" s="3">
        <v>6</v>
      </c>
      <c r="K1347" s="6">
        <v>250620</v>
      </c>
      <c r="L1347" s="6">
        <f t="shared" si="63"/>
        <v>175434</v>
      </c>
      <c r="M1347" s="6">
        <v>75186</v>
      </c>
      <c r="N1347" s="5" t="str">
        <f t="shared" si="64"/>
        <v>Jul</v>
      </c>
      <c r="O1347" s="5" t="str">
        <f t="shared" si="65"/>
        <v xml:space="preserve"> 2023</v>
      </c>
    </row>
    <row r="1348" spans="1:15" x14ac:dyDescent="0.35">
      <c r="A1348" t="s">
        <v>2026</v>
      </c>
      <c r="B1348" s="5" t="s">
        <v>842</v>
      </c>
      <c r="C1348" s="4" t="s">
        <v>13</v>
      </c>
      <c r="D1348" s="4" t="s">
        <v>118</v>
      </c>
      <c r="E1348" s="4" t="s">
        <v>119</v>
      </c>
      <c r="F1348" s="4" t="s">
        <v>25</v>
      </c>
      <c r="G1348" s="4" t="s">
        <v>26</v>
      </c>
      <c r="H1348" s="4" t="s">
        <v>72</v>
      </c>
      <c r="I1348" s="4" t="s">
        <v>39</v>
      </c>
      <c r="J1348" s="3">
        <v>5</v>
      </c>
      <c r="K1348" s="6">
        <v>126630</v>
      </c>
      <c r="L1348" s="6">
        <f t="shared" si="63"/>
        <v>88641</v>
      </c>
      <c r="M1348" s="6">
        <v>37989</v>
      </c>
      <c r="N1348" s="5" t="str">
        <f t="shared" si="64"/>
        <v>Apr</v>
      </c>
      <c r="O1348" s="5" t="str">
        <f t="shared" si="65"/>
        <v xml:space="preserve"> 2023</v>
      </c>
    </row>
    <row r="1349" spans="1:15" x14ac:dyDescent="0.35">
      <c r="A1349" t="s">
        <v>2027</v>
      </c>
      <c r="B1349" s="5" t="s">
        <v>783</v>
      </c>
      <c r="C1349" s="4" t="s">
        <v>13</v>
      </c>
      <c r="D1349" s="4" t="s">
        <v>125</v>
      </c>
      <c r="E1349" s="4" t="s">
        <v>126</v>
      </c>
      <c r="F1349" s="4" t="s">
        <v>25</v>
      </c>
      <c r="G1349" s="4" t="s">
        <v>71</v>
      </c>
      <c r="H1349" s="4" t="s">
        <v>72</v>
      </c>
      <c r="I1349" s="4" t="s">
        <v>47</v>
      </c>
      <c r="J1349" s="3">
        <v>4</v>
      </c>
      <c r="K1349" s="6">
        <v>68840</v>
      </c>
      <c r="L1349" s="6">
        <f t="shared" si="63"/>
        <v>48188</v>
      </c>
      <c r="M1349" s="6">
        <v>20652</v>
      </c>
      <c r="N1349" s="5" t="str">
        <f t="shared" si="64"/>
        <v>Dec</v>
      </c>
      <c r="O1349" s="5" t="str">
        <f t="shared" si="65"/>
        <v xml:space="preserve"> 2023</v>
      </c>
    </row>
    <row r="1350" spans="1:15" x14ac:dyDescent="0.35">
      <c r="A1350" t="s">
        <v>2028</v>
      </c>
      <c r="B1350" s="5" t="s">
        <v>1539</v>
      </c>
      <c r="C1350" s="4" t="s">
        <v>22</v>
      </c>
      <c r="D1350" s="4" t="s">
        <v>90</v>
      </c>
      <c r="E1350" s="4" t="s">
        <v>91</v>
      </c>
      <c r="F1350" s="4" t="s">
        <v>16</v>
      </c>
      <c r="G1350" s="4" t="s">
        <v>42</v>
      </c>
      <c r="H1350" s="4" t="s">
        <v>27</v>
      </c>
      <c r="I1350" s="4" t="s">
        <v>47</v>
      </c>
      <c r="J1350" s="3">
        <v>2</v>
      </c>
      <c r="K1350" s="6">
        <v>84326</v>
      </c>
      <c r="L1350" s="6">
        <f t="shared" si="63"/>
        <v>59028.2</v>
      </c>
      <c r="M1350" s="6">
        <v>25297.800000000003</v>
      </c>
      <c r="N1350" s="5" t="str">
        <f t="shared" si="64"/>
        <v>Apr</v>
      </c>
      <c r="O1350" s="5" t="str">
        <f t="shared" si="65"/>
        <v xml:space="preserve"> 2023</v>
      </c>
    </row>
    <row r="1351" spans="1:15" x14ac:dyDescent="0.35">
      <c r="A1351" t="s">
        <v>2029</v>
      </c>
      <c r="B1351" s="5" t="s">
        <v>1507</v>
      </c>
      <c r="C1351" s="4" t="s">
        <v>22</v>
      </c>
      <c r="D1351" s="4" t="s">
        <v>23</v>
      </c>
      <c r="E1351" s="4" t="s">
        <v>24</v>
      </c>
      <c r="F1351" s="4" t="s">
        <v>67</v>
      </c>
      <c r="G1351" s="4" t="s">
        <v>68</v>
      </c>
      <c r="H1351" s="4" t="s">
        <v>18</v>
      </c>
      <c r="I1351" s="4" t="s">
        <v>28</v>
      </c>
      <c r="J1351" s="3">
        <v>8</v>
      </c>
      <c r="K1351" s="6">
        <v>360880</v>
      </c>
      <c r="L1351" s="6">
        <f t="shared" si="63"/>
        <v>252615.99999999997</v>
      </c>
      <c r="M1351" s="6">
        <v>108264.00000000003</v>
      </c>
      <c r="N1351" s="5" t="str">
        <f t="shared" si="64"/>
        <v>Oct</v>
      </c>
      <c r="O1351" s="5" t="str">
        <f t="shared" si="65"/>
        <v xml:space="preserve"> 2023</v>
      </c>
    </row>
    <row r="1352" spans="1:15" x14ac:dyDescent="0.35">
      <c r="A1352" t="s">
        <v>2030</v>
      </c>
      <c r="B1352" s="5" t="s">
        <v>2031</v>
      </c>
      <c r="C1352" s="4" t="s">
        <v>22</v>
      </c>
      <c r="D1352" s="4" t="s">
        <v>90</v>
      </c>
      <c r="E1352" s="4" t="s">
        <v>110</v>
      </c>
      <c r="F1352" s="4" t="s">
        <v>25</v>
      </c>
      <c r="G1352" s="4" t="s">
        <v>52</v>
      </c>
      <c r="H1352" s="4" t="s">
        <v>18</v>
      </c>
      <c r="I1352" s="4" t="s">
        <v>28</v>
      </c>
      <c r="J1352" s="3">
        <v>4</v>
      </c>
      <c r="K1352" s="6">
        <v>171952</v>
      </c>
      <c r="L1352" s="6">
        <f t="shared" si="63"/>
        <v>120366.39999999999</v>
      </c>
      <c r="M1352" s="6">
        <v>51585.600000000006</v>
      </c>
      <c r="N1352" s="5" t="str">
        <f t="shared" si="64"/>
        <v>Mar</v>
      </c>
      <c r="O1352" s="5" t="str">
        <f t="shared" si="65"/>
        <v xml:space="preserve"> 2023</v>
      </c>
    </row>
    <row r="1353" spans="1:15" x14ac:dyDescent="0.35">
      <c r="A1353" t="s">
        <v>2032</v>
      </c>
      <c r="B1353" s="5" t="s">
        <v>731</v>
      </c>
      <c r="C1353" s="4" t="s">
        <v>22</v>
      </c>
      <c r="D1353" s="4" t="s">
        <v>23</v>
      </c>
      <c r="E1353" s="4" t="s">
        <v>24</v>
      </c>
      <c r="F1353" s="4" t="s">
        <v>67</v>
      </c>
      <c r="G1353" s="4" t="s">
        <v>134</v>
      </c>
      <c r="H1353" s="4" t="s">
        <v>72</v>
      </c>
      <c r="I1353" s="4" t="s">
        <v>19</v>
      </c>
      <c r="J1353" s="3">
        <v>6</v>
      </c>
      <c r="K1353" s="6">
        <v>64650</v>
      </c>
      <c r="L1353" s="6">
        <f t="shared" si="63"/>
        <v>45255</v>
      </c>
      <c r="M1353" s="6">
        <v>19395</v>
      </c>
      <c r="N1353" s="5" t="str">
        <f t="shared" si="64"/>
        <v>Jun</v>
      </c>
      <c r="O1353" s="5" t="str">
        <f t="shared" si="65"/>
        <v xml:space="preserve"> 2024</v>
      </c>
    </row>
    <row r="1354" spans="1:15" x14ac:dyDescent="0.35">
      <c r="A1354" t="s">
        <v>2033</v>
      </c>
      <c r="B1354" s="5" t="s">
        <v>1700</v>
      </c>
      <c r="C1354" s="4" t="s">
        <v>13</v>
      </c>
      <c r="D1354" s="4" t="s">
        <v>118</v>
      </c>
      <c r="E1354" s="4" t="s">
        <v>119</v>
      </c>
      <c r="F1354" s="4" t="s">
        <v>37</v>
      </c>
      <c r="G1354" s="4" t="s">
        <v>186</v>
      </c>
      <c r="H1354" s="4" t="s">
        <v>27</v>
      </c>
      <c r="I1354" s="4" t="s">
        <v>47</v>
      </c>
      <c r="J1354" s="3">
        <v>9</v>
      </c>
      <c r="K1354" s="6">
        <v>172512</v>
      </c>
      <c r="L1354" s="6">
        <f t="shared" si="63"/>
        <v>120758.39999999999</v>
      </c>
      <c r="M1354" s="6">
        <v>51753.600000000006</v>
      </c>
      <c r="N1354" s="5" t="str">
        <f t="shared" si="64"/>
        <v>Sep</v>
      </c>
      <c r="O1354" s="5" t="str">
        <f t="shared" si="65"/>
        <v xml:space="preserve"> 2023</v>
      </c>
    </row>
    <row r="1355" spans="1:15" x14ac:dyDescent="0.35">
      <c r="A1355" t="s">
        <v>2034</v>
      </c>
      <c r="B1355" s="5" t="s">
        <v>626</v>
      </c>
      <c r="C1355" s="4" t="s">
        <v>31</v>
      </c>
      <c r="D1355" s="4" t="s">
        <v>45</v>
      </c>
      <c r="E1355" s="4" t="s">
        <v>46</v>
      </c>
      <c r="F1355" s="4" t="s">
        <v>37</v>
      </c>
      <c r="G1355" s="4" t="s">
        <v>148</v>
      </c>
      <c r="H1355" s="4" t="s">
        <v>18</v>
      </c>
      <c r="I1355" s="4" t="s">
        <v>19</v>
      </c>
      <c r="J1355" s="3">
        <v>5</v>
      </c>
      <c r="K1355" s="6">
        <v>61485</v>
      </c>
      <c r="L1355" s="6">
        <f t="shared" si="63"/>
        <v>43039.5</v>
      </c>
      <c r="M1355" s="6">
        <v>18445.5</v>
      </c>
      <c r="N1355" s="5" t="str">
        <f t="shared" si="64"/>
        <v>Oct</v>
      </c>
      <c r="O1355" s="5" t="str">
        <f t="shared" si="65"/>
        <v xml:space="preserve"> 2023</v>
      </c>
    </row>
    <row r="1356" spans="1:15" x14ac:dyDescent="0.35">
      <c r="A1356" t="s">
        <v>2035</v>
      </c>
      <c r="B1356" s="5" t="s">
        <v>741</v>
      </c>
      <c r="C1356" s="4" t="s">
        <v>31</v>
      </c>
      <c r="D1356" s="4" t="s">
        <v>104</v>
      </c>
      <c r="E1356" s="4" t="s">
        <v>105</v>
      </c>
      <c r="F1356" s="4" t="s">
        <v>25</v>
      </c>
      <c r="G1356" s="4" t="s">
        <v>77</v>
      </c>
      <c r="H1356" s="4" t="s">
        <v>27</v>
      </c>
      <c r="I1356" s="4" t="s">
        <v>19</v>
      </c>
      <c r="J1356" s="3">
        <v>4</v>
      </c>
      <c r="K1356" s="6">
        <v>142372</v>
      </c>
      <c r="L1356" s="6">
        <f t="shared" si="63"/>
        <v>99660.4</v>
      </c>
      <c r="M1356" s="6">
        <v>42711.600000000006</v>
      </c>
      <c r="N1356" s="5" t="str">
        <f t="shared" si="64"/>
        <v>Jan</v>
      </c>
      <c r="O1356" s="5" t="str">
        <f t="shared" si="65"/>
        <v xml:space="preserve"> 2024</v>
      </c>
    </row>
    <row r="1357" spans="1:15" x14ac:dyDescent="0.35">
      <c r="A1357" t="s">
        <v>2036</v>
      </c>
      <c r="B1357" s="5" t="s">
        <v>238</v>
      </c>
      <c r="C1357" s="4" t="s">
        <v>31</v>
      </c>
      <c r="D1357" s="4" t="s">
        <v>104</v>
      </c>
      <c r="E1357" s="4" t="s">
        <v>105</v>
      </c>
      <c r="F1357" s="4" t="s">
        <v>37</v>
      </c>
      <c r="G1357" s="4" t="s">
        <v>148</v>
      </c>
      <c r="H1357" s="4" t="s">
        <v>27</v>
      </c>
      <c r="I1357" s="4" t="s">
        <v>28</v>
      </c>
      <c r="J1357" s="3">
        <v>5</v>
      </c>
      <c r="K1357" s="6">
        <v>180080</v>
      </c>
      <c r="L1357" s="6">
        <f t="shared" si="63"/>
        <v>126055.99999999999</v>
      </c>
      <c r="M1357" s="6">
        <v>54024.000000000015</v>
      </c>
      <c r="N1357" s="5" t="str">
        <f t="shared" si="64"/>
        <v>Sep</v>
      </c>
      <c r="O1357" s="5" t="str">
        <f t="shared" si="65"/>
        <v xml:space="preserve"> 2023</v>
      </c>
    </row>
    <row r="1358" spans="1:15" x14ac:dyDescent="0.35">
      <c r="A1358" t="s">
        <v>2037</v>
      </c>
      <c r="B1358" s="5" t="s">
        <v>709</v>
      </c>
      <c r="C1358" s="4" t="s">
        <v>55</v>
      </c>
      <c r="D1358" s="4" t="s">
        <v>63</v>
      </c>
      <c r="E1358" s="4" t="s">
        <v>64</v>
      </c>
      <c r="F1358" s="4" t="s">
        <v>16</v>
      </c>
      <c r="G1358" s="4" t="s">
        <v>17</v>
      </c>
      <c r="H1358" s="4" t="s">
        <v>18</v>
      </c>
      <c r="I1358" s="4" t="s">
        <v>28</v>
      </c>
      <c r="J1358" s="3">
        <v>4</v>
      </c>
      <c r="K1358" s="6">
        <v>184268</v>
      </c>
      <c r="L1358" s="6">
        <f t="shared" si="63"/>
        <v>128987.59999999999</v>
      </c>
      <c r="M1358" s="6">
        <v>55280.400000000009</v>
      </c>
      <c r="N1358" s="5" t="str">
        <f t="shared" si="64"/>
        <v>Jun</v>
      </c>
      <c r="O1358" s="5" t="str">
        <f t="shared" si="65"/>
        <v xml:space="preserve"> 2024</v>
      </c>
    </row>
    <row r="1359" spans="1:15" x14ac:dyDescent="0.35">
      <c r="A1359" t="s">
        <v>2038</v>
      </c>
      <c r="B1359" s="5" t="s">
        <v>1041</v>
      </c>
      <c r="C1359" s="4" t="s">
        <v>31</v>
      </c>
      <c r="D1359" s="4" t="s">
        <v>32</v>
      </c>
      <c r="E1359" s="4" t="s">
        <v>33</v>
      </c>
      <c r="F1359" s="4" t="s">
        <v>16</v>
      </c>
      <c r="G1359" s="4" t="s">
        <v>17</v>
      </c>
      <c r="H1359" s="4" t="s">
        <v>27</v>
      </c>
      <c r="I1359" s="4" t="s">
        <v>28</v>
      </c>
      <c r="J1359" s="3">
        <v>8</v>
      </c>
      <c r="K1359" s="6">
        <v>250344</v>
      </c>
      <c r="L1359" s="6">
        <f t="shared" si="63"/>
        <v>175240.8</v>
      </c>
      <c r="M1359" s="6">
        <v>75103.200000000012</v>
      </c>
      <c r="N1359" s="5" t="str">
        <f t="shared" si="64"/>
        <v>Jan</v>
      </c>
      <c r="O1359" s="5" t="str">
        <f t="shared" si="65"/>
        <v xml:space="preserve"> 2024</v>
      </c>
    </row>
    <row r="1360" spans="1:15" x14ac:dyDescent="0.35">
      <c r="A1360" t="s">
        <v>2039</v>
      </c>
      <c r="B1360" s="5" t="s">
        <v>1034</v>
      </c>
      <c r="C1360" s="4" t="s">
        <v>55</v>
      </c>
      <c r="D1360" s="4" t="s">
        <v>98</v>
      </c>
      <c r="E1360" s="4" t="s">
        <v>99</v>
      </c>
      <c r="F1360" s="4" t="s">
        <v>67</v>
      </c>
      <c r="G1360" s="4" t="s">
        <v>68</v>
      </c>
      <c r="H1360" s="4" t="s">
        <v>18</v>
      </c>
      <c r="I1360" s="4" t="s">
        <v>60</v>
      </c>
      <c r="J1360" s="3">
        <v>9</v>
      </c>
      <c r="K1360" s="6">
        <v>394065</v>
      </c>
      <c r="L1360" s="6">
        <f t="shared" si="63"/>
        <v>275845.5</v>
      </c>
      <c r="M1360" s="6">
        <v>118219.5</v>
      </c>
      <c r="N1360" s="5" t="str">
        <f t="shared" si="64"/>
        <v>Dec</v>
      </c>
      <c r="O1360" s="5" t="str">
        <f t="shared" si="65"/>
        <v xml:space="preserve"> 2023</v>
      </c>
    </row>
    <row r="1361" spans="1:15" x14ac:dyDescent="0.35">
      <c r="A1361" t="s">
        <v>2040</v>
      </c>
      <c r="B1361" s="5" t="s">
        <v>207</v>
      </c>
      <c r="C1361" s="4" t="s">
        <v>31</v>
      </c>
      <c r="D1361" s="4" t="s">
        <v>50</v>
      </c>
      <c r="E1361" s="4" t="s">
        <v>51</v>
      </c>
      <c r="F1361" s="4" t="s">
        <v>25</v>
      </c>
      <c r="G1361" s="4" t="s">
        <v>71</v>
      </c>
      <c r="H1361" s="4" t="s">
        <v>27</v>
      </c>
      <c r="I1361" s="4" t="s">
        <v>28</v>
      </c>
      <c r="J1361" s="3">
        <v>3</v>
      </c>
      <c r="K1361" s="6">
        <v>141951</v>
      </c>
      <c r="L1361" s="6">
        <f t="shared" si="63"/>
        <v>99365.7</v>
      </c>
      <c r="M1361" s="6">
        <v>42585.3</v>
      </c>
      <c r="N1361" s="5" t="str">
        <f t="shared" si="64"/>
        <v>Mar</v>
      </c>
      <c r="O1361" s="5" t="str">
        <f t="shared" si="65"/>
        <v xml:space="preserve"> 2023</v>
      </c>
    </row>
    <row r="1362" spans="1:15" x14ac:dyDescent="0.35">
      <c r="A1362" t="s">
        <v>2041</v>
      </c>
      <c r="B1362" s="5" t="s">
        <v>1733</v>
      </c>
      <c r="C1362" s="4" t="s">
        <v>13</v>
      </c>
      <c r="D1362" s="4" t="s">
        <v>14</v>
      </c>
      <c r="E1362" s="4" t="s">
        <v>15</v>
      </c>
      <c r="F1362" s="4" t="s">
        <v>16</v>
      </c>
      <c r="G1362" s="4" t="s">
        <v>17</v>
      </c>
      <c r="H1362" s="4" t="s">
        <v>27</v>
      </c>
      <c r="I1362" s="4" t="s">
        <v>39</v>
      </c>
      <c r="J1362" s="3">
        <v>8</v>
      </c>
      <c r="K1362" s="6">
        <v>232576</v>
      </c>
      <c r="L1362" s="6">
        <f t="shared" si="63"/>
        <v>162803.19999999998</v>
      </c>
      <c r="M1362" s="6">
        <v>69772.800000000017</v>
      </c>
      <c r="N1362" s="5" t="str">
        <f t="shared" si="64"/>
        <v>Nov</v>
      </c>
      <c r="O1362" s="5" t="str">
        <f t="shared" si="65"/>
        <v xml:space="preserve"> 2024</v>
      </c>
    </row>
    <row r="1363" spans="1:15" x14ac:dyDescent="0.35">
      <c r="A1363" t="s">
        <v>2042</v>
      </c>
      <c r="B1363" s="5" t="s">
        <v>560</v>
      </c>
      <c r="C1363" s="4" t="s">
        <v>55</v>
      </c>
      <c r="D1363" s="4" t="s">
        <v>98</v>
      </c>
      <c r="E1363" s="4" t="s">
        <v>99</v>
      </c>
      <c r="F1363" s="4" t="s">
        <v>67</v>
      </c>
      <c r="G1363" s="4" t="s">
        <v>113</v>
      </c>
      <c r="H1363" s="4" t="s">
        <v>72</v>
      </c>
      <c r="I1363" s="4" t="s">
        <v>60</v>
      </c>
      <c r="J1363" s="3">
        <v>10</v>
      </c>
      <c r="K1363" s="6">
        <v>83100</v>
      </c>
      <c r="L1363" s="6">
        <f t="shared" si="63"/>
        <v>58169.999999999993</v>
      </c>
      <c r="M1363" s="6">
        <v>24930.000000000007</v>
      </c>
      <c r="N1363" s="5" t="str">
        <f t="shared" si="64"/>
        <v>Nov</v>
      </c>
      <c r="O1363" s="5" t="str">
        <f t="shared" si="65"/>
        <v xml:space="preserve"> 2023</v>
      </c>
    </row>
    <row r="1364" spans="1:15" x14ac:dyDescent="0.35">
      <c r="A1364" t="s">
        <v>2043</v>
      </c>
      <c r="B1364" s="5" t="s">
        <v>762</v>
      </c>
      <c r="C1364" s="4" t="s">
        <v>55</v>
      </c>
      <c r="D1364" s="4" t="s">
        <v>98</v>
      </c>
      <c r="E1364" s="4" t="s">
        <v>99</v>
      </c>
      <c r="F1364" s="4" t="s">
        <v>37</v>
      </c>
      <c r="G1364" s="4" t="s">
        <v>186</v>
      </c>
      <c r="H1364" s="4" t="s">
        <v>27</v>
      </c>
      <c r="I1364" s="4" t="s">
        <v>28</v>
      </c>
      <c r="J1364" s="3">
        <v>4</v>
      </c>
      <c r="K1364" s="6">
        <v>155400</v>
      </c>
      <c r="L1364" s="6">
        <f t="shared" si="63"/>
        <v>108780</v>
      </c>
      <c r="M1364" s="6">
        <v>46620</v>
      </c>
      <c r="N1364" s="5" t="str">
        <f t="shared" si="64"/>
        <v>Nov</v>
      </c>
      <c r="O1364" s="5" t="str">
        <f t="shared" si="65"/>
        <v xml:space="preserve"> 2023</v>
      </c>
    </row>
    <row r="1365" spans="1:15" x14ac:dyDescent="0.35">
      <c r="A1365" t="s">
        <v>2044</v>
      </c>
      <c r="B1365" s="5" t="s">
        <v>1547</v>
      </c>
      <c r="C1365" s="4" t="s">
        <v>22</v>
      </c>
      <c r="D1365" s="4" t="s">
        <v>86</v>
      </c>
      <c r="E1365" s="4" t="s">
        <v>87</v>
      </c>
      <c r="F1365" s="4" t="s">
        <v>37</v>
      </c>
      <c r="G1365" s="4" t="s">
        <v>148</v>
      </c>
      <c r="H1365" s="4" t="s">
        <v>72</v>
      </c>
      <c r="I1365" s="4" t="s">
        <v>47</v>
      </c>
      <c r="J1365" s="3">
        <v>10</v>
      </c>
      <c r="K1365" s="6">
        <v>251240</v>
      </c>
      <c r="L1365" s="6">
        <f t="shared" si="63"/>
        <v>175868</v>
      </c>
      <c r="M1365" s="6">
        <v>75372</v>
      </c>
      <c r="N1365" s="5" t="str">
        <f t="shared" si="64"/>
        <v>Nov</v>
      </c>
      <c r="O1365" s="5" t="str">
        <f t="shared" si="65"/>
        <v xml:space="preserve"> 2024</v>
      </c>
    </row>
    <row r="1366" spans="1:15" x14ac:dyDescent="0.35">
      <c r="A1366" t="s">
        <v>2045</v>
      </c>
      <c r="B1366" s="5" t="s">
        <v>195</v>
      </c>
      <c r="C1366" s="4" t="s">
        <v>31</v>
      </c>
      <c r="D1366" s="4" t="s">
        <v>50</v>
      </c>
      <c r="E1366" s="4" t="s">
        <v>51</v>
      </c>
      <c r="F1366" s="4" t="s">
        <v>37</v>
      </c>
      <c r="G1366" s="4" t="s">
        <v>186</v>
      </c>
      <c r="H1366" s="4" t="s">
        <v>27</v>
      </c>
      <c r="I1366" s="4" t="s">
        <v>39</v>
      </c>
      <c r="J1366" s="3">
        <v>6</v>
      </c>
      <c r="K1366" s="6">
        <v>166470</v>
      </c>
      <c r="L1366" s="6">
        <f t="shared" si="63"/>
        <v>116528.99999999999</v>
      </c>
      <c r="M1366" s="6">
        <v>49941.000000000015</v>
      </c>
      <c r="N1366" s="5" t="str">
        <f t="shared" si="64"/>
        <v>Dec</v>
      </c>
      <c r="O1366" s="5" t="str">
        <f t="shared" si="65"/>
        <v xml:space="preserve"> 2023</v>
      </c>
    </row>
    <row r="1367" spans="1:15" x14ac:dyDescent="0.35">
      <c r="A1367" t="s">
        <v>2046</v>
      </c>
      <c r="B1367" s="5" t="s">
        <v>963</v>
      </c>
      <c r="C1367" s="4" t="s">
        <v>55</v>
      </c>
      <c r="D1367" s="4" t="s">
        <v>98</v>
      </c>
      <c r="E1367" s="4" t="s">
        <v>99</v>
      </c>
      <c r="F1367" s="4" t="s">
        <v>25</v>
      </c>
      <c r="G1367" s="4" t="s">
        <v>52</v>
      </c>
      <c r="H1367" s="4" t="s">
        <v>18</v>
      </c>
      <c r="I1367" s="4" t="s">
        <v>28</v>
      </c>
      <c r="J1367" s="3">
        <v>4</v>
      </c>
      <c r="K1367" s="6">
        <v>58884</v>
      </c>
      <c r="L1367" s="6">
        <f t="shared" si="63"/>
        <v>41218.799999999996</v>
      </c>
      <c r="M1367" s="6">
        <v>17665.200000000004</v>
      </c>
      <c r="N1367" s="5" t="str">
        <f t="shared" si="64"/>
        <v>Sep</v>
      </c>
      <c r="O1367" s="5" t="str">
        <f t="shared" si="65"/>
        <v xml:space="preserve"> 2023</v>
      </c>
    </row>
    <row r="1368" spans="1:15" x14ac:dyDescent="0.35">
      <c r="A1368" t="s">
        <v>2047</v>
      </c>
      <c r="B1368" s="5" t="s">
        <v>484</v>
      </c>
      <c r="C1368" s="4" t="s">
        <v>31</v>
      </c>
      <c r="D1368" s="4" t="s">
        <v>32</v>
      </c>
      <c r="E1368" s="4" t="s">
        <v>33</v>
      </c>
      <c r="F1368" s="4" t="s">
        <v>67</v>
      </c>
      <c r="G1368" s="4" t="s">
        <v>134</v>
      </c>
      <c r="H1368" s="4" t="s">
        <v>18</v>
      </c>
      <c r="I1368" s="4" t="s">
        <v>47</v>
      </c>
      <c r="J1368" s="3">
        <v>4</v>
      </c>
      <c r="K1368" s="6">
        <v>57972</v>
      </c>
      <c r="L1368" s="6">
        <f t="shared" si="63"/>
        <v>40580.399999999994</v>
      </c>
      <c r="M1368" s="6">
        <v>17391.600000000006</v>
      </c>
      <c r="N1368" s="5" t="str">
        <f t="shared" si="64"/>
        <v>Apr</v>
      </c>
      <c r="O1368" s="5" t="str">
        <f t="shared" si="65"/>
        <v xml:space="preserve"> 2023</v>
      </c>
    </row>
    <row r="1369" spans="1:15" x14ac:dyDescent="0.35">
      <c r="A1369" t="s">
        <v>2048</v>
      </c>
      <c r="B1369" s="5" t="s">
        <v>563</v>
      </c>
      <c r="C1369" s="4" t="s">
        <v>13</v>
      </c>
      <c r="D1369" s="4" t="s">
        <v>125</v>
      </c>
      <c r="E1369" s="4" t="s">
        <v>126</v>
      </c>
      <c r="F1369" s="4" t="s">
        <v>25</v>
      </c>
      <c r="G1369" s="4" t="s">
        <v>52</v>
      </c>
      <c r="H1369" s="4" t="s">
        <v>18</v>
      </c>
      <c r="I1369" s="4" t="s">
        <v>47</v>
      </c>
      <c r="J1369" s="3">
        <v>4</v>
      </c>
      <c r="K1369" s="6">
        <v>21400</v>
      </c>
      <c r="L1369" s="6">
        <f t="shared" si="63"/>
        <v>14979.999999999998</v>
      </c>
      <c r="M1369" s="6">
        <v>6420.0000000000018</v>
      </c>
      <c r="N1369" s="5" t="str">
        <f t="shared" si="64"/>
        <v>Apr</v>
      </c>
      <c r="O1369" s="5" t="str">
        <f t="shared" si="65"/>
        <v xml:space="preserve"> 2024</v>
      </c>
    </row>
    <row r="1370" spans="1:15" x14ac:dyDescent="0.35">
      <c r="A1370" t="s">
        <v>2049</v>
      </c>
      <c r="B1370" s="5" t="s">
        <v>1433</v>
      </c>
      <c r="C1370" s="4" t="s">
        <v>31</v>
      </c>
      <c r="D1370" s="4" t="s">
        <v>104</v>
      </c>
      <c r="E1370" s="4" t="s">
        <v>105</v>
      </c>
      <c r="F1370" s="4" t="s">
        <v>37</v>
      </c>
      <c r="G1370" s="4" t="s">
        <v>148</v>
      </c>
      <c r="H1370" s="4" t="s">
        <v>27</v>
      </c>
      <c r="I1370" s="4" t="s">
        <v>47</v>
      </c>
      <c r="J1370" s="3">
        <v>4</v>
      </c>
      <c r="K1370" s="6">
        <v>131700</v>
      </c>
      <c r="L1370" s="6">
        <f t="shared" si="63"/>
        <v>92190</v>
      </c>
      <c r="M1370" s="6">
        <v>39510</v>
      </c>
      <c r="N1370" s="5" t="str">
        <f t="shared" si="64"/>
        <v>Nov</v>
      </c>
      <c r="O1370" s="5" t="str">
        <f t="shared" si="65"/>
        <v xml:space="preserve"> 2024</v>
      </c>
    </row>
    <row r="1371" spans="1:15" x14ac:dyDescent="0.35">
      <c r="A1371" t="s">
        <v>2050</v>
      </c>
      <c r="B1371" s="5" t="s">
        <v>1292</v>
      </c>
      <c r="C1371" s="4" t="s">
        <v>22</v>
      </c>
      <c r="D1371" s="4" t="s">
        <v>23</v>
      </c>
      <c r="E1371" s="4" t="s">
        <v>24</v>
      </c>
      <c r="F1371" s="4" t="s">
        <v>25</v>
      </c>
      <c r="G1371" s="4" t="s">
        <v>77</v>
      </c>
      <c r="H1371" s="4" t="s">
        <v>18</v>
      </c>
      <c r="I1371" s="4" t="s">
        <v>47</v>
      </c>
      <c r="J1371" s="3">
        <v>5</v>
      </c>
      <c r="K1371" s="6">
        <v>246385</v>
      </c>
      <c r="L1371" s="6">
        <f t="shared" si="63"/>
        <v>172469.5</v>
      </c>
      <c r="M1371" s="6">
        <v>73915.5</v>
      </c>
      <c r="N1371" s="5" t="str">
        <f t="shared" si="64"/>
        <v>Sep</v>
      </c>
      <c r="O1371" s="5" t="str">
        <f t="shared" si="65"/>
        <v xml:space="preserve"> 2023</v>
      </c>
    </row>
    <row r="1372" spans="1:15" x14ac:dyDescent="0.35">
      <c r="A1372" t="s">
        <v>2051</v>
      </c>
      <c r="B1372" s="5" t="s">
        <v>2052</v>
      </c>
      <c r="C1372" s="4" t="s">
        <v>55</v>
      </c>
      <c r="D1372" s="4" t="s">
        <v>82</v>
      </c>
      <c r="E1372" s="4" t="s">
        <v>83</v>
      </c>
      <c r="F1372" s="4" t="s">
        <v>25</v>
      </c>
      <c r="G1372" s="4" t="s">
        <v>52</v>
      </c>
      <c r="H1372" s="4" t="s">
        <v>72</v>
      </c>
      <c r="I1372" s="4" t="s">
        <v>39</v>
      </c>
      <c r="J1372" s="3">
        <v>1</v>
      </c>
      <c r="K1372" s="6">
        <v>10540</v>
      </c>
      <c r="L1372" s="6">
        <f t="shared" si="63"/>
        <v>7377.9999999999991</v>
      </c>
      <c r="M1372" s="6">
        <v>3162.0000000000009</v>
      </c>
      <c r="N1372" s="5" t="str">
        <f t="shared" si="64"/>
        <v>Sep</v>
      </c>
      <c r="O1372" s="5" t="str">
        <f t="shared" si="65"/>
        <v xml:space="preserve"> 2023</v>
      </c>
    </row>
    <row r="1373" spans="1:15" x14ac:dyDescent="0.35">
      <c r="A1373" t="s">
        <v>2053</v>
      </c>
      <c r="B1373" s="5" t="s">
        <v>975</v>
      </c>
      <c r="C1373" s="4" t="s">
        <v>31</v>
      </c>
      <c r="D1373" s="4" t="s">
        <v>104</v>
      </c>
      <c r="E1373" s="4" t="s">
        <v>105</v>
      </c>
      <c r="F1373" s="4" t="s">
        <v>67</v>
      </c>
      <c r="G1373" s="4" t="s">
        <v>180</v>
      </c>
      <c r="H1373" s="4" t="s">
        <v>72</v>
      </c>
      <c r="I1373" s="4" t="s">
        <v>28</v>
      </c>
      <c r="J1373" s="3">
        <v>1</v>
      </c>
      <c r="K1373" s="6">
        <v>43212</v>
      </c>
      <c r="L1373" s="6">
        <f t="shared" si="63"/>
        <v>30248.399999999998</v>
      </c>
      <c r="M1373" s="6">
        <v>12963.600000000002</v>
      </c>
      <c r="N1373" s="5" t="str">
        <f t="shared" si="64"/>
        <v>Sep</v>
      </c>
      <c r="O1373" s="5" t="str">
        <f t="shared" si="65"/>
        <v xml:space="preserve"> 2023</v>
      </c>
    </row>
    <row r="1374" spans="1:15" x14ac:dyDescent="0.35">
      <c r="A1374" t="s">
        <v>2054</v>
      </c>
      <c r="B1374" s="5" t="s">
        <v>195</v>
      </c>
      <c r="C1374" s="4" t="s">
        <v>55</v>
      </c>
      <c r="D1374" s="4" t="s">
        <v>56</v>
      </c>
      <c r="E1374" s="4" t="s">
        <v>57</v>
      </c>
      <c r="F1374" s="4" t="s">
        <v>16</v>
      </c>
      <c r="G1374" s="4" t="s">
        <v>42</v>
      </c>
      <c r="H1374" s="4" t="s">
        <v>18</v>
      </c>
      <c r="I1374" s="4" t="s">
        <v>60</v>
      </c>
      <c r="J1374" s="3">
        <v>7</v>
      </c>
      <c r="K1374" s="6">
        <v>177002</v>
      </c>
      <c r="L1374" s="6">
        <f t="shared" si="63"/>
        <v>123901.4</v>
      </c>
      <c r="M1374" s="6">
        <v>53100.600000000006</v>
      </c>
      <c r="N1374" s="5" t="str">
        <f t="shared" si="64"/>
        <v>Dec</v>
      </c>
      <c r="O1374" s="5" t="str">
        <f t="shared" si="65"/>
        <v xml:space="preserve"> 2023</v>
      </c>
    </row>
    <row r="1375" spans="1:15" x14ac:dyDescent="0.35">
      <c r="A1375" t="s">
        <v>2055</v>
      </c>
      <c r="B1375" s="5" t="s">
        <v>1393</v>
      </c>
      <c r="C1375" s="4" t="s">
        <v>22</v>
      </c>
      <c r="D1375" s="4" t="s">
        <v>90</v>
      </c>
      <c r="E1375" s="4" t="s">
        <v>91</v>
      </c>
      <c r="F1375" s="4" t="s">
        <v>16</v>
      </c>
      <c r="G1375" s="4" t="s">
        <v>17</v>
      </c>
      <c r="H1375" s="4" t="s">
        <v>27</v>
      </c>
      <c r="I1375" s="4" t="s">
        <v>28</v>
      </c>
      <c r="J1375" s="3">
        <v>2</v>
      </c>
      <c r="K1375" s="6">
        <v>74026</v>
      </c>
      <c r="L1375" s="6">
        <f t="shared" si="63"/>
        <v>51818.2</v>
      </c>
      <c r="M1375" s="6">
        <v>22207.800000000003</v>
      </c>
      <c r="N1375" s="5" t="str">
        <f t="shared" si="64"/>
        <v>Mar</v>
      </c>
      <c r="O1375" s="5" t="str">
        <f t="shared" si="65"/>
        <v xml:space="preserve"> 2024</v>
      </c>
    </row>
    <row r="1376" spans="1:15" x14ac:dyDescent="0.35">
      <c r="A1376" t="s">
        <v>2056</v>
      </c>
      <c r="B1376" s="5" t="s">
        <v>1120</v>
      </c>
      <c r="C1376" s="4" t="s">
        <v>13</v>
      </c>
      <c r="D1376" s="4" t="s">
        <v>125</v>
      </c>
      <c r="E1376" s="4" t="s">
        <v>126</v>
      </c>
      <c r="F1376" s="4" t="s">
        <v>67</v>
      </c>
      <c r="G1376" s="4" t="s">
        <v>180</v>
      </c>
      <c r="H1376" s="4" t="s">
        <v>18</v>
      </c>
      <c r="I1376" s="4" t="s">
        <v>19</v>
      </c>
      <c r="J1376" s="3">
        <v>5</v>
      </c>
      <c r="K1376" s="6">
        <v>187035</v>
      </c>
      <c r="L1376" s="6">
        <f t="shared" si="63"/>
        <v>130924.49999999999</v>
      </c>
      <c r="M1376" s="6">
        <v>56110.500000000015</v>
      </c>
      <c r="N1376" s="5" t="str">
        <f t="shared" si="64"/>
        <v>May</v>
      </c>
      <c r="O1376" s="5" t="str">
        <f t="shared" si="65"/>
        <v xml:space="preserve"> 2023</v>
      </c>
    </row>
    <row r="1377" spans="1:15" x14ac:dyDescent="0.35">
      <c r="A1377" t="s">
        <v>2057</v>
      </c>
      <c r="B1377" s="5" t="s">
        <v>539</v>
      </c>
      <c r="C1377" s="4" t="s">
        <v>22</v>
      </c>
      <c r="D1377" s="4" t="s">
        <v>86</v>
      </c>
      <c r="E1377" s="4" t="s">
        <v>87</v>
      </c>
      <c r="F1377" s="4" t="s">
        <v>25</v>
      </c>
      <c r="G1377" s="4" t="s">
        <v>71</v>
      </c>
      <c r="H1377" s="4" t="s">
        <v>27</v>
      </c>
      <c r="I1377" s="4" t="s">
        <v>47</v>
      </c>
      <c r="J1377" s="3">
        <v>9</v>
      </c>
      <c r="K1377" s="6">
        <v>321273</v>
      </c>
      <c r="L1377" s="6">
        <f t="shared" si="63"/>
        <v>224891.09999999998</v>
      </c>
      <c r="M1377" s="6">
        <v>96381.900000000023</v>
      </c>
      <c r="N1377" s="5" t="str">
        <f t="shared" si="64"/>
        <v>Jan</v>
      </c>
      <c r="O1377" s="5" t="str">
        <f t="shared" si="65"/>
        <v xml:space="preserve"> 2023</v>
      </c>
    </row>
    <row r="1378" spans="1:15" x14ac:dyDescent="0.35">
      <c r="A1378" t="s">
        <v>2058</v>
      </c>
      <c r="B1378" s="5" t="s">
        <v>965</v>
      </c>
      <c r="C1378" s="4" t="s">
        <v>31</v>
      </c>
      <c r="D1378" s="4" t="s">
        <v>45</v>
      </c>
      <c r="E1378" s="4" t="s">
        <v>46</v>
      </c>
      <c r="F1378" s="4" t="s">
        <v>67</v>
      </c>
      <c r="G1378" s="4" t="s">
        <v>134</v>
      </c>
      <c r="H1378" s="4" t="s">
        <v>72</v>
      </c>
      <c r="I1378" s="4" t="s">
        <v>60</v>
      </c>
      <c r="J1378" s="3">
        <v>7</v>
      </c>
      <c r="K1378" s="6">
        <v>236068</v>
      </c>
      <c r="L1378" s="6">
        <f t="shared" si="63"/>
        <v>165247.59999999998</v>
      </c>
      <c r="M1378" s="6">
        <v>70820.400000000023</v>
      </c>
      <c r="N1378" s="5" t="str">
        <f t="shared" si="64"/>
        <v>Jun</v>
      </c>
      <c r="O1378" s="5" t="str">
        <f t="shared" si="65"/>
        <v xml:space="preserve"> 2023</v>
      </c>
    </row>
    <row r="1379" spans="1:15" x14ac:dyDescent="0.35">
      <c r="A1379" t="s">
        <v>2059</v>
      </c>
      <c r="B1379" s="5" t="s">
        <v>309</v>
      </c>
      <c r="C1379" s="4" t="s">
        <v>31</v>
      </c>
      <c r="D1379" s="4" t="s">
        <v>32</v>
      </c>
      <c r="E1379" s="4" t="s">
        <v>33</v>
      </c>
      <c r="F1379" s="4" t="s">
        <v>37</v>
      </c>
      <c r="G1379" s="4" t="s">
        <v>148</v>
      </c>
      <c r="H1379" s="4" t="s">
        <v>72</v>
      </c>
      <c r="I1379" s="4" t="s">
        <v>28</v>
      </c>
      <c r="J1379" s="3">
        <v>4</v>
      </c>
      <c r="K1379" s="6">
        <v>13460</v>
      </c>
      <c r="L1379" s="6">
        <f t="shared" si="63"/>
        <v>9422</v>
      </c>
      <c r="M1379" s="6">
        <v>4038</v>
      </c>
      <c r="N1379" s="5" t="str">
        <f t="shared" si="64"/>
        <v>Oct</v>
      </c>
      <c r="O1379" s="5" t="str">
        <f t="shared" si="65"/>
        <v xml:space="preserve"> 2023</v>
      </c>
    </row>
    <row r="1380" spans="1:15" x14ac:dyDescent="0.35">
      <c r="A1380" t="s">
        <v>2060</v>
      </c>
      <c r="B1380" s="5" t="s">
        <v>837</v>
      </c>
      <c r="C1380" s="4" t="s">
        <v>31</v>
      </c>
      <c r="D1380" s="4" t="s">
        <v>32</v>
      </c>
      <c r="E1380" s="4" t="s">
        <v>33</v>
      </c>
      <c r="F1380" s="4" t="s">
        <v>67</v>
      </c>
      <c r="G1380" s="4" t="s">
        <v>113</v>
      </c>
      <c r="H1380" s="4" t="s">
        <v>72</v>
      </c>
      <c r="I1380" s="4" t="s">
        <v>28</v>
      </c>
      <c r="J1380" s="3">
        <v>1</v>
      </c>
      <c r="K1380" s="6">
        <v>7259</v>
      </c>
      <c r="L1380" s="6">
        <f t="shared" si="63"/>
        <v>5081.2999999999993</v>
      </c>
      <c r="M1380" s="6">
        <v>2177.7000000000007</v>
      </c>
      <c r="N1380" s="5" t="str">
        <f t="shared" si="64"/>
        <v>Oct</v>
      </c>
      <c r="O1380" s="5" t="str">
        <f t="shared" si="65"/>
        <v xml:space="preserve"> 2023</v>
      </c>
    </row>
    <row r="1381" spans="1:15" x14ac:dyDescent="0.35">
      <c r="A1381" t="s">
        <v>2061</v>
      </c>
      <c r="B1381" s="5" t="s">
        <v>583</v>
      </c>
      <c r="C1381" s="4" t="s">
        <v>13</v>
      </c>
      <c r="D1381" s="4" t="s">
        <v>118</v>
      </c>
      <c r="E1381" s="4" t="s">
        <v>119</v>
      </c>
      <c r="F1381" s="4" t="s">
        <v>67</v>
      </c>
      <c r="G1381" s="4" t="s">
        <v>113</v>
      </c>
      <c r="H1381" s="4" t="s">
        <v>72</v>
      </c>
      <c r="I1381" s="4" t="s">
        <v>28</v>
      </c>
      <c r="J1381" s="3">
        <v>4</v>
      </c>
      <c r="K1381" s="6">
        <v>9164</v>
      </c>
      <c r="L1381" s="6">
        <f t="shared" si="63"/>
        <v>6414.7999999999993</v>
      </c>
      <c r="M1381" s="6">
        <v>2749.2000000000007</v>
      </c>
      <c r="N1381" s="5" t="str">
        <f t="shared" si="64"/>
        <v>Mar</v>
      </c>
      <c r="O1381" s="5" t="str">
        <f t="shared" si="65"/>
        <v xml:space="preserve"> 2023</v>
      </c>
    </row>
    <row r="1382" spans="1:15" x14ac:dyDescent="0.35">
      <c r="A1382" t="s">
        <v>2062</v>
      </c>
      <c r="B1382" s="5" t="s">
        <v>1306</v>
      </c>
      <c r="C1382" s="4" t="s">
        <v>13</v>
      </c>
      <c r="D1382" s="4" t="s">
        <v>118</v>
      </c>
      <c r="E1382" s="4" t="s">
        <v>119</v>
      </c>
      <c r="F1382" s="4" t="s">
        <v>16</v>
      </c>
      <c r="G1382" s="4" t="s">
        <v>122</v>
      </c>
      <c r="H1382" s="4" t="s">
        <v>72</v>
      </c>
      <c r="I1382" s="4" t="s">
        <v>47</v>
      </c>
      <c r="J1382" s="3">
        <v>4</v>
      </c>
      <c r="K1382" s="6">
        <v>171656</v>
      </c>
      <c r="L1382" s="6">
        <f t="shared" si="63"/>
        <v>120159.2</v>
      </c>
      <c r="M1382" s="6">
        <v>51496.800000000003</v>
      </c>
      <c r="N1382" s="5" t="str">
        <f t="shared" si="64"/>
        <v>May</v>
      </c>
      <c r="O1382" s="5" t="str">
        <f t="shared" si="65"/>
        <v xml:space="preserve"> 2024</v>
      </c>
    </row>
    <row r="1383" spans="1:15" x14ac:dyDescent="0.35">
      <c r="A1383" t="s">
        <v>2063</v>
      </c>
      <c r="B1383" s="5" t="s">
        <v>529</v>
      </c>
      <c r="C1383" s="4" t="s">
        <v>31</v>
      </c>
      <c r="D1383" s="4" t="s">
        <v>104</v>
      </c>
      <c r="E1383" s="4" t="s">
        <v>105</v>
      </c>
      <c r="F1383" s="4" t="s">
        <v>16</v>
      </c>
      <c r="G1383" s="4" t="s">
        <v>17</v>
      </c>
      <c r="H1383" s="4" t="s">
        <v>18</v>
      </c>
      <c r="I1383" s="4" t="s">
        <v>47</v>
      </c>
      <c r="J1383" s="3">
        <v>4</v>
      </c>
      <c r="K1383" s="6">
        <v>33356</v>
      </c>
      <c r="L1383" s="6">
        <f t="shared" si="63"/>
        <v>23349.199999999997</v>
      </c>
      <c r="M1383" s="6">
        <v>10006.800000000003</v>
      </c>
      <c r="N1383" s="5" t="str">
        <f t="shared" si="64"/>
        <v>Nov</v>
      </c>
      <c r="O1383" s="5" t="str">
        <f t="shared" si="65"/>
        <v xml:space="preserve"> 2023</v>
      </c>
    </row>
    <row r="1384" spans="1:15" x14ac:dyDescent="0.35">
      <c r="A1384" t="s">
        <v>2064</v>
      </c>
      <c r="B1384" s="5" t="s">
        <v>403</v>
      </c>
      <c r="C1384" s="4" t="s">
        <v>13</v>
      </c>
      <c r="D1384" s="4" t="s">
        <v>14</v>
      </c>
      <c r="E1384" s="4" t="s">
        <v>15</v>
      </c>
      <c r="F1384" s="4" t="s">
        <v>16</v>
      </c>
      <c r="G1384" s="4" t="s">
        <v>34</v>
      </c>
      <c r="H1384" s="4" t="s">
        <v>18</v>
      </c>
      <c r="I1384" s="4" t="s">
        <v>39</v>
      </c>
      <c r="J1384" s="3">
        <v>6</v>
      </c>
      <c r="K1384" s="6">
        <v>260202</v>
      </c>
      <c r="L1384" s="6">
        <f t="shared" si="63"/>
        <v>182141.4</v>
      </c>
      <c r="M1384" s="6">
        <v>78060.600000000006</v>
      </c>
      <c r="N1384" s="5" t="str">
        <f t="shared" si="64"/>
        <v>Dec</v>
      </c>
      <c r="O1384" s="5" t="str">
        <f t="shared" si="65"/>
        <v xml:space="preserve"> 2023</v>
      </c>
    </row>
    <row r="1385" spans="1:15" x14ac:dyDescent="0.35">
      <c r="A1385" t="s">
        <v>2065</v>
      </c>
      <c r="B1385" s="5" t="s">
        <v>131</v>
      </c>
      <c r="C1385" s="4" t="s">
        <v>31</v>
      </c>
      <c r="D1385" s="4" t="s">
        <v>45</v>
      </c>
      <c r="E1385" s="4" t="s">
        <v>46</v>
      </c>
      <c r="F1385" s="4" t="s">
        <v>67</v>
      </c>
      <c r="G1385" s="4" t="s">
        <v>134</v>
      </c>
      <c r="H1385" s="4" t="s">
        <v>72</v>
      </c>
      <c r="I1385" s="4" t="s">
        <v>60</v>
      </c>
      <c r="J1385" s="3">
        <v>1</v>
      </c>
      <c r="K1385" s="6">
        <v>6338</v>
      </c>
      <c r="L1385" s="6">
        <f t="shared" si="63"/>
        <v>4436.5999999999995</v>
      </c>
      <c r="M1385" s="6">
        <v>1901.4000000000005</v>
      </c>
      <c r="N1385" s="5" t="str">
        <f t="shared" si="64"/>
        <v>Feb</v>
      </c>
      <c r="O1385" s="5" t="str">
        <f t="shared" si="65"/>
        <v xml:space="preserve"> 2023</v>
      </c>
    </row>
    <row r="1386" spans="1:15" x14ac:dyDescent="0.35">
      <c r="A1386" t="s">
        <v>2066</v>
      </c>
      <c r="B1386" s="5" t="s">
        <v>85</v>
      </c>
      <c r="C1386" s="4" t="s">
        <v>22</v>
      </c>
      <c r="D1386" s="4" t="s">
        <v>90</v>
      </c>
      <c r="E1386" s="4" t="s">
        <v>91</v>
      </c>
      <c r="F1386" s="4" t="s">
        <v>67</v>
      </c>
      <c r="G1386" s="4" t="s">
        <v>134</v>
      </c>
      <c r="H1386" s="4" t="s">
        <v>27</v>
      </c>
      <c r="I1386" s="4" t="s">
        <v>19</v>
      </c>
      <c r="J1386" s="3">
        <v>3</v>
      </c>
      <c r="K1386" s="6">
        <v>45654</v>
      </c>
      <c r="L1386" s="6">
        <f t="shared" si="63"/>
        <v>31957.8</v>
      </c>
      <c r="M1386" s="6">
        <v>13696.2</v>
      </c>
      <c r="N1386" s="5" t="str">
        <f t="shared" si="64"/>
        <v>Nov</v>
      </c>
      <c r="O1386" s="5" t="str">
        <f t="shared" si="65"/>
        <v xml:space="preserve"> 2023</v>
      </c>
    </row>
    <row r="1387" spans="1:15" x14ac:dyDescent="0.35">
      <c r="A1387" t="s">
        <v>2067</v>
      </c>
      <c r="B1387" s="5" t="s">
        <v>2068</v>
      </c>
      <c r="C1387" s="4" t="s">
        <v>31</v>
      </c>
      <c r="D1387" s="4" t="s">
        <v>104</v>
      </c>
      <c r="E1387" s="4" t="s">
        <v>105</v>
      </c>
      <c r="F1387" s="4" t="s">
        <v>25</v>
      </c>
      <c r="G1387" s="4" t="s">
        <v>71</v>
      </c>
      <c r="H1387" s="4" t="s">
        <v>27</v>
      </c>
      <c r="I1387" s="4" t="s">
        <v>28</v>
      </c>
      <c r="J1387" s="3">
        <v>3</v>
      </c>
      <c r="K1387" s="6">
        <v>122505</v>
      </c>
      <c r="L1387" s="6">
        <f t="shared" si="63"/>
        <v>85753.5</v>
      </c>
      <c r="M1387" s="6">
        <v>36751.5</v>
      </c>
      <c r="N1387" s="5" t="str">
        <f t="shared" si="64"/>
        <v>Jun</v>
      </c>
      <c r="O1387" s="5" t="str">
        <f t="shared" si="65"/>
        <v xml:space="preserve"> 2023</v>
      </c>
    </row>
    <row r="1388" spans="1:15" x14ac:dyDescent="0.35">
      <c r="A1388" t="s">
        <v>2069</v>
      </c>
      <c r="B1388" s="5" t="s">
        <v>539</v>
      </c>
      <c r="C1388" s="4" t="s">
        <v>22</v>
      </c>
      <c r="D1388" s="4" t="s">
        <v>90</v>
      </c>
      <c r="E1388" s="4" t="s">
        <v>91</v>
      </c>
      <c r="F1388" s="4" t="s">
        <v>25</v>
      </c>
      <c r="G1388" s="4" t="s">
        <v>26</v>
      </c>
      <c r="H1388" s="4" t="s">
        <v>72</v>
      </c>
      <c r="I1388" s="4" t="s">
        <v>28</v>
      </c>
      <c r="J1388" s="3">
        <v>9</v>
      </c>
      <c r="K1388" s="6">
        <v>126279</v>
      </c>
      <c r="L1388" s="6">
        <f t="shared" si="63"/>
        <v>88395.299999999988</v>
      </c>
      <c r="M1388" s="6">
        <v>37883.700000000012</v>
      </c>
      <c r="N1388" s="5" t="str">
        <f t="shared" si="64"/>
        <v>Jan</v>
      </c>
      <c r="O1388" s="5" t="str">
        <f t="shared" si="65"/>
        <v xml:space="preserve"> 2023</v>
      </c>
    </row>
    <row r="1389" spans="1:15" x14ac:dyDescent="0.35">
      <c r="A1389" t="s">
        <v>2070</v>
      </c>
      <c r="B1389" s="5" t="s">
        <v>1715</v>
      </c>
      <c r="C1389" s="4" t="s">
        <v>22</v>
      </c>
      <c r="D1389" s="4" t="s">
        <v>90</v>
      </c>
      <c r="E1389" s="4" t="s">
        <v>110</v>
      </c>
      <c r="F1389" s="4" t="s">
        <v>67</v>
      </c>
      <c r="G1389" s="4" t="s">
        <v>68</v>
      </c>
      <c r="H1389" s="4" t="s">
        <v>27</v>
      </c>
      <c r="I1389" s="4" t="s">
        <v>47</v>
      </c>
      <c r="J1389" s="3">
        <v>9</v>
      </c>
      <c r="K1389" s="6">
        <v>93645</v>
      </c>
      <c r="L1389" s="6">
        <f t="shared" si="63"/>
        <v>65551.5</v>
      </c>
      <c r="M1389" s="6">
        <v>28093.5</v>
      </c>
      <c r="N1389" s="5" t="str">
        <f t="shared" si="64"/>
        <v>Jun</v>
      </c>
      <c r="O1389" s="5" t="str">
        <f t="shared" si="65"/>
        <v xml:space="preserve"> 2023</v>
      </c>
    </row>
    <row r="1390" spans="1:15" x14ac:dyDescent="0.35">
      <c r="A1390" t="s">
        <v>2071</v>
      </c>
      <c r="B1390" s="5" t="s">
        <v>1567</v>
      </c>
      <c r="C1390" s="4" t="s">
        <v>55</v>
      </c>
      <c r="D1390" s="4" t="s">
        <v>82</v>
      </c>
      <c r="E1390" s="4" t="s">
        <v>83</v>
      </c>
      <c r="F1390" s="4" t="s">
        <v>37</v>
      </c>
      <c r="G1390" s="4" t="s">
        <v>38</v>
      </c>
      <c r="H1390" s="4" t="s">
        <v>72</v>
      </c>
      <c r="I1390" s="4" t="s">
        <v>19</v>
      </c>
      <c r="J1390" s="3">
        <v>2</v>
      </c>
      <c r="K1390" s="6">
        <v>49350</v>
      </c>
      <c r="L1390" s="6">
        <f t="shared" si="63"/>
        <v>34545</v>
      </c>
      <c r="M1390" s="6">
        <v>14805</v>
      </c>
      <c r="N1390" s="5" t="str">
        <f t="shared" si="64"/>
        <v>Nov</v>
      </c>
      <c r="O1390" s="5" t="str">
        <f t="shared" si="65"/>
        <v xml:space="preserve"> 2024</v>
      </c>
    </row>
    <row r="1391" spans="1:15" x14ac:dyDescent="0.35">
      <c r="A1391" t="s">
        <v>2072</v>
      </c>
      <c r="B1391" s="5" t="s">
        <v>457</v>
      </c>
      <c r="C1391" s="4" t="s">
        <v>13</v>
      </c>
      <c r="D1391" s="4" t="s">
        <v>14</v>
      </c>
      <c r="E1391" s="4" t="s">
        <v>15</v>
      </c>
      <c r="F1391" s="4" t="s">
        <v>25</v>
      </c>
      <c r="G1391" s="4" t="s">
        <v>52</v>
      </c>
      <c r="H1391" s="4" t="s">
        <v>72</v>
      </c>
      <c r="I1391" s="4" t="s">
        <v>47</v>
      </c>
      <c r="J1391" s="3">
        <v>7</v>
      </c>
      <c r="K1391" s="6">
        <v>131215</v>
      </c>
      <c r="L1391" s="6">
        <f t="shared" si="63"/>
        <v>91850.5</v>
      </c>
      <c r="M1391" s="6">
        <v>39364.5</v>
      </c>
      <c r="N1391" s="5" t="str">
        <f t="shared" si="64"/>
        <v>Apr</v>
      </c>
      <c r="O1391" s="5" t="str">
        <f t="shared" si="65"/>
        <v xml:space="preserve"> 2024</v>
      </c>
    </row>
    <row r="1392" spans="1:15" x14ac:dyDescent="0.35">
      <c r="A1392" t="s">
        <v>2073</v>
      </c>
      <c r="B1392" s="5" t="s">
        <v>1165</v>
      </c>
      <c r="C1392" s="4" t="s">
        <v>22</v>
      </c>
      <c r="D1392" s="4" t="s">
        <v>90</v>
      </c>
      <c r="E1392" s="4" t="s">
        <v>91</v>
      </c>
      <c r="F1392" s="4" t="s">
        <v>37</v>
      </c>
      <c r="G1392" s="4" t="s">
        <v>186</v>
      </c>
      <c r="H1392" s="4" t="s">
        <v>72</v>
      </c>
      <c r="I1392" s="4" t="s">
        <v>60</v>
      </c>
      <c r="J1392" s="3">
        <v>1</v>
      </c>
      <c r="K1392" s="6">
        <v>38578</v>
      </c>
      <c r="L1392" s="6">
        <f t="shared" si="63"/>
        <v>27004.6</v>
      </c>
      <c r="M1392" s="6">
        <v>11573.400000000001</v>
      </c>
      <c r="N1392" s="5" t="str">
        <f t="shared" si="64"/>
        <v>Aug</v>
      </c>
      <c r="O1392" s="5" t="str">
        <f t="shared" si="65"/>
        <v xml:space="preserve"> 2023</v>
      </c>
    </row>
    <row r="1393" spans="1:15" x14ac:dyDescent="0.35">
      <c r="A1393" t="s">
        <v>2074</v>
      </c>
      <c r="B1393" s="5" t="s">
        <v>1234</v>
      </c>
      <c r="C1393" s="4" t="s">
        <v>13</v>
      </c>
      <c r="D1393" s="4" t="s">
        <v>125</v>
      </c>
      <c r="E1393" s="4" t="s">
        <v>126</v>
      </c>
      <c r="F1393" s="4" t="s">
        <v>16</v>
      </c>
      <c r="G1393" s="4" t="s">
        <v>17</v>
      </c>
      <c r="H1393" s="4" t="s">
        <v>27</v>
      </c>
      <c r="I1393" s="4" t="s">
        <v>19</v>
      </c>
      <c r="J1393" s="3">
        <v>5</v>
      </c>
      <c r="K1393" s="6">
        <v>166370</v>
      </c>
      <c r="L1393" s="6">
        <f t="shared" si="63"/>
        <v>116458.99999999999</v>
      </c>
      <c r="M1393" s="6">
        <v>49911.000000000015</v>
      </c>
      <c r="N1393" s="5" t="str">
        <f t="shared" si="64"/>
        <v>Oct</v>
      </c>
      <c r="O1393" s="5" t="str">
        <f t="shared" si="65"/>
        <v xml:space="preserve"> 2024</v>
      </c>
    </row>
    <row r="1394" spans="1:15" x14ac:dyDescent="0.35">
      <c r="A1394" t="s">
        <v>2075</v>
      </c>
      <c r="B1394" s="5" t="s">
        <v>1507</v>
      </c>
      <c r="C1394" s="4" t="s">
        <v>55</v>
      </c>
      <c r="D1394" s="4" t="s">
        <v>56</v>
      </c>
      <c r="E1394" s="4" t="s">
        <v>57</v>
      </c>
      <c r="F1394" s="4" t="s">
        <v>25</v>
      </c>
      <c r="G1394" s="4" t="s">
        <v>71</v>
      </c>
      <c r="H1394" s="4" t="s">
        <v>27</v>
      </c>
      <c r="I1394" s="4" t="s">
        <v>28</v>
      </c>
      <c r="J1394" s="3">
        <v>8</v>
      </c>
      <c r="K1394" s="6">
        <v>330728</v>
      </c>
      <c r="L1394" s="6">
        <f t="shared" si="63"/>
        <v>231509.59999999998</v>
      </c>
      <c r="M1394" s="6">
        <v>99218.400000000023</v>
      </c>
      <c r="N1394" s="5" t="str">
        <f t="shared" si="64"/>
        <v>Oct</v>
      </c>
      <c r="O1394" s="5" t="str">
        <f t="shared" si="65"/>
        <v xml:space="preserve"> 2023</v>
      </c>
    </row>
    <row r="1395" spans="1:15" x14ac:dyDescent="0.35">
      <c r="A1395" t="s">
        <v>2076</v>
      </c>
      <c r="B1395" s="5" t="s">
        <v>225</v>
      </c>
      <c r="C1395" s="4" t="s">
        <v>55</v>
      </c>
      <c r="D1395" s="4" t="s">
        <v>82</v>
      </c>
      <c r="E1395" s="4" t="s">
        <v>83</v>
      </c>
      <c r="F1395" s="4" t="s">
        <v>16</v>
      </c>
      <c r="G1395" s="4" t="s">
        <v>122</v>
      </c>
      <c r="H1395" s="4" t="s">
        <v>18</v>
      </c>
      <c r="I1395" s="4" t="s">
        <v>60</v>
      </c>
      <c r="J1395" s="3">
        <v>9</v>
      </c>
      <c r="K1395" s="6">
        <v>350865</v>
      </c>
      <c r="L1395" s="6">
        <f t="shared" si="63"/>
        <v>245605.49999999997</v>
      </c>
      <c r="M1395" s="6">
        <v>105259.50000000003</v>
      </c>
      <c r="N1395" s="5" t="str">
        <f t="shared" si="64"/>
        <v>Feb</v>
      </c>
      <c r="O1395" s="5" t="str">
        <f t="shared" si="65"/>
        <v xml:space="preserve"> 2024</v>
      </c>
    </row>
    <row r="1396" spans="1:15" x14ac:dyDescent="0.35">
      <c r="A1396" t="s">
        <v>2077</v>
      </c>
      <c r="B1396" s="5" t="s">
        <v>1556</v>
      </c>
      <c r="C1396" s="4" t="s">
        <v>55</v>
      </c>
      <c r="D1396" s="4" t="s">
        <v>82</v>
      </c>
      <c r="E1396" s="4" t="s">
        <v>83</v>
      </c>
      <c r="F1396" s="4" t="s">
        <v>37</v>
      </c>
      <c r="G1396" s="4" t="s">
        <v>38</v>
      </c>
      <c r="H1396" s="4" t="s">
        <v>18</v>
      </c>
      <c r="I1396" s="4" t="s">
        <v>19</v>
      </c>
      <c r="J1396" s="3">
        <v>7</v>
      </c>
      <c r="K1396" s="6">
        <v>281540</v>
      </c>
      <c r="L1396" s="6">
        <f t="shared" si="63"/>
        <v>197078</v>
      </c>
      <c r="M1396" s="6">
        <v>84462</v>
      </c>
      <c r="N1396" s="5" t="str">
        <f t="shared" si="64"/>
        <v>Jun</v>
      </c>
      <c r="O1396" s="5" t="str">
        <f t="shared" si="65"/>
        <v xml:space="preserve"> 2023</v>
      </c>
    </row>
    <row r="1397" spans="1:15" x14ac:dyDescent="0.35">
      <c r="A1397" t="s">
        <v>2078</v>
      </c>
      <c r="B1397" s="5" t="s">
        <v>701</v>
      </c>
      <c r="C1397" s="4" t="s">
        <v>13</v>
      </c>
      <c r="D1397" s="4" t="s">
        <v>118</v>
      </c>
      <c r="E1397" s="4" t="s">
        <v>119</v>
      </c>
      <c r="F1397" s="4" t="s">
        <v>37</v>
      </c>
      <c r="G1397" s="4" t="s">
        <v>183</v>
      </c>
      <c r="H1397" s="4" t="s">
        <v>72</v>
      </c>
      <c r="I1397" s="4" t="s">
        <v>60</v>
      </c>
      <c r="J1397" s="3">
        <v>5</v>
      </c>
      <c r="K1397" s="6">
        <v>191325</v>
      </c>
      <c r="L1397" s="6">
        <f t="shared" si="63"/>
        <v>133927.5</v>
      </c>
      <c r="M1397" s="6">
        <v>57397.5</v>
      </c>
      <c r="N1397" s="5" t="str">
        <f t="shared" si="64"/>
        <v>May</v>
      </c>
      <c r="O1397" s="5" t="str">
        <f t="shared" si="65"/>
        <v xml:space="preserve"> 2023</v>
      </c>
    </row>
    <row r="1398" spans="1:15" x14ac:dyDescent="0.35">
      <c r="A1398" t="s">
        <v>2079</v>
      </c>
      <c r="B1398" s="5" t="s">
        <v>1778</v>
      </c>
      <c r="C1398" s="4" t="s">
        <v>55</v>
      </c>
      <c r="D1398" s="4" t="s">
        <v>98</v>
      </c>
      <c r="E1398" s="4" t="s">
        <v>99</v>
      </c>
      <c r="F1398" s="4" t="s">
        <v>67</v>
      </c>
      <c r="G1398" s="4" t="s">
        <v>134</v>
      </c>
      <c r="H1398" s="4" t="s">
        <v>27</v>
      </c>
      <c r="I1398" s="4" t="s">
        <v>47</v>
      </c>
      <c r="J1398" s="3">
        <v>3</v>
      </c>
      <c r="K1398" s="6">
        <v>59958</v>
      </c>
      <c r="L1398" s="6">
        <f t="shared" si="63"/>
        <v>41970.6</v>
      </c>
      <c r="M1398" s="6">
        <v>17987.400000000001</v>
      </c>
      <c r="N1398" s="5" t="str">
        <f t="shared" si="64"/>
        <v>Feb</v>
      </c>
      <c r="O1398" s="5" t="str">
        <f t="shared" si="65"/>
        <v xml:space="preserve"> 2023</v>
      </c>
    </row>
    <row r="1399" spans="1:15" x14ac:dyDescent="0.35">
      <c r="A1399" t="s">
        <v>2080</v>
      </c>
      <c r="B1399" s="5" t="s">
        <v>427</v>
      </c>
      <c r="C1399" s="4" t="s">
        <v>22</v>
      </c>
      <c r="D1399" s="4" t="s">
        <v>86</v>
      </c>
      <c r="E1399" s="4" t="s">
        <v>87</v>
      </c>
      <c r="F1399" s="4" t="s">
        <v>25</v>
      </c>
      <c r="G1399" s="4" t="s">
        <v>26</v>
      </c>
      <c r="H1399" s="4" t="s">
        <v>27</v>
      </c>
      <c r="I1399" s="4" t="s">
        <v>39</v>
      </c>
      <c r="J1399" s="3">
        <v>8</v>
      </c>
      <c r="K1399" s="6">
        <v>143488</v>
      </c>
      <c r="L1399" s="6">
        <f t="shared" si="63"/>
        <v>100441.59999999999</v>
      </c>
      <c r="M1399" s="6">
        <v>43046.400000000009</v>
      </c>
      <c r="N1399" s="5" t="str">
        <f t="shared" si="64"/>
        <v>Apr</v>
      </c>
      <c r="O1399" s="5" t="str">
        <f t="shared" si="65"/>
        <v xml:space="preserve"> 2023</v>
      </c>
    </row>
    <row r="1400" spans="1:15" x14ac:dyDescent="0.35">
      <c r="A1400" t="s">
        <v>2081</v>
      </c>
      <c r="B1400" s="5" t="s">
        <v>59</v>
      </c>
      <c r="C1400" s="4" t="s">
        <v>22</v>
      </c>
      <c r="D1400" s="4" t="s">
        <v>90</v>
      </c>
      <c r="E1400" s="4" t="s">
        <v>110</v>
      </c>
      <c r="F1400" s="4" t="s">
        <v>67</v>
      </c>
      <c r="G1400" s="4" t="s">
        <v>180</v>
      </c>
      <c r="H1400" s="4" t="s">
        <v>18</v>
      </c>
      <c r="I1400" s="4" t="s">
        <v>47</v>
      </c>
      <c r="J1400" s="3">
        <v>7</v>
      </c>
      <c r="K1400" s="6">
        <v>75838</v>
      </c>
      <c r="L1400" s="6">
        <f t="shared" si="63"/>
        <v>53086.6</v>
      </c>
      <c r="M1400" s="6">
        <v>22751.4</v>
      </c>
      <c r="N1400" s="5" t="str">
        <f t="shared" si="64"/>
        <v>Aug</v>
      </c>
      <c r="O1400" s="5" t="str">
        <f t="shared" si="65"/>
        <v xml:space="preserve"> 2024</v>
      </c>
    </row>
    <row r="1401" spans="1:15" x14ac:dyDescent="0.35">
      <c r="A1401" t="s">
        <v>2082</v>
      </c>
      <c r="B1401" s="5" t="s">
        <v>1505</v>
      </c>
      <c r="C1401" s="4" t="s">
        <v>13</v>
      </c>
      <c r="D1401" s="4" t="s">
        <v>14</v>
      </c>
      <c r="E1401" s="4" t="s">
        <v>15</v>
      </c>
      <c r="F1401" s="4" t="s">
        <v>25</v>
      </c>
      <c r="G1401" s="4" t="s">
        <v>71</v>
      </c>
      <c r="H1401" s="4" t="s">
        <v>27</v>
      </c>
      <c r="I1401" s="4" t="s">
        <v>60</v>
      </c>
      <c r="J1401" s="3">
        <v>4</v>
      </c>
      <c r="K1401" s="6">
        <v>83940</v>
      </c>
      <c r="L1401" s="6">
        <f t="shared" si="63"/>
        <v>58757.999999999993</v>
      </c>
      <c r="M1401" s="6">
        <v>25182.000000000007</v>
      </c>
      <c r="N1401" s="5" t="str">
        <f t="shared" si="64"/>
        <v>Feb</v>
      </c>
      <c r="O1401" s="5" t="str">
        <f t="shared" si="65"/>
        <v xml:space="preserve"> 2024</v>
      </c>
    </row>
    <row r="1402" spans="1:15" x14ac:dyDescent="0.35">
      <c r="A1402" t="s">
        <v>2083</v>
      </c>
      <c r="B1402" s="5" t="s">
        <v>215</v>
      </c>
      <c r="C1402" s="4" t="s">
        <v>22</v>
      </c>
      <c r="D1402" s="4" t="s">
        <v>23</v>
      </c>
      <c r="E1402" s="4" t="s">
        <v>24</v>
      </c>
      <c r="F1402" s="4" t="s">
        <v>37</v>
      </c>
      <c r="G1402" s="4" t="s">
        <v>186</v>
      </c>
      <c r="H1402" s="4" t="s">
        <v>18</v>
      </c>
      <c r="I1402" s="4" t="s">
        <v>28</v>
      </c>
      <c r="J1402" s="3">
        <v>2</v>
      </c>
      <c r="K1402" s="6">
        <v>30954</v>
      </c>
      <c r="L1402" s="6">
        <f t="shared" si="63"/>
        <v>21667.8</v>
      </c>
      <c r="M1402" s="6">
        <v>9286.2000000000007</v>
      </c>
      <c r="N1402" s="5" t="str">
        <f t="shared" si="64"/>
        <v>Jun</v>
      </c>
      <c r="O1402" s="5" t="str">
        <f t="shared" si="65"/>
        <v xml:space="preserve"> 2024</v>
      </c>
    </row>
    <row r="1403" spans="1:15" x14ac:dyDescent="0.35">
      <c r="A1403" t="s">
        <v>2084</v>
      </c>
      <c r="B1403" s="5" t="s">
        <v>2085</v>
      </c>
      <c r="C1403" s="4" t="s">
        <v>22</v>
      </c>
      <c r="D1403" s="4" t="s">
        <v>90</v>
      </c>
      <c r="E1403" s="4" t="s">
        <v>91</v>
      </c>
      <c r="F1403" s="4" t="s">
        <v>37</v>
      </c>
      <c r="G1403" s="4" t="s">
        <v>186</v>
      </c>
      <c r="H1403" s="4" t="s">
        <v>18</v>
      </c>
      <c r="I1403" s="4" t="s">
        <v>19</v>
      </c>
      <c r="J1403" s="3">
        <v>5</v>
      </c>
      <c r="K1403" s="6">
        <v>195530</v>
      </c>
      <c r="L1403" s="6">
        <f t="shared" si="63"/>
        <v>136871</v>
      </c>
      <c r="M1403" s="6">
        <v>58659</v>
      </c>
      <c r="N1403" s="5" t="str">
        <f t="shared" si="64"/>
        <v>May</v>
      </c>
      <c r="O1403" s="5" t="str">
        <f t="shared" si="65"/>
        <v xml:space="preserve"> 2023</v>
      </c>
    </row>
    <row r="1404" spans="1:15" x14ac:dyDescent="0.35">
      <c r="A1404" t="s">
        <v>2086</v>
      </c>
      <c r="B1404" s="5" t="s">
        <v>596</v>
      </c>
      <c r="C1404" s="4" t="s">
        <v>22</v>
      </c>
      <c r="D1404" s="4" t="s">
        <v>90</v>
      </c>
      <c r="E1404" s="4" t="s">
        <v>110</v>
      </c>
      <c r="F1404" s="4" t="s">
        <v>67</v>
      </c>
      <c r="G1404" s="4" t="s">
        <v>180</v>
      </c>
      <c r="H1404" s="4" t="s">
        <v>72</v>
      </c>
      <c r="I1404" s="4" t="s">
        <v>60</v>
      </c>
      <c r="J1404" s="3">
        <v>3</v>
      </c>
      <c r="K1404" s="6">
        <v>78321</v>
      </c>
      <c r="L1404" s="6">
        <f t="shared" si="63"/>
        <v>54824.7</v>
      </c>
      <c r="M1404" s="6">
        <v>23496.300000000003</v>
      </c>
      <c r="N1404" s="5" t="str">
        <f t="shared" si="64"/>
        <v>Jun</v>
      </c>
      <c r="O1404" s="5" t="str">
        <f t="shared" si="65"/>
        <v xml:space="preserve"> 2023</v>
      </c>
    </row>
    <row r="1405" spans="1:15" x14ac:dyDescent="0.35">
      <c r="A1405" t="s">
        <v>2087</v>
      </c>
      <c r="B1405" s="5" t="s">
        <v>1835</v>
      </c>
      <c r="C1405" s="4" t="s">
        <v>13</v>
      </c>
      <c r="D1405" s="4" t="s">
        <v>125</v>
      </c>
      <c r="E1405" s="4" t="s">
        <v>126</v>
      </c>
      <c r="F1405" s="4" t="s">
        <v>16</v>
      </c>
      <c r="G1405" s="4" t="s">
        <v>17</v>
      </c>
      <c r="H1405" s="4" t="s">
        <v>27</v>
      </c>
      <c r="I1405" s="4" t="s">
        <v>19</v>
      </c>
      <c r="J1405" s="3">
        <v>8</v>
      </c>
      <c r="K1405" s="6">
        <v>98832</v>
      </c>
      <c r="L1405" s="6">
        <f t="shared" si="63"/>
        <v>69182.399999999994</v>
      </c>
      <c r="M1405" s="6">
        <v>29649.600000000006</v>
      </c>
      <c r="N1405" s="5" t="str">
        <f t="shared" si="64"/>
        <v>Feb</v>
      </c>
      <c r="O1405" s="5" t="str">
        <f t="shared" si="65"/>
        <v xml:space="preserve"> 2024</v>
      </c>
    </row>
    <row r="1406" spans="1:15" x14ac:dyDescent="0.35">
      <c r="A1406" t="s">
        <v>2088</v>
      </c>
      <c r="B1406" s="5" t="s">
        <v>207</v>
      </c>
      <c r="C1406" s="4" t="s">
        <v>13</v>
      </c>
      <c r="D1406" s="4" t="s">
        <v>162</v>
      </c>
      <c r="E1406" s="4" t="s">
        <v>163</v>
      </c>
      <c r="F1406" s="4" t="s">
        <v>67</v>
      </c>
      <c r="G1406" s="4" t="s">
        <v>134</v>
      </c>
      <c r="H1406" s="4" t="s">
        <v>18</v>
      </c>
      <c r="I1406" s="4" t="s">
        <v>47</v>
      </c>
      <c r="J1406" s="3">
        <v>6</v>
      </c>
      <c r="K1406" s="6">
        <v>250458</v>
      </c>
      <c r="L1406" s="6">
        <f t="shared" si="63"/>
        <v>175320.59999999998</v>
      </c>
      <c r="M1406" s="6">
        <v>75137.400000000023</v>
      </c>
      <c r="N1406" s="5" t="str">
        <f t="shared" si="64"/>
        <v>Mar</v>
      </c>
      <c r="O1406" s="5" t="str">
        <f t="shared" si="65"/>
        <v xml:space="preserve"> 2023</v>
      </c>
    </row>
    <row r="1407" spans="1:15" x14ac:dyDescent="0.35">
      <c r="A1407" t="s">
        <v>2089</v>
      </c>
      <c r="B1407" s="5" t="s">
        <v>1032</v>
      </c>
      <c r="C1407" s="4" t="s">
        <v>31</v>
      </c>
      <c r="D1407" s="4" t="s">
        <v>45</v>
      </c>
      <c r="E1407" s="4" t="s">
        <v>46</v>
      </c>
      <c r="F1407" s="4" t="s">
        <v>16</v>
      </c>
      <c r="G1407" s="4" t="s">
        <v>42</v>
      </c>
      <c r="H1407" s="4" t="s">
        <v>72</v>
      </c>
      <c r="I1407" s="4" t="s">
        <v>39</v>
      </c>
      <c r="J1407" s="3">
        <v>10</v>
      </c>
      <c r="K1407" s="6">
        <v>437860</v>
      </c>
      <c r="L1407" s="6">
        <f t="shared" si="63"/>
        <v>306502</v>
      </c>
      <c r="M1407" s="6">
        <v>131358</v>
      </c>
      <c r="N1407" s="5" t="str">
        <f t="shared" si="64"/>
        <v>Feb</v>
      </c>
      <c r="O1407" s="5" t="str">
        <f t="shared" si="65"/>
        <v xml:space="preserve"> 2023</v>
      </c>
    </row>
    <row r="1408" spans="1:15" x14ac:dyDescent="0.35">
      <c r="A1408" t="s">
        <v>2090</v>
      </c>
      <c r="B1408" s="5" t="s">
        <v>506</v>
      </c>
      <c r="C1408" s="4" t="s">
        <v>13</v>
      </c>
      <c r="D1408" s="4" t="s">
        <v>162</v>
      </c>
      <c r="E1408" s="4" t="s">
        <v>163</v>
      </c>
      <c r="F1408" s="4" t="s">
        <v>25</v>
      </c>
      <c r="G1408" s="4" t="s">
        <v>71</v>
      </c>
      <c r="H1408" s="4" t="s">
        <v>72</v>
      </c>
      <c r="I1408" s="4" t="s">
        <v>60</v>
      </c>
      <c r="J1408" s="3">
        <v>8</v>
      </c>
      <c r="K1408" s="6">
        <v>55192</v>
      </c>
      <c r="L1408" s="6">
        <f t="shared" si="63"/>
        <v>38634.399999999994</v>
      </c>
      <c r="M1408" s="6">
        <v>16557.600000000006</v>
      </c>
      <c r="N1408" s="5" t="str">
        <f t="shared" si="64"/>
        <v>Jan</v>
      </c>
      <c r="O1408" s="5" t="str">
        <f t="shared" si="65"/>
        <v xml:space="preserve"> 2024</v>
      </c>
    </row>
    <row r="1409" spans="1:15" x14ac:dyDescent="0.35">
      <c r="A1409" t="s">
        <v>2091</v>
      </c>
      <c r="B1409" s="5" t="s">
        <v>1518</v>
      </c>
      <c r="C1409" s="4" t="s">
        <v>22</v>
      </c>
      <c r="D1409" s="4" t="s">
        <v>90</v>
      </c>
      <c r="E1409" s="4" t="s">
        <v>110</v>
      </c>
      <c r="F1409" s="4" t="s">
        <v>16</v>
      </c>
      <c r="G1409" s="4" t="s">
        <v>34</v>
      </c>
      <c r="H1409" s="4" t="s">
        <v>18</v>
      </c>
      <c r="I1409" s="4" t="s">
        <v>28</v>
      </c>
      <c r="J1409" s="3">
        <v>4</v>
      </c>
      <c r="K1409" s="6">
        <v>19456</v>
      </c>
      <c r="L1409" s="6">
        <f t="shared" si="63"/>
        <v>13619.199999999999</v>
      </c>
      <c r="M1409" s="6">
        <v>5836.8000000000011</v>
      </c>
      <c r="N1409" s="5" t="str">
        <f t="shared" si="64"/>
        <v>Sep</v>
      </c>
      <c r="O1409" s="5" t="str">
        <f t="shared" si="65"/>
        <v xml:space="preserve"> 2024</v>
      </c>
    </row>
    <row r="1410" spans="1:15" x14ac:dyDescent="0.35">
      <c r="A1410" t="s">
        <v>2092</v>
      </c>
      <c r="B1410" s="5" t="s">
        <v>1136</v>
      </c>
      <c r="C1410" s="4" t="s">
        <v>31</v>
      </c>
      <c r="D1410" s="4" t="s">
        <v>104</v>
      </c>
      <c r="E1410" s="4" t="s">
        <v>105</v>
      </c>
      <c r="F1410" s="4" t="s">
        <v>25</v>
      </c>
      <c r="G1410" s="4" t="s">
        <v>52</v>
      </c>
      <c r="H1410" s="4" t="s">
        <v>18</v>
      </c>
      <c r="I1410" s="4" t="s">
        <v>47</v>
      </c>
      <c r="J1410" s="3">
        <v>5</v>
      </c>
      <c r="K1410" s="6">
        <v>188895</v>
      </c>
      <c r="L1410" s="6">
        <f t="shared" ref="L1410:L1473" si="66">K1410*0.7</f>
        <v>132226.5</v>
      </c>
      <c r="M1410" s="6">
        <v>56668.5</v>
      </c>
      <c r="N1410" s="5" t="str">
        <f t="shared" ref="N1410:N1473" si="67">TEXT(B1410,"mmm")</f>
        <v>Nov</v>
      </c>
      <c r="O1410" s="5" t="str">
        <f t="shared" ref="O1410:O1473" si="68">TEXT(B1410," yyyy")</f>
        <v xml:space="preserve"> 2023</v>
      </c>
    </row>
    <row r="1411" spans="1:15" x14ac:dyDescent="0.35">
      <c r="A1411" t="s">
        <v>2093</v>
      </c>
      <c r="B1411" s="5" t="s">
        <v>554</v>
      </c>
      <c r="C1411" s="4" t="s">
        <v>22</v>
      </c>
      <c r="D1411" s="4" t="s">
        <v>86</v>
      </c>
      <c r="E1411" s="4" t="s">
        <v>87</v>
      </c>
      <c r="F1411" s="4" t="s">
        <v>25</v>
      </c>
      <c r="G1411" s="4" t="s">
        <v>26</v>
      </c>
      <c r="H1411" s="4" t="s">
        <v>72</v>
      </c>
      <c r="I1411" s="4" t="s">
        <v>47</v>
      </c>
      <c r="J1411" s="3">
        <v>8</v>
      </c>
      <c r="K1411" s="6">
        <v>147712</v>
      </c>
      <c r="L1411" s="6">
        <f t="shared" si="66"/>
        <v>103398.39999999999</v>
      </c>
      <c r="M1411" s="6">
        <v>44313.600000000006</v>
      </c>
      <c r="N1411" s="5" t="str">
        <f t="shared" si="67"/>
        <v>Sep</v>
      </c>
      <c r="O1411" s="5" t="str">
        <f t="shared" si="68"/>
        <v xml:space="preserve"> 2023</v>
      </c>
    </row>
    <row r="1412" spans="1:15" x14ac:dyDescent="0.35">
      <c r="A1412" t="s">
        <v>2094</v>
      </c>
      <c r="B1412" s="5" t="s">
        <v>512</v>
      </c>
      <c r="C1412" s="4" t="s">
        <v>22</v>
      </c>
      <c r="D1412" s="4" t="s">
        <v>90</v>
      </c>
      <c r="E1412" s="4" t="s">
        <v>110</v>
      </c>
      <c r="F1412" s="4" t="s">
        <v>37</v>
      </c>
      <c r="G1412" s="4" t="s">
        <v>183</v>
      </c>
      <c r="H1412" s="4" t="s">
        <v>72</v>
      </c>
      <c r="I1412" s="4" t="s">
        <v>47</v>
      </c>
      <c r="J1412" s="3">
        <v>4</v>
      </c>
      <c r="K1412" s="6">
        <v>130092</v>
      </c>
      <c r="L1412" s="6">
        <f t="shared" si="66"/>
        <v>91064.4</v>
      </c>
      <c r="M1412" s="6">
        <v>39027.600000000006</v>
      </c>
      <c r="N1412" s="5" t="str">
        <f t="shared" si="67"/>
        <v>May</v>
      </c>
      <c r="O1412" s="5" t="str">
        <f t="shared" si="68"/>
        <v xml:space="preserve"> 2024</v>
      </c>
    </row>
    <row r="1413" spans="1:15" x14ac:dyDescent="0.35">
      <c r="A1413" t="s">
        <v>2095</v>
      </c>
      <c r="B1413" s="5" t="s">
        <v>255</v>
      </c>
      <c r="C1413" s="4" t="s">
        <v>22</v>
      </c>
      <c r="D1413" s="4" t="s">
        <v>23</v>
      </c>
      <c r="E1413" s="4" t="s">
        <v>24</v>
      </c>
      <c r="F1413" s="4" t="s">
        <v>16</v>
      </c>
      <c r="G1413" s="4" t="s">
        <v>122</v>
      </c>
      <c r="H1413" s="4" t="s">
        <v>72</v>
      </c>
      <c r="I1413" s="4" t="s">
        <v>39</v>
      </c>
      <c r="J1413" s="3">
        <v>7</v>
      </c>
      <c r="K1413" s="6">
        <v>332899</v>
      </c>
      <c r="L1413" s="6">
        <f t="shared" si="66"/>
        <v>233029.3</v>
      </c>
      <c r="M1413" s="6">
        <v>99869.700000000012</v>
      </c>
      <c r="N1413" s="5" t="str">
        <f t="shared" si="67"/>
        <v>Nov</v>
      </c>
      <c r="O1413" s="5" t="str">
        <f t="shared" si="68"/>
        <v xml:space="preserve"> 2023</v>
      </c>
    </row>
    <row r="1414" spans="1:15" x14ac:dyDescent="0.35">
      <c r="A1414" t="s">
        <v>2096</v>
      </c>
      <c r="B1414" s="5" t="s">
        <v>479</v>
      </c>
      <c r="C1414" s="4" t="s">
        <v>55</v>
      </c>
      <c r="D1414" s="4" t="s">
        <v>56</v>
      </c>
      <c r="E1414" s="4" t="s">
        <v>57</v>
      </c>
      <c r="F1414" s="4" t="s">
        <v>25</v>
      </c>
      <c r="G1414" s="4" t="s">
        <v>26</v>
      </c>
      <c r="H1414" s="4" t="s">
        <v>18</v>
      </c>
      <c r="I1414" s="4" t="s">
        <v>60</v>
      </c>
      <c r="J1414" s="3">
        <v>9</v>
      </c>
      <c r="K1414" s="6">
        <v>60660</v>
      </c>
      <c r="L1414" s="6">
        <f t="shared" si="66"/>
        <v>42462</v>
      </c>
      <c r="M1414" s="6">
        <v>18198</v>
      </c>
      <c r="N1414" s="5" t="str">
        <f t="shared" si="67"/>
        <v>Aug</v>
      </c>
      <c r="O1414" s="5" t="str">
        <f t="shared" si="68"/>
        <v xml:space="preserve"> 2024</v>
      </c>
    </row>
    <row r="1415" spans="1:15" x14ac:dyDescent="0.35">
      <c r="A1415" t="s">
        <v>2097</v>
      </c>
      <c r="B1415" s="5" t="s">
        <v>949</v>
      </c>
      <c r="C1415" s="4" t="s">
        <v>31</v>
      </c>
      <c r="D1415" s="4" t="s">
        <v>32</v>
      </c>
      <c r="E1415" s="4" t="s">
        <v>33</v>
      </c>
      <c r="F1415" s="4" t="s">
        <v>37</v>
      </c>
      <c r="G1415" s="4" t="s">
        <v>186</v>
      </c>
      <c r="H1415" s="4" t="s">
        <v>27</v>
      </c>
      <c r="I1415" s="4" t="s">
        <v>60</v>
      </c>
      <c r="J1415" s="3">
        <v>5</v>
      </c>
      <c r="K1415" s="6">
        <v>10720</v>
      </c>
      <c r="L1415" s="6">
        <f t="shared" si="66"/>
        <v>7503.9999999999991</v>
      </c>
      <c r="M1415" s="6">
        <v>3216.0000000000009</v>
      </c>
      <c r="N1415" s="5" t="str">
        <f t="shared" si="67"/>
        <v>Feb</v>
      </c>
      <c r="O1415" s="5" t="str">
        <f t="shared" si="68"/>
        <v xml:space="preserve"> 2023</v>
      </c>
    </row>
    <row r="1416" spans="1:15" x14ac:dyDescent="0.35">
      <c r="A1416" t="s">
        <v>2098</v>
      </c>
      <c r="B1416" s="5" t="s">
        <v>846</v>
      </c>
      <c r="C1416" s="4" t="s">
        <v>13</v>
      </c>
      <c r="D1416" s="4" t="s">
        <v>125</v>
      </c>
      <c r="E1416" s="4" t="s">
        <v>126</v>
      </c>
      <c r="F1416" s="4" t="s">
        <v>16</v>
      </c>
      <c r="G1416" s="4" t="s">
        <v>17</v>
      </c>
      <c r="H1416" s="4" t="s">
        <v>27</v>
      </c>
      <c r="I1416" s="4" t="s">
        <v>60</v>
      </c>
      <c r="J1416" s="3">
        <v>5</v>
      </c>
      <c r="K1416" s="6">
        <v>2895</v>
      </c>
      <c r="L1416" s="6">
        <f t="shared" si="66"/>
        <v>2026.4999999999998</v>
      </c>
      <c r="M1416" s="6">
        <v>868.50000000000023</v>
      </c>
      <c r="N1416" s="5" t="str">
        <f t="shared" si="67"/>
        <v>Oct</v>
      </c>
      <c r="O1416" s="5" t="str">
        <f t="shared" si="68"/>
        <v xml:space="preserve"> 2024</v>
      </c>
    </row>
    <row r="1417" spans="1:15" x14ac:dyDescent="0.35">
      <c r="A1417" t="s">
        <v>2099</v>
      </c>
      <c r="B1417" s="5" t="s">
        <v>145</v>
      </c>
      <c r="C1417" s="4" t="s">
        <v>55</v>
      </c>
      <c r="D1417" s="4" t="s">
        <v>56</v>
      </c>
      <c r="E1417" s="4" t="s">
        <v>57</v>
      </c>
      <c r="F1417" s="4" t="s">
        <v>25</v>
      </c>
      <c r="G1417" s="4" t="s">
        <v>71</v>
      </c>
      <c r="H1417" s="4" t="s">
        <v>18</v>
      </c>
      <c r="I1417" s="4" t="s">
        <v>19</v>
      </c>
      <c r="J1417" s="3">
        <v>1</v>
      </c>
      <c r="K1417" s="6">
        <v>21131</v>
      </c>
      <c r="L1417" s="6">
        <f t="shared" si="66"/>
        <v>14791.699999999999</v>
      </c>
      <c r="M1417" s="6">
        <v>6339.3000000000011</v>
      </c>
      <c r="N1417" s="5" t="str">
        <f t="shared" si="67"/>
        <v>Jun</v>
      </c>
      <c r="O1417" s="5" t="str">
        <f t="shared" si="68"/>
        <v xml:space="preserve"> 2024</v>
      </c>
    </row>
    <row r="1418" spans="1:15" x14ac:dyDescent="0.35">
      <c r="A1418" t="s">
        <v>2100</v>
      </c>
      <c r="B1418" s="5" t="s">
        <v>361</v>
      </c>
      <c r="C1418" s="4" t="s">
        <v>31</v>
      </c>
      <c r="D1418" s="4" t="s">
        <v>32</v>
      </c>
      <c r="E1418" s="4" t="s">
        <v>33</v>
      </c>
      <c r="F1418" s="4" t="s">
        <v>37</v>
      </c>
      <c r="G1418" s="4" t="s">
        <v>38</v>
      </c>
      <c r="H1418" s="4" t="s">
        <v>72</v>
      </c>
      <c r="I1418" s="4" t="s">
        <v>47</v>
      </c>
      <c r="J1418" s="3">
        <v>6</v>
      </c>
      <c r="K1418" s="6">
        <v>297432</v>
      </c>
      <c r="L1418" s="6">
        <f t="shared" si="66"/>
        <v>208202.4</v>
      </c>
      <c r="M1418" s="6">
        <v>89229.6</v>
      </c>
      <c r="N1418" s="5" t="str">
        <f t="shared" si="67"/>
        <v>Apr</v>
      </c>
      <c r="O1418" s="5" t="str">
        <f t="shared" si="68"/>
        <v xml:space="preserve"> 2023</v>
      </c>
    </row>
    <row r="1419" spans="1:15" x14ac:dyDescent="0.35">
      <c r="A1419" t="s">
        <v>2101</v>
      </c>
      <c r="B1419" s="5" t="s">
        <v>790</v>
      </c>
      <c r="C1419" s="4" t="s">
        <v>22</v>
      </c>
      <c r="D1419" s="4" t="s">
        <v>90</v>
      </c>
      <c r="E1419" s="4" t="s">
        <v>91</v>
      </c>
      <c r="F1419" s="4" t="s">
        <v>37</v>
      </c>
      <c r="G1419" s="4" t="s">
        <v>186</v>
      </c>
      <c r="H1419" s="4" t="s">
        <v>18</v>
      </c>
      <c r="I1419" s="4" t="s">
        <v>19</v>
      </c>
      <c r="J1419" s="3">
        <v>2</v>
      </c>
      <c r="K1419" s="6">
        <v>7386</v>
      </c>
      <c r="L1419" s="6">
        <f t="shared" si="66"/>
        <v>5170.2</v>
      </c>
      <c r="M1419" s="6">
        <v>2215.8000000000002</v>
      </c>
      <c r="N1419" s="5" t="str">
        <f t="shared" si="67"/>
        <v>Jun</v>
      </c>
      <c r="O1419" s="5" t="str">
        <f t="shared" si="68"/>
        <v xml:space="preserve"> 2024</v>
      </c>
    </row>
    <row r="1420" spans="1:15" x14ac:dyDescent="0.35">
      <c r="A1420" t="s">
        <v>2102</v>
      </c>
      <c r="B1420" s="5" t="s">
        <v>427</v>
      </c>
      <c r="C1420" s="4" t="s">
        <v>22</v>
      </c>
      <c r="D1420" s="4" t="s">
        <v>90</v>
      </c>
      <c r="E1420" s="4" t="s">
        <v>110</v>
      </c>
      <c r="F1420" s="4" t="s">
        <v>37</v>
      </c>
      <c r="G1420" s="4" t="s">
        <v>148</v>
      </c>
      <c r="H1420" s="4" t="s">
        <v>72</v>
      </c>
      <c r="I1420" s="4" t="s">
        <v>19</v>
      </c>
      <c r="J1420" s="3">
        <v>9</v>
      </c>
      <c r="K1420" s="6">
        <v>240444</v>
      </c>
      <c r="L1420" s="6">
        <f t="shared" si="66"/>
        <v>168310.8</v>
      </c>
      <c r="M1420" s="6">
        <v>72133.200000000012</v>
      </c>
      <c r="N1420" s="5" t="str">
        <f t="shared" si="67"/>
        <v>Apr</v>
      </c>
      <c r="O1420" s="5" t="str">
        <f t="shared" si="68"/>
        <v xml:space="preserve"> 2023</v>
      </c>
    </row>
    <row r="1421" spans="1:15" x14ac:dyDescent="0.35">
      <c r="A1421" t="s">
        <v>2103</v>
      </c>
      <c r="B1421" s="5" t="s">
        <v>846</v>
      </c>
      <c r="C1421" s="4" t="s">
        <v>55</v>
      </c>
      <c r="D1421" s="4" t="s">
        <v>98</v>
      </c>
      <c r="E1421" s="4" t="s">
        <v>99</v>
      </c>
      <c r="F1421" s="4" t="s">
        <v>67</v>
      </c>
      <c r="G1421" s="4" t="s">
        <v>113</v>
      </c>
      <c r="H1421" s="4" t="s">
        <v>27</v>
      </c>
      <c r="I1421" s="4" t="s">
        <v>28</v>
      </c>
      <c r="J1421" s="3">
        <v>4</v>
      </c>
      <c r="K1421" s="6">
        <v>77552</v>
      </c>
      <c r="L1421" s="6">
        <f t="shared" si="66"/>
        <v>54286.399999999994</v>
      </c>
      <c r="M1421" s="6">
        <v>23265.600000000006</v>
      </c>
      <c r="N1421" s="5" t="str">
        <f t="shared" si="67"/>
        <v>Oct</v>
      </c>
      <c r="O1421" s="5" t="str">
        <f t="shared" si="68"/>
        <v xml:space="preserve"> 2024</v>
      </c>
    </row>
    <row r="1422" spans="1:15" x14ac:dyDescent="0.35">
      <c r="A1422" t="s">
        <v>2104</v>
      </c>
      <c r="B1422" s="5" t="s">
        <v>508</v>
      </c>
      <c r="C1422" s="4" t="s">
        <v>55</v>
      </c>
      <c r="D1422" s="4" t="s">
        <v>56</v>
      </c>
      <c r="E1422" s="4" t="s">
        <v>57</v>
      </c>
      <c r="F1422" s="4" t="s">
        <v>25</v>
      </c>
      <c r="G1422" s="4" t="s">
        <v>77</v>
      </c>
      <c r="H1422" s="4" t="s">
        <v>27</v>
      </c>
      <c r="I1422" s="4" t="s">
        <v>39</v>
      </c>
      <c r="J1422" s="3">
        <v>5</v>
      </c>
      <c r="K1422" s="6">
        <v>221660</v>
      </c>
      <c r="L1422" s="6">
        <f t="shared" si="66"/>
        <v>155162</v>
      </c>
      <c r="M1422" s="6">
        <v>66498</v>
      </c>
      <c r="N1422" s="5" t="str">
        <f t="shared" si="67"/>
        <v>Feb</v>
      </c>
      <c r="O1422" s="5" t="str">
        <f t="shared" si="68"/>
        <v xml:space="preserve"> 2024</v>
      </c>
    </row>
    <row r="1423" spans="1:15" x14ac:dyDescent="0.35">
      <c r="A1423" t="s">
        <v>2105</v>
      </c>
      <c r="B1423" s="5" t="s">
        <v>652</v>
      </c>
      <c r="C1423" s="4" t="s">
        <v>55</v>
      </c>
      <c r="D1423" s="4" t="s">
        <v>63</v>
      </c>
      <c r="E1423" s="4" t="s">
        <v>64</v>
      </c>
      <c r="F1423" s="4" t="s">
        <v>37</v>
      </c>
      <c r="G1423" s="4" t="s">
        <v>186</v>
      </c>
      <c r="H1423" s="4" t="s">
        <v>27</v>
      </c>
      <c r="I1423" s="4" t="s">
        <v>60</v>
      </c>
      <c r="J1423" s="3">
        <v>2</v>
      </c>
      <c r="K1423" s="6">
        <v>20048</v>
      </c>
      <c r="L1423" s="6">
        <f t="shared" si="66"/>
        <v>14033.599999999999</v>
      </c>
      <c r="M1423" s="6">
        <v>6014.4000000000015</v>
      </c>
      <c r="N1423" s="5" t="str">
        <f t="shared" si="67"/>
        <v>May</v>
      </c>
      <c r="O1423" s="5" t="str">
        <f t="shared" si="68"/>
        <v xml:space="preserve"> 2023</v>
      </c>
    </row>
    <row r="1424" spans="1:15" x14ac:dyDescent="0.35">
      <c r="A1424" t="s">
        <v>2106</v>
      </c>
      <c r="B1424" s="5" t="s">
        <v>2107</v>
      </c>
      <c r="C1424" s="4" t="s">
        <v>31</v>
      </c>
      <c r="D1424" s="4" t="s">
        <v>32</v>
      </c>
      <c r="E1424" s="4" t="s">
        <v>33</v>
      </c>
      <c r="F1424" s="4" t="s">
        <v>25</v>
      </c>
      <c r="G1424" s="4" t="s">
        <v>71</v>
      </c>
      <c r="H1424" s="4" t="s">
        <v>18</v>
      </c>
      <c r="I1424" s="4" t="s">
        <v>39</v>
      </c>
      <c r="J1424" s="3">
        <v>4</v>
      </c>
      <c r="K1424" s="6">
        <v>74168</v>
      </c>
      <c r="L1424" s="6">
        <f t="shared" si="66"/>
        <v>51917.599999999999</v>
      </c>
      <c r="M1424" s="6">
        <v>22250.400000000001</v>
      </c>
      <c r="N1424" s="5" t="str">
        <f t="shared" si="67"/>
        <v>Sep</v>
      </c>
      <c r="O1424" s="5" t="str">
        <f t="shared" si="68"/>
        <v xml:space="preserve"> 2024</v>
      </c>
    </row>
    <row r="1425" spans="1:15" x14ac:dyDescent="0.35">
      <c r="A1425" t="s">
        <v>2108</v>
      </c>
      <c r="B1425" s="5" t="s">
        <v>603</v>
      </c>
      <c r="C1425" s="4" t="s">
        <v>31</v>
      </c>
      <c r="D1425" s="4" t="s">
        <v>45</v>
      </c>
      <c r="E1425" s="4" t="s">
        <v>46</v>
      </c>
      <c r="F1425" s="4" t="s">
        <v>25</v>
      </c>
      <c r="G1425" s="4" t="s">
        <v>26</v>
      </c>
      <c r="H1425" s="4" t="s">
        <v>18</v>
      </c>
      <c r="I1425" s="4" t="s">
        <v>19</v>
      </c>
      <c r="J1425" s="3">
        <v>9</v>
      </c>
      <c r="K1425" s="6">
        <v>118782</v>
      </c>
      <c r="L1425" s="6">
        <f t="shared" si="66"/>
        <v>83147.399999999994</v>
      </c>
      <c r="M1425" s="6">
        <v>35634.600000000006</v>
      </c>
      <c r="N1425" s="5" t="str">
        <f t="shared" si="67"/>
        <v>Oct</v>
      </c>
      <c r="O1425" s="5" t="str">
        <f t="shared" si="68"/>
        <v xml:space="preserve"> 2024</v>
      </c>
    </row>
    <row r="1426" spans="1:15" x14ac:dyDescent="0.35">
      <c r="A1426" t="s">
        <v>2109</v>
      </c>
      <c r="B1426" s="5" t="s">
        <v>2110</v>
      </c>
      <c r="C1426" s="4" t="s">
        <v>55</v>
      </c>
      <c r="D1426" s="4" t="s">
        <v>82</v>
      </c>
      <c r="E1426" s="4" t="s">
        <v>83</v>
      </c>
      <c r="F1426" s="4" t="s">
        <v>16</v>
      </c>
      <c r="G1426" s="4" t="s">
        <v>122</v>
      </c>
      <c r="H1426" s="4" t="s">
        <v>72</v>
      </c>
      <c r="I1426" s="4" t="s">
        <v>47</v>
      </c>
      <c r="J1426" s="3">
        <v>5</v>
      </c>
      <c r="K1426" s="6">
        <v>52360</v>
      </c>
      <c r="L1426" s="6">
        <f t="shared" si="66"/>
        <v>36652</v>
      </c>
      <c r="M1426" s="6">
        <v>15708</v>
      </c>
      <c r="N1426" s="5" t="str">
        <f t="shared" si="67"/>
        <v>Jul</v>
      </c>
      <c r="O1426" s="5" t="str">
        <f t="shared" si="68"/>
        <v xml:space="preserve"> 2023</v>
      </c>
    </row>
    <row r="1427" spans="1:15" x14ac:dyDescent="0.35">
      <c r="A1427" t="s">
        <v>2111</v>
      </c>
      <c r="B1427" s="5" t="s">
        <v>550</v>
      </c>
      <c r="C1427" s="4" t="s">
        <v>22</v>
      </c>
      <c r="D1427" s="4" t="s">
        <v>23</v>
      </c>
      <c r="E1427" s="4" t="s">
        <v>24</v>
      </c>
      <c r="F1427" s="4" t="s">
        <v>67</v>
      </c>
      <c r="G1427" s="4" t="s">
        <v>180</v>
      </c>
      <c r="H1427" s="4" t="s">
        <v>27</v>
      </c>
      <c r="I1427" s="4" t="s">
        <v>39</v>
      </c>
      <c r="J1427" s="3">
        <v>6</v>
      </c>
      <c r="K1427" s="6">
        <v>243858</v>
      </c>
      <c r="L1427" s="6">
        <f t="shared" si="66"/>
        <v>170700.59999999998</v>
      </c>
      <c r="M1427" s="6">
        <v>73157.400000000023</v>
      </c>
      <c r="N1427" s="5" t="str">
        <f t="shared" si="67"/>
        <v>May</v>
      </c>
      <c r="O1427" s="5" t="str">
        <f t="shared" si="68"/>
        <v xml:space="preserve"> 2024</v>
      </c>
    </row>
    <row r="1428" spans="1:15" x14ac:dyDescent="0.35">
      <c r="A1428" t="s">
        <v>2112</v>
      </c>
      <c r="B1428" s="5" t="s">
        <v>41</v>
      </c>
      <c r="C1428" s="4" t="s">
        <v>55</v>
      </c>
      <c r="D1428" s="4" t="s">
        <v>63</v>
      </c>
      <c r="E1428" s="4" t="s">
        <v>64</v>
      </c>
      <c r="F1428" s="4" t="s">
        <v>25</v>
      </c>
      <c r="G1428" s="4" t="s">
        <v>52</v>
      </c>
      <c r="H1428" s="4" t="s">
        <v>18</v>
      </c>
      <c r="I1428" s="4" t="s">
        <v>28</v>
      </c>
      <c r="J1428" s="3">
        <v>9</v>
      </c>
      <c r="K1428" s="6">
        <v>410166</v>
      </c>
      <c r="L1428" s="6">
        <f t="shared" si="66"/>
        <v>287116.19999999995</v>
      </c>
      <c r="M1428" s="6">
        <v>123049.80000000005</v>
      </c>
      <c r="N1428" s="5" t="str">
        <f t="shared" si="67"/>
        <v>Feb</v>
      </c>
      <c r="O1428" s="5" t="str">
        <f t="shared" si="68"/>
        <v xml:space="preserve"> 2024</v>
      </c>
    </row>
    <row r="1429" spans="1:15" x14ac:dyDescent="0.35">
      <c r="A1429" t="s">
        <v>2113</v>
      </c>
      <c r="B1429" s="5" t="s">
        <v>731</v>
      </c>
      <c r="C1429" s="4" t="s">
        <v>22</v>
      </c>
      <c r="D1429" s="4" t="s">
        <v>86</v>
      </c>
      <c r="E1429" s="4" t="s">
        <v>87</v>
      </c>
      <c r="F1429" s="4" t="s">
        <v>16</v>
      </c>
      <c r="G1429" s="4" t="s">
        <v>42</v>
      </c>
      <c r="H1429" s="4" t="s">
        <v>72</v>
      </c>
      <c r="I1429" s="4" t="s">
        <v>28</v>
      </c>
      <c r="J1429" s="3">
        <v>9</v>
      </c>
      <c r="K1429" s="6">
        <v>194841</v>
      </c>
      <c r="L1429" s="6">
        <f t="shared" si="66"/>
        <v>136388.69999999998</v>
      </c>
      <c r="M1429" s="6">
        <v>58452.300000000017</v>
      </c>
      <c r="N1429" s="5" t="str">
        <f t="shared" si="67"/>
        <v>Jun</v>
      </c>
      <c r="O1429" s="5" t="str">
        <f t="shared" si="68"/>
        <v xml:space="preserve"> 2024</v>
      </c>
    </row>
    <row r="1430" spans="1:15" x14ac:dyDescent="0.35">
      <c r="A1430" t="s">
        <v>2114</v>
      </c>
      <c r="B1430" s="5" t="s">
        <v>2115</v>
      </c>
      <c r="C1430" s="4" t="s">
        <v>31</v>
      </c>
      <c r="D1430" s="4" t="s">
        <v>50</v>
      </c>
      <c r="E1430" s="4" t="s">
        <v>51</v>
      </c>
      <c r="F1430" s="4" t="s">
        <v>16</v>
      </c>
      <c r="G1430" s="4" t="s">
        <v>42</v>
      </c>
      <c r="H1430" s="4" t="s">
        <v>27</v>
      </c>
      <c r="I1430" s="4" t="s">
        <v>60</v>
      </c>
      <c r="J1430" s="3">
        <v>3</v>
      </c>
      <c r="K1430" s="6">
        <v>33999</v>
      </c>
      <c r="L1430" s="6">
        <f t="shared" si="66"/>
        <v>23799.3</v>
      </c>
      <c r="M1430" s="6">
        <v>10199.700000000001</v>
      </c>
      <c r="N1430" s="5" t="str">
        <f t="shared" si="67"/>
        <v>Jun</v>
      </c>
      <c r="O1430" s="5" t="str">
        <f t="shared" si="68"/>
        <v xml:space="preserve"> 2023</v>
      </c>
    </row>
    <row r="1431" spans="1:15" x14ac:dyDescent="0.35">
      <c r="A1431" t="s">
        <v>2116</v>
      </c>
      <c r="B1431" s="5" t="s">
        <v>1431</v>
      </c>
      <c r="C1431" s="4" t="s">
        <v>22</v>
      </c>
      <c r="D1431" s="4" t="s">
        <v>23</v>
      </c>
      <c r="E1431" s="4" t="s">
        <v>24</v>
      </c>
      <c r="F1431" s="4" t="s">
        <v>67</v>
      </c>
      <c r="G1431" s="4" t="s">
        <v>68</v>
      </c>
      <c r="H1431" s="4" t="s">
        <v>27</v>
      </c>
      <c r="I1431" s="4" t="s">
        <v>60</v>
      </c>
      <c r="J1431" s="3">
        <v>3</v>
      </c>
      <c r="K1431" s="6">
        <v>76560</v>
      </c>
      <c r="L1431" s="6">
        <f t="shared" si="66"/>
        <v>53592</v>
      </c>
      <c r="M1431" s="6">
        <v>22968</v>
      </c>
      <c r="N1431" s="5" t="str">
        <f t="shared" si="67"/>
        <v>Jul</v>
      </c>
      <c r="O1431" s="5" t="str">
        <f t="shared" si="68"/>
        <v xml:space="preserve"> 2023</v>
      </c>
    </row>
    <row r="1432" spans="1:15" x14ac:dyDescent="0.35">
      <c r="A1432" t="s">
        <v>2117</v>
      </c>
      <c r="B1432" s="5" t="s">
        <v>917</v>
      </c>
      <c r="C1432" s="4" t="s">
        <v>22</v>
      </c>
      <c r="D1432" s="4" t="s">
        <v>90</v>
      </c>
      <c r="E1432" s="4" t="s">
        <v>91</v>
      </c>
      <c r="F1432" s="4" t="s">
        <v>67</v>
      </c>
      <c r="G1432" s="4" t="s">
        <v>180</v>
      </c>
      <c r="H1432" s="4" t="s">
        <v>18</v>
      </c>
      <c r="I1432" s="4" t="s">
        <v>60</v>
      </c>
      <c r="J1432" s="3">
        <v>9</v>
      </c>
      <c r="K1432" s="6">
        <v>242001</v>
      </c>
      <c r="L1432" s="6">
        <f t="shared" si="66"/>
        <v>169400.69999999998</v>
      </c>
      <c r="M1432" s="6">
        <v>72600.300000000017</v>
      </c>
      <c r="N1432" s="5" t="str">
        <f t="shared" si="67"/>
        <v>Jul</v>
      </c>
      <c r="O1432" s="5" t="str">
        <f t="shared" si="68"/>
        <v xml:space="preserve"> 2023</v>
      </c>
    </row>
    <row r="1433" spans="1:15" x14ac:dyDescent="0.35">
      <c r="A1433" t="s">
        <v>2118</v>
      </c>
      <c r="B1433" s="5" t="s">
        <v>2119</v>
      </c>
      <c r="C1433" s="4" t="s">
        <v>22</v>
      </c>
      <c r="D1433" s="4" t="s">
        <v>86</v>
      </c>
      <c r="E1433" s="4" t="s">
        <v>87</v>
      </c>
      <c r="F1433" s="4" t="s">
        <v>37</v>
      </c>
      <c r="G1433" s="4" t="s">
        <v>38</v>
      </c>
      <c r="H1433" s="4" t="s">
        <v>72</v>
      </c>
      <c r="I1433" s="4" t="s">
        <v>28</v>
      </c>
      <c r="J1433" s="3">
        <v>3</v>
      </c>
      <c r="K1433" s="6">
        <v>16116</v>
      </c>
      <c r="L1433" s="6">
        <f t="shared" si="66"/>
        <v>11281.199999999999</v>
      </c>
      <c r="M1433" s="6">
        <v>4834.8000000000011</v>
      </c>
      <c r="N1433" s="5" t="str">
        <f t="shared" si="67"/>
        <v>Oct</v>
      </c>
      <c r="O1433" s="5" t="str">
        <f t="shared" si="68"/>
        <v xml:space="preserve"> 2024</v>
      </c>
    </row>
    <row r="1434" spans="1:15" x14ac:dyDescent="0.35">
      <c r="A1434" t="s">
        <v>2120</v>
      </c>
      <c r="B1434" s="5" t="s">
        <v>392</v>
      </c>
      <c r="C1434" s="4" t="s">
        <v>22</v>
      </c>
      <c r="D1434" s="4" t="s">
        <v>23</v>
      </c>
      <c r="E1434" s="4" t="s">
        <v>24</v>
      </c>
      <c r="F1434" s="4" t="s">
        <v>25</v>
      </c>
      <c r="G1434" s="4" t="s">
        <v>77</v>
      </c>
      <c r="H1434" s="4" t="s">
        <v>72</v>
      </c>
      <c r="I1434" s="4" t="s">
        <v>28</v>
      </c>
      <c r="J1434" s="3">
        <v>10</v>
      </c>
      <c r="K1434" s="6">
        <v>27580</v>
      </c>
      <c r="L1434" s="6">
        <f t="shared" si="66"/>
        <v>19306</v>
      </c>
      <c r="M1434" s="6">
        <v>8274</v>
      </c>
      <c r="N1434" s="5" t="str">
        <f t="shared" si="67"/>
        <v>Jan</v>
      </c>
      <c r="O1434" s="5" t="str">
        <f t="shared" si="68"/>
        <v xml:space="preserve"> 2024</v>
      </c>
    </row>
    <row r="1435" spans="1:15" x14ac:dyDescent="0.35">
      <c r="A1435" t="s">
        <v>2121</v>
      </c>
      <c r="B1435" s="5" t="s">
        <v>1338</v>
      </c>
      <c r="C1435" s="4" t="s">
        <v>22</v>
      </c>
      <c r="D1435" s="4" t="s">
        <v>90</v>
      </c>
      <c r="E1435" s="4" t="s">
        <v>91</v>
      </c>
      <c r="F1435" s="4" t="s">
        <v>16</v>
      </c>
      <c r="G1435" s="4" t="s">
        <v>17</v>
      </c>
      <c r="H1435" s="4" t="s">
        <v>72</v>
      </c>
      <c r="I1435" s="4" t="s">
        <v>19</v>
      </c>
      <c r="J1435" s="3">
        <v>2</v>
      </c>
      <c r="K1435" s="6">
        <v>36292</v>
      </c>
      <c r="L1435" s="6">
        <f t="shared" si="66"/>
        <v>25404.399999999998</v>
      </c>
      <c r="M1435" s="6">
        <v>10887.600000000002</v>
      </c>
      <c r="N1435" s="5" t="str">
        <f t="shared" si="67"/>
        <v>Sep</v>
      </c>
      <c r="O1435" s="5" t="str">
        <f t="shared" si="68"/>
        <v xml:space="preserve"> 2023</v>
      </c>
    </row>
    <row r="1436" spans="1:15" x14ac:dyDescent="0.35">
      <c r="A1436" t="s">
        <v>2122</v>
      </c>
      <c r="B1436" s="5" t="s">
        <v>2123</v>
      </c>
      <c r="C1436" s="4" t="s">
        <v>31</v>
      </c>
      <c r="D1436" s="4" t="s">
        <v>104</v>
      </c>
      <c r="E1436" s="4" t="s">
        <v>105</v>
      </c>
      <c r="F1436" s="4" t="s">
        <v>16</v>
      </c>
      <c r="G1436" s="4" t="s">
        <v>17</v>
      </c>
      <c r="H1436" s="4" t="s">
        <v>72</v>
      </c>
      <c r="I1436" s="4" t="s">
        <v>47</v>
      </c>
      <c r="J1436" s="3">
        <v>8</v>
      </c>
      <c r="K1436" s="6">
        <v>180248</v>
      </c>
      <c r="L1436" s="6">
        <f t="shared" si="66"/>
        <v>126173.59999999999</v>
      </c>
      <c r="M1436" s="6">
        <v>54074.400000000009</v>
      </c>
      <c r="N1436" s="5" t="str">
        <f t="shared" si="67"/>
        <v>Jun</v>
      </c>
      <c r="O1436" s="5" t="str">
        <f t="shared" si="68"/>
        <v xml:space="preserve"> 2023</v>
      </c>
    </row>
    <row r="1437" spans="1:15" x14ac:dyDescent="0.35">
      <c r="A1437" t="s">
        <v>2124</v>
      </c>
      <c r="B1437" s="5" t="s">
        <v>1425</v>
      </c>
      <c r="C1437" s="4" t="s">
        <v>31</v>
      </c>
      <c r="D1437" s="4" t="s">
        <v>32</v>
      </c>
      <c r="E1437" s="4" t="s">
        <v>33</v>
      </c>
      <c r="F1437" s="4" t="s">
        <v>67</v>
      </c>
      <c r="G1437" s="4" t="s">
        <v>180</v>
      </c>
      <c r="H1437" s="4" t="s">
        <v>27</v>
      </c>
      <c r="I1437" s="4" t="s">
        <v>60</v>
      </c>
      <c r="J1437" s="3">
        <v>5</v>
      </c>
      <c r="K1437" s="6">
        <v>240300</v>
      </c>
      <c r="L1437" s="6">
        <f t="shared" si="66"/>
        <v>168210</v>
      </c>
      <c r="M1437" s="6">
        <v>72090</v>
      </c>
      <c r="N1437" s="5" t="str">
        <f t="shared" si="67"/>
        <v>Jan</v>
      </c>
      <c r="O1437" s="5" t="str">
        <f t="shared" si="68"/>
        <v xml:space="preserve"> 2024</v>
      </c>
    </row>
    <row r="1438" spans="1:15" x14ac:dyDescent="0.35">
      <c r="A1438" t="s">
        <v>2125</v>
      </c>
      <c r="B1438" s="5" t="s">
        <v>1196</v>
      </c>
      <c r="C1438" s="4" t="s">
        <v>31</v>
      </c>
      <c r="D1438" s="4" t="s">
        <v>32</v>
      </c>
      <c r="E1438" s="4" t="s">
        <v>33</v>
      </c>
      <c r="F1438" s="4" t="s">
        <v>67</v>
      </c>
      <c r="G1438" s="4" t="s">
        <v>134</v>
      </c>
      <c r="H1438" s="4" t="s">
        <v>72</v>
      </c>
      <c r="I1438" s="4" t="s">
        <v>28</v>
      </c>
      <c r="J1438" s="3">
        <v>4</v>
      </c>
      <c r="K1438" s="6">
        <v>75172</v>
      </c>
      <c r="L1438" s="6">
        <f t="shared" si="66"/>
        <v>52620.399999999994</v>
      </c>
      <c r="M1438" s="6">
        <v>22551.600000000006</v>
      </c>
      <c r="N1438" s="5" t="str">
        <f t="shared" si="67"/>
        <v>Nov</v>
      </c>
      <c r="O1438" s="5" t="str">
        <f t="shared" si="68"/>
        <v xml:space="preserve"> 2023</v>
      </c>
    </row>
    <row r="1439" spans="1:15" x14ac:dyDescent="0.35">
      <c r="A1439" t="s">
        <v>2126</v>
      </c>
      <c r="B1439" s="5" t="s">
        <v>877</v>
      </c>
      <c r="C1439" s="4" t="s">
        <v>13</v>
      </c>
      <c r="D1439" s="4" t="s">
        <v>118</v>
      </c>
      <c r="E1439" s="4" t="s">
        <v>119</v>
      </c>
      <c r="F1439" s="4" t="s">
        <v>25</v>
      </c>
      <c r="G1439" s="4" t="s">
        <v>77</v>
      </c>
      <c r="H1439" s="4" t="s">
        <v>72</v>
      </c>
      <c r="I1439" s="4" t="s">
        <v>39</v>
      </c>
      <c r="J1439" s="3">
        <v>2</v>
      </c>
      <c r="K1439" s="6">
        <v>35046</v>
      </c>
      <c r="L1439" s="6">
        <f t="shared" si="66"/>
        <v>24532.199999999997</v>
      </c>
      <c r="M1439" s="6">
        <v>10513.800000000003</v>
      </c>
      <c r="N1439" s="5" t="str">
        <f t="shared" si="67"/>
        <v>Sep</v>
      </c>
      <c r="O1439" s="5" t="str">
        <f t="shared" si="68"/>
        <v xml:space="preserve"> 2023</v>
      </c>
    </row>
    <row r="1440" spans="1:15" x14ac:dyDescent="0.35">
      <c r="A1440" t="s">
        <v>2127</v>
      </c>
      <c r="B1440" s="5" t="s">
        <v>563</v>
      </c>
      <c r="C1440" s="4" t="s">
        <v>31</v>
      </c>
      <c r="D1440" s="4" t="s">
        <v>50</v>
      </c>
      <c r="E1440" s="4" t="s">
        <v>51</v>
      </c>
      <c r="F1440" s="4" t="s">
        <v>25</v>
      </c>
      <c r="G1440" s="4" t="s">
        <v>71</v>
      </c>
      <c r="H1440" s="4" t="s">
        <v>72</v>
      </c>
      <c r="I1440" s="4" t="s">
        <v>47</v>
      </c>
      <c r="J1440" s="3">
        <v>9</v>
      </c>
      <c r="K1440" s="6">
        <v>322200</v>
      </c>
      <c r="L1440" s="6">
        <f t="shared" si="66"/>
        <v>225540</v>
      </c>
      <c r="M1440" s="6">
        <v>96660</v>
      </c>
      <c r="N1440" s="5" t="str">
        <f t="shared" si="67"/>
        <v>Apr</v>
      </c>
      <c r="O1440" s="5" t="str">
        <f t="shared" si="68"/>
        <v xml:space="preserve"> 2024</v>
      </c>
    </row>
    <row r="1441" spans="1:15" x14ac:dyDescent="0.35">
      <c r="A1441" t="s">
        <v>2128</v>
      </c>
      <c r="B1441" s="5" t="s">
        <v>115</v>
      </c>
      <c r="C1441" s="4" t="s">
        <v>22</v>
      </c>
      <c r="D1441" s="4" t="s">
        <v>23</v>
      </c>
      <c r="E1441" s="4" t="s">
        <v>24</v>
      </c>
      <c r="F1441" s="4" t="s">
        <v>25</v>
      </c>
      <c r="G1441" s="4" t="s">
        <v>77</v>
      </c>
      <c r="H1441" s="4" t="s">
        <v>72</v>
      </c>
      <c r="I1441" s="4" t="s">
        <v>28</v>
      </c>
      <c r="J1441" s="3">
        <v>2</v>
      </c>
      <c r="K1441" s="6">
        <v>74320</v>
      </c>
      <c r="L1441" s="6">
        <f t="shared" si="66"/>
        <v>52024</v>
      </c>
      <c r="M1441" s="6">
        <v>22296</v>
      </c>
      <c r="N1441" s="5" t="str">
        <f t="shared" si="67"/>
        <v>Jan</v>
      </c>
      <c r="O1441" s="5" t="str">
        <f t="shared" si="68"/>
        <v xml:space="preserve"> 2024</v>
      </c>
    </row>
    <row r="1442" spans="1:15" x14ac:dyDescent="0.35">
      <c r="A1442" t="s">
        <v>2129</v>
      </c>
      <c r="B1442" s="5" t="s">
        <v>1535</v>
      </c>
      <c r="C1442" s="4" t="s">
        <v>31</v>
      </c>
      <c r="D1442" s="4" t="s">
        <v>104</v>
      </c>
      <c r="E1442" s="4" t="s">
        <v>105</v>
      </c>
      <c r="F1442" s="4" t="s">
        <v>25</v>
      </c>
      <c r="G1442" s="4" t="s">
        <v>77</v>
      </c>
      <c r="H1442" s="4" t="s">
        <v>27</v>
      </c>
      <c r="I1442" s="4" t="s">
        <v>60</v>
      </c>
      <c r="J1442" s="3">
        <v>1</v>
      </c>
      <c r="K1442" s="6">
        <v>38936</v>
      </c>
      <c r="L1442" s="6">
        <f t="shared" si="66"/>
        <v>27255.199999999997</v>
      </c>
      <c r="M1442" s="6">
        <v>11680.800000000003</v>
      </c>
      <c r="N1442" s="5" t="str">
        <f t="shared" si="67"/>
        <v>Aug</v>
      </c>
      <c r="O1442" s="5" t="str">
        <f t="shared" si="68"/>
        <v xml:space="preserve"> 2023</v>
      </c>
    </row>
    <row r="1443" spans="1:15" x14ac:dyDescent="0.35">
      <c r="A1443" t="s">
        <v>2130</v>
      </c>
      <c r="B1443" s="5" t="s">
        <v>1120</v>
      </c>
      <c r="C1443" s="4" t="s">
        <v>13</v>
      </c>
      <c r="D1443" s="4" t="s">
        <v>162</v>
      </c>
      <c r="E1443" s="4" t="s">
        <v>163</v>
      </c>
      <c r="F1443" s="4" t="s">
        <v>37</v>
      </c>
      <c r="G1443" s="4" t="s">
        <v>148</v>
      </c>
      <c r="H1443" s="4" t="s">
        <v>27</v>
      </c>
      <c r="I1443" s="4" t="s">
        <v>39</v>
      </c>
      <c r="J1443" s="3">
        <v>1</v>
      </c>
      <c r="K1443" s="6">
        <v>8036</v>
      </c>
      <c r="L1443" s="6">
        <f t="shared" si="66"/>
        <v>5625.2</v>
      </c>
      <c r="M1443" s="6">
        <v>2410.8000000000002</v>
      </c>
      <c r="N1443" s="5" t="str">
        <f t="shared" si="67"/>
        <v>May</v>
      </c>
      <c r="O1443" s="5" t="str">
        <f t="shared" si="68"/>
        <v xml:space="preserve"> 2023</v>
      </c>
    </row>
    <row r="1444" spans="1:15" x14ac:dyDescent="0.35">
      <c r="A1444" t="s">
        <v>2131</v>
      </c>
      <c r="B1444" s="5" t="s">
        <v>379</v>
      </c>
      <c r="C1444" s="4" t="s">
        <v>55</v>
      </c>
      <c r="D1444" s="4" t="s">
        <v>82</v>
      </c>
      <c r="E1444" s="4" t="s">
        <v>83</v>
      </c>
      <c r="F1444" s="4" t="s">
        <v>16</v>
      </c>
      <c r="G1444" s="4" t="s">
        <v>34</v>
      </c>
      <c r="H1444" s="4" t="s">
        <v>27</v>
      </c>
      <c r="I1444" s="4" t="s">
        <v>39</v>
      </c>
      <c r="J1444" s="3">
        <v>4</v>
      </c>
      <c r="K1444" s="6">
        <v>95216</v>
      </c>
      <c r="L1444" s="6">
        <f t="shared" si="66"/>
        <v>66651.199999999997</v>
      </c>
      <c r="M1444" s="6">
        <v>28564.800000000003</v>
      </c>
      <c r="N1444" s="5" t="str">
        <f t="shared" si="67"/>
        <v>Sep</v>
      </c>
      <c r="O1444" s="5" t="str">
        <f t="shared" si="68"/>
        <v xml:space="preserve"> 2023</v>
      </c>
    </row>
    <row r="1445" spans="1:15" x14ac:dyDescent="0.35">
      <c r="A1445" t="s">
        <v>2132</v>
      </c>
      <c r="B1445" s="5" t="s">
        <v>1106</v>
      </c>
      <c r="C1445" s="4" t="s">
        <v>13</v>
      </c>
      <c r="D1445" s="4" t="s">
        <v>162</v>
      </c>
      <c r="E1445" s="4" t="s">
        <v>163</v>
      </c>
      <c r="F1445" s="4" t="s">
        <v>25</v>
      </c>
      <c r="G1445" s="4" t="s">
        <v>52</v>
      </c>
      <c r="H1445" s="4" t="s">
        <v>18</v>
      </c>
      <c r="I1445" s="4" t="s">
        <v>47</v>
      </c>
      <c r="J1445" s="3">
        <v>4</v>
      </c>
      <c r="K1445" s="6">
        <v>88632</v>
      </c>
      <c r="L1445" s="6">
        <f t="shared" si="66"/>
        <v>62042.399999999994</v>
      </c>
      <c r="M1445" s="6">
        <v>26589.600000000006</v>
      </c>
      <c r="N1445" s="5" t="str">
        <f t="shared" si="67"/>
        <v>Jun</v>
      </c>
      <c r="O1445" s="5" t="str">
        <f t="shared" si="68"/>
        <v xml:space="preserve"> 2024</v>
      </c>
    </row>
    <row r="1446" spans="1:15" x14ac:dyDescent="0.35">
      <c r="A1446" t="s">
        <v>2133</v>
      </c>
      <c r="B1446" s="5" t="s">
        <v>1340</v>
      </c>
      <c r="C1446" s="4" t="s">
        <v>55</v>
      </c>
      <c r="D1446" s="4" t="s">
        <v>98</v>
      </c>
      <c r="E1446" s="4" t="s">
        <v>99</v>
      </c>
      <c r="F1446" s="4" t="s">
        <v>37</v>
      </c>
      <c r="G1446" s="4" t="s">
        <v>183</v>
      </c>
      <c r="H1446" s="4" t="s">
        <v>18</v>
      </c>
      <c r="I1446" s="4" t="s">
        <v>28</v>
      </c>
      <c r="J1446" s="3">
        <v>2</v>
      </c>
      <c r="K1446" s="6">
        <v>62514</v>
      </c>
      <c r="L1446" s="6">
        <f t="shared" si="66"/>
        <v>43759.799999999996</v>
      </c>
      <c r="M1446" s="6">
        <v>18754.200000000004</v>
      </c>
      <c r="N1446" s="5" t="str">
        <f t="shared" si="67"/>
        <v>Nov</v>
      </c>
      <c r="O1446" s="5" t="str">
        <f t="shared" si="68"/>
        <v xml:space="preserve"> 2024</v>
      </c>
    </row>
    <row r="1447" spans="1:15" x14ac:dyDescent="0.35">
      <c r="A1447" t="s">
        <v>2134</v>
      </c>
      <c r="B1447" s="5" t="s">
        <v>2135</v>
      </c>
      <c r="C1447" s="4" t="s">
        <v>31</v>
      </c>
      <c r="D1447" s="4" t="s">
        <v>104</v>
      </c>
      <c r="E1447" s="4" t="s">
        <v>105</v>
      </c>
      <c r="F1447" s="4" t="s">
        <v>67</v>
      </c>
      <c r="G1447" s="4" t="s">
        <v>180</v>
      </c>
      <c r="H1447" s="4" t="s">
        <v>27</v>
      </c>
      <c r="I1447" s="4" t="s">
        <v>28</v>
      </c>
      <c r="J1447" s="3">
        <v>2</v>
      </c>
      <c r="K1447" s="6">
        <v>41708</v>
      </c>
      <c r="L1447" s="6">
        <f t="shared" si="66"/>
        <v>29195.599999999999</v>
      </c>
      <c r="M1447" s="6">
        <v>12512.400000000001</v>
      </c>
      <c r="N1447" s="5" t="str">
        <f t="shared" si="67"/>
        <v>Oct</v>
      </c>
      <c r="O1447" s="5" t="str">
        <f t="shared" si="68"/>
        <v xml:space="preserve"> 2023</v>
      </c>
    </row>
    <row r="1448" spans="1:15" x14ac:dyDescent="0.35">
      <c r="A1448" t="s">
        <v>2136</v>
      </c>
      <c r="B1448" s="5" t="s">
        <v>370</v>
      </c>
      <c r="C1448" s="4" t="s">
        <v>22</v>
      </c>
      <c r="D1448" s="4" t="s">
        <v>86</v>
      </c>
      <c r="E1448" s="4" t="s">
        <v>87</v>
      </c>
      <c r="F1448" s="4" t="s">
        <v>16</v>
      </c>
      <c r="G1448" s="4" t="s">
        <v>17</v>
      </c>
      <c r="H1448" s="4" t="s">
        <v>72</v>
      </c>
      <c r="I1448" s="4" t="s">
        <v>60</v>
      </c>
      <c r="J1448" s="3">
        <v>1</v>
      </c>
      <c r="K1448" s="6">
        <v>22511</v>
      </c>
      <c r="L1448" s="6">
        <f t="shared" si="66"/>
        <v>15757.699999999999</v>
      </c>
      <c r="M1448" s="6">
        <v>6753.3000000000011</v>
      </c>
      <c r="N1448" s="5" t="str">
        <f t="shared" si="67"/>
        <v>Sep</v>
      </c>
      <c r="O1448" s="5" t="str">
        <f t="shared" si="68"/>
        <v xml:space="preserve"> 2024</v>
      </c>
    </row>
    <row r="1449" spans="1:15" x14ac:dyDescent="0.35">
      <c r="A1449" t="s">
        <v>2137</v>
      </c>
      <c r="B1449" s="5" t="s">
        <v>333</v>
      </c>
      <c r="C1449" s="4" t="s">
        <v>13</v>
      </c>
      <c r="D1449" s="4" t="s">
        <v>14</v>
      </c>
      <c r="E1449" s="4" t="s">
        <v>15</v>
      </c>
      <c r="F1449" s="4" t="s">
        <v>67</v>
      </c>
      <c r="G1449" s="4" t="s">
        <v>134</v>
      </c>
      <c r="H1449" s="4" t="s">
        <v>72</v>
      </c>
      <c r="I1449" s="4" t="s">
        <v>19</v>
      </c>
      <c r="J1449" s="3">
        <v>3</v>
      </c>
      <c r="K1449" s="6">
        <v>18009</v>
      </c>
      <c r="L1449" s="6">
        <f t="shared" si="66"/>
        <v>12606.3</v>
      </c>
      <c r="M1449" s="6">
        <v>5402.7000000000007</v>
      </c>
      <c r="N1449" s="5" t="str">
        <f t="shared" si="67"/>
        <v>Jul</v>
      </c>
      <c r="O1449" s="5" t="str">
        <f t="shared" si="68"/>
        <v xml:space="preserve"> 2023</v>
      </c>
    </row>
    <row r="1450" spans="1:15" x14ac:dyDescent="0.35">
      <c r="A1450" t="s">
        <v>2138</v>
      </c>
      <c r="B1450" s="5" t="s">
        <v>2139</v>
      </c>
      <c r="C1450" s="4" t="s">
        <v>55</v>
      </c>
      <c r="D1450" s="4" t="s">
        <v>82</v>
      </c>
      <c r="E1450" s="4" t="s">
        <v>83</v>
      </c>
      <c r="F1450" s="4" t="s">
        <v>67</v>
      </c>
      <c r="G1450" s="4" t="s">
        <v>134</v>
      </c>
      <c r="H1450" s="4" t="s">
        <v>18</v>
      </c>
      <c r="I1450" s="4" t="s">
        <v>60</v>
      </c>
      <c r="J1450" s="3">
        <v>9</v>
      </c>
      <c r="K1450" s="6">
        <v>131274</v>
      </c>
      <c r="L1450" s="6">
        <f t="shared" si="66"/>
        <v>91891.799999999988</v>
      </c>
      <c r="M1450" s="6">
        <v>39382.200000000012</v>
      </c>
      <c r="N1450" s="5" t="str">
        <f t="shared" si="67"/>
        <v>May</v>
      </c>
      <c r="O1450" s="5" t="str">
        <f t="shared" si="68"/>
        <v xml:space="preserve"> 2023</v>
      </c>
    </row>
    <row r="1451" spans="1:15" x14ac:dyDescent="0.35">
      <c r="A1451" t="s">
        <v>2140</v>
      </c>
      <c r="B1451" s="5" t="s">
        <v>861</v>
      </c>
      <c r="C1451" s="4" t="s">
        <v>13</v>
      </c>
      <c r="D1451" s="4" t="s">
        <v>118</v>
      </c>
      <c r="E1451" s="4" t="s">
        <v>119</v>
      </c>
      <c r="F1451" s="4" t="s">
        <v>37</v>
      </c>
      <c r="G1451" s="4" t="s">
        <v>186</v>
      </c>
      <c r="H1451" s="4" t="s">
        <v>18</v>
      </c>
      <c r="I1451" s="4" t="s">
        <v>19</v>
      </c>
      <c r="J1451" s="3">
        <v>7</v>
      </c>
      <c r="K1451" s="6">
        <v>63966</v>
      </c>
      <c r="L1451" s="6">
        <f t="shared" si="66"/>
        <v>44776.2</v>
      </c>
      <c r="M1451" s="6">
        <v>19189.800000000003</v>
      </c>
      <c r="N1451" s="5" t="str">
        <f t="shared" si="67"/>
        <v>Aug</v>
      </c>
      <c r="O1451" s="5" t="str">
        <f t="shared" si="68"/>
        <v xml:space="preserve"> 2023</v>
      </c>
    </row>
    <row r="1452" spans="1:15" x14ac:dyDescent="0.35">
      <c r="A1452" t="s">
        <v>2141</v>
      </c>
      <c r="B1452" s="5" t="s">
        <v>846</v>
      </c>
      <c r="C1452" s="4" t="s">
        <v>31</v>
      </c>
      <c r="D1452" s="4" t="s">
        <v>104</v>
      </c>
      <c r="E1452" s="4" t="s">
        <v>105</v>
      </c>
      <c r="F1452" s="4" t="s">
        <v>16</v>
      </c>
      <c r="G1452" s="4" t="s">
        <v>17</v>
      </c>
      <c r="H1452" s="4" t="s">
        <v>27</v>
      </c>
      <c r="I1452" s="4" t="s">
        <v>47</v>
      </c>
      <c r="J1452" s="3">
        <v>1</v>
      </c>
      <c r="K1452" s="6">
        <v>31862</v>
      </c>
      <c r="L1452" s="6">
        <f t="shared" si="66"/>
        <v>22303.399999999998</v>
      </c>
      <c r="M1452" s="6">
        <v>9558.6000000000022</v>
      </c>
      <c r="N1452" s="5" t="str">
        <f t="shared" si="67"/>
        <v>Oct</v>
      </c>
      <c r="O1452" s="5" t="str">
        <f t="shared" si="68"/>
        <v xml:space="preserve"> 2024</v>
      </c>
    </row>
    <row r="1453" spans="1:15" x14ac:dyDescent="0.35">
      <c r="A1453" t="s">
        <v>2142</v>
      </c>
      <c r="B1453" s="5" t="s">
        <v>2143</v>
      </c>
      <c r="C1453" s="4" t="s">
        <v>55</v>
      </c>
      <c r="D1453" s="4" t="s">
        <v>56</v>
      </c>
      <c r="E1453" s="4" t="s">
        <v>57</v>
      </c>
      <c r="F1453" s="4" t="s">
        <v>16</v>
      </c>
      <c r="G1453" s="4" t="s">
        <v>17</v>
      </c>
      <c r="H1453" s="4" t="s">
        <v>72</v>
      </c>
      <c r="I1453" s="4" t="s">
        <v>60</v>
      </c>
      <c r="J1453" s="3">
        <v>1</v>
      </c>
      <c r="K1453" s="6">
        <v>20503</v>
      </c>
      <c r="L1453" s="6">
        <f t="shared" si="66"/>
        <v>14352.099999999999</v>
      </c>
      <c r="M1453" s="6">
        <v>6150.9000000000015</v>
      </c>
      <c r="N1453" s="5" t="str">
        <f t="shared" si="67"/>
        <v>Feb</v>
      </c>
      <c r="O1453" s="5" t="str">
        <f t="shared" si="68"/>
        <v xml:space="preserve"> 2024</v>
      </c>
    </row>
    <row r="1454" spans="1:15" x14ac:dyDescent="0.35">
      <c r="A1454" t="s">
        <v>2144</v>
      </c>
      <c r="B1454" s="5" t="s">
        <v>207</v>
      </c>
      <c r="C1454" s="4" t="s">
        <v>22</v>
      </c>
      <c r="D1454" s="4" t="s">
        <v>23</v>
      </c>
      <c r="E1454" s="4" t="s">
        <v>24</v>
      </c>
      <c r="F1454" s="4" t="s">
        <v>25</v>
      </c>
      <c r="G1454" s="4" t="s">
        <v>71</v>
      </c>
      <c r="H1454" s="4" t="s">
        <v>72</v>
      </c>
      <c r="I1454" s="4" t="s">
        <v>28</v>
      </c>
      <c r="J1454" s="3">
        <v>8</v>
      </c>
      <c r="K1454" s="6">
        <v>32184</v>
      </c>
      <c r="L1454" s="6">
        <f t="shared" si="66"/>
        <v>22528.799999999999</v>
      </c>
      <c r="M1454" s="6">
        <v>9655.2000000000007</v>
      </c>
      <c r="N1454" s="5" t="str">
        <f t="shared" si="67"/>
        <v>Mar</v>
      </c>
      <c r="O1454" s="5" t="str">
        <f t="shared" si="68"/>
        <v xml:space="preserve"> 2023</v>
      </c>
    </row>
    <row r="1455" spans="1:15" x14ac:dyDescent="0.35">
      <c r="A1455" t="s">
        <v>2145</v>
      </c>
      <c r="B1455" s="5" t="s">
        <v>539</v>
      </c>
      <c r="C1455" s="4" t="s">
        <v>55</v>
      </c>
      <c r="D1455" s="4" t="s">
        <v>56</v>
      </c>
      <c r="E1455" s="4" t="s">
        <v>57</v>
      </c>
      <c r="F1455" s="4" t="s">
        <v>37</v>
      </c>
      <c r="G1455" s="4" t="s">
        <v>186</v>
      </c>
      <c r="H1455" s="4" t="s">
        <v>27</v>
      </c>
      <c r="I1455" s="4" t="s">
        <v>39</v>
      </c>
      <c r="J1455" s="3">
        <v>8</v>
      </c>
      <c r="K1455" s="6">
        <v>33256</v>
      </c>
      <c r="L1455" s="6">
        <f t="shared" si="66"/>
        <v>23279.199999999997</v>
      </c>
      <c r="M1455" s="6">
        <v>9976.8000000000029</v>
      </c>
      <c r="N1455" s="5" t="str">
        <f t="shared" si="67"/>
        <v>Jan</v>
      </c>
      <c r="O1455" s="5" t="str">
        <f t="shared" si="68"/>
        <v xml:space="preserve"> 2023</v>
      </c>
    </row>
    <row r="1456" spans="1:15" x14ac:dyDescent="0.35">
      <c r="A1456" t="s">
        <v>2146</v>
      </c>
      <c r="B1456" s="5" t="s">
        <v>2147</v>
      </c>
      <c r="C1456" s="4" t="s">
        <v>31</v>
      </c>
      <c r="D1456" s="4" t="s">
        <v>104</v>
      </c>
      <c r="E1456" s="4" t="s">
        <v>105</v>
      </c>
      <c r="F1456" s="4" t="s">
        <v>37</v>
      </c>
      <c r="G1456" s="4" t="s">
        <v>148</v>
      </c>
      <c r="H1456" s="4" t="s">
        <v>27</v>
      </c>
      <c r="I1456" s="4" t="s">
        <v>19</v>
      </c>
      <c r="J1456" s="3">
        <v>10</v>
      </c>
      <c r="K1456" s="6">
        <v>323440</v>
      </c>
      <c r="L1456" s="6">
        <f t="shared" si="66"/>
        <v>226408</v>
      </c>
      <c r="M1456" s="6">
        <v>97032</v>
      </c>
      <c r="N1456" s="5" t="str">
        <f t="shared" si="67"/>
        <v>Jul</v>
      </c>
      <c r="O1456" s="5" t="str">
        <f t="shared" si="68"/>
        <v xml:space="preserve"> 2023</v>
      </c>
    </row>
    <row r="1457" spans="1:15" x14ac:dyDescent="0.35">
      <c r="A1457" t="s">
        <v>2148</v>
      </c>
      <c r="B1457" s="5" t="s">
        <v>808</v>
      </c>
      <c r="C1457" s="4" t="s">
        <v>55</v>
      </c>
      <c r="D1457" s="4" t="s">
        <v>98</v>
      </c>
      <c r="E1457" s="4" t="s">
        <v>99</v>
      </c>
      <c r="F1457" s="4" t="s">
        <v>25</v>
      </c>
      <c r="G1457" s="4" t="s">
        <v>77</v>
      </c>
      <c r="H1457" s="4" t="s">
        <v>27</v>
      </c>
      <c r="I1457" s="4" t="s">
        <v>47</v>
      </c>
      <c r="J1457" s="3">
        <v>1</v>
      </c>
      <c r="K1457" s="6">
        <v>31700</v>
      </c>
      <c r="L1457" s="6">
        <f t="shared" si="66"/>
        <v>22190</v>
      </c>
      <c r="M1457" s="6">
        <v>9510</v>
      </c>
      <c r="N1457" s="5" t="str">
        <f t="shared" si="67"/>
        <v>Mar</v>
      </c>
      <c r="O1457" s="5" t="str">
        <f t="shared" si="68"/>
        <v xml:space="preserve"> 2024</v>
      </c>
    </row>
    <row r="1458" spans="1:15" x14ac:dyDescent="0.35">
      <c r="A1458" t="s">
        <v>2149</v>
      </c>
      <c r="B1458" s="5" t="s">
        <v>2150</v>
      </c>
      <c r="C1458" s="4" t="s">
        <v>13</v>
      </c>
      <c r="D1458" s="4" t="s">
        <v>162</v>
      </c>
      <c r="E1458" s="4" t="s">
        <v>163</v>
      </c>
      <c r="F1458" s="4" t="s">
        <v>67</v>
      </c>
      <c r="G1458" s="4" t="s">
        <v>180</v>
      </c>
      <c r="H1458" s="4" t="s">
        <v>27</v>
      </c>
      <c r="I1458" s="4" t="s">
        <v>19</v>
      </c>
      <c r="J1458" s="3">
        <v>9</v>
      </c>
      <c r="K1458" s="6">
        <v>384552</v>
      </c>
      <c r="L1458" s="6">
        <f t="shared" si="66"/>
        <v>269186.39999999997</v>
      </c>
      <c r="M1458" s="6">
        <v>115365.60000000003</v>
      </c>
      <c r="N1458" s="5" t="str">
        <f t="shared" si="67"/>
        <v>Aug</v>
      </c>
      <c r="O1458" s="5" t="str">
        <f t="shared" si="68"/>
        <v xml:space="preserve"> 2023</v>
      </c>
    </row>
    <row r="1459" spans="1:15" x14ac:dyDescent="0.35">
      <c r="A1459" t="s">
        <v>2151</v>
      </c>
      <c r="B1459" s="5" t="s">
        <v>1342</v>
      </c>
      <c r="C1459" s="4" t="s">
        <v>31</v>
      </c>
      <c r="D1459" s="4" t="s">
        <v>32</v>
      </c>
      <c r="E1459" s="4" t="s">
        <v>33</v>
      </c>
      <c r="F1459" s="4" t="s">
        <v>37</v>
      </c>
      <c r="G1459" s="4" t="s">
        <v>186</v>
      </c>
      <c r="H1459" s="4" t="s">
        <v>72</v>
      </c>
      <c r="I1459" s="4" t="s">
        <v>60</v>
      </c>
      <c r="J1459" s="3">
        <v>4</v>
      </c>
      <c r="K1459" s="6">
        <v>55912</v>
      </c>
      <c r="L1459" s="6">
        <f t="shared" si="66"/>
        <v>39138.399999999994</v>
      </c>
      <c r="M1459" s="6">
        <v>16773.600000000006</v>
      </c>
      <c r="N1459" s="5" t="str">
        <f t="shared" si="67"/>
        <v>Aug</v>
      </c>
      <c r="O1459" s="5" t="str">
        <f t="shared" si="68"/>
        <v xml:space="preserve"> 2023</v>
      </c>
    </row>
    <row r="1460" spans="1:15" x14ac:dyDescent="0.35">
      <c r="A1460" t="s">
        <v>2152</v>
      </c>
      <c r="B1460" s="5" t="s">
        <v>2153</v>
      </c>
      <c r="C1460" s="4" t="s">
        <v>55</v>
      </c>
      <c r="D1460" s="4" t="s">
        <v>98</v>
      </c>
      <c r="E1460" s="4" t="s">
        <v>99</v>
      </c>
      <c r="F1460" s="4" t="s">
        <v>25</v>
      </c>
      <c r="G1460" s="4" t="s">
        <v>71</v>
      </c>
      <c r="H1460" s="4" t="s">
        <v>72</v>
      </c>
      <c r="I1460" s="4" t="s">
        <v>60</v>
      </c>
      <c r="J1460" s="3">
        <v>1</v>
      </c>
      <c r="K1460" s="6">
        <v>15829</v>
      </c>
      <c r="L1460" s="6">
        <f t="shared" si="66"/>
        <v>11080.3</v>
      </c>
      <c r="M1460" s="6">
        <v>4748.7000000000007</v>
      </c>
      <c r="N1460" s="5" t="str">
        <f t="shared" si="67"/>
        <v>Aug</v>
      </c>
      <c r="O1460" s="5" t="str">
        <f t="shared" si="68"/>
        <v xml:space="preserve"> 2024</v>
      </c>
    </row>
    <row r="1461" spans="1:15" x14ac:dyDescent="0.35">
      <c r="A1461" t="s">
        <v>2154</v>
      </c>
      <c r="B1461" s="5" t="s">
        <v>1437</v>
      </c>
      <c r="C1461" s="4" t="s">
        <v>22</v>
      </c>
      <c r="D1461" s="4" t="s">
        <v>90</v>
      </c>
      <c r="E1461" s="4" t="s">
        <v>110</v>
      </c>
      <c r="F1461" s="4" t="s">
        <v>25</v>
      </c>
      <c r="G1461" s="4" t="s">
        <v>77</v>
      </c>
      <c r="H1461" s="4" t="s">
        <v>72</v>
      </c>
      <c r="I1461" s="4" t="s">
        <v>28</v>
      </c>
      <c r="J1461" s="3">
        <v>1</v>
      </c>
      <c r="K1461" s="6">
        <v>26192</v>
      </c>
      <c r="L1461" s="6">
        <f t="shared" si="66"/>
        <v>18334.399999999998</v>
      </c>
      <c r="M1461" s="6">
        <v>7857.6000000000022</v>
      </c>
      <c r="N1461" s="5" t="str">
        <f t="shared" si="67"/>
        <v>Mar</v>
      </c>
      <c r="O1461" s="5" t="str">
        <f t="shared" si="68"/>
        <v xml:space="preserve"> 2023</v>
      </c>
    </row>
    <row r="1462" spans="1:15" x14ac:dyDescent="0.35">
      <c r="A1462" t="s">
        <v>2155</v>
      </c>
      <c r="B1462" s="5" t="s">
        <v>1672</v>
      </c>
      <c r="C1462" s="4" t="s">
        <v>55</v>
      </c>
      <c r="D1462" s="4" t="s">
        <v>82</v>
      </c>
      <c r="E1462" s="4" t="s">
        <v>83</v>
      </c>
      <c r="F1462" s="4" t="s">
        <v>37</v>
      </c>
      <c r="G1462" s="4" t="s">
        <v>186</v>
      </c>
      <c r="H1462" s="4" t="s">
        <v>72</v>
      </c>
      <c r="I1462" s="4" t="s">
        <v>60</v>
      </c>
      <c r="J1462" s="3">
        <v>6</v>
      </c>
      <c r="K1462" s="6">
        <v>298626</v>
      </c>
      <c r="L1462" s="6">
        <f t="shared" si="66"/>
        <v>209038.19999999998</v>
      </c>
      <c r="M1462" s="6">
        <v>89587.800000000017</v>
      </c>
      <c r="N1462" s="5" t="str">
        <f t="shared" si="67"/>
        <v>Feb</v>
      </c>
      <c r="O1462" s="5" t="str">
        <f t="shared" si="68"/>
        <v xml:space="preserve"> 2024</v>
      </c>
    </row>
    <row r="1463" spans="1:15" x14ac:dyDescent="0.35">
      <c r="A1463" t="s">
        <v>2156</v>
      </c>
      <c r="B1463" s="5" t="s">
        <v>1556</v>
      </c>
      <c r="C1463" s="4" t="s">
        <v>22</v>
      </c>
      <c r="D1463" s="4" t="s">
        <v>90</v>
      </c>
      <c r="E1463" s="4" t="s">
        <v>110</v>
      </c>
      <c r="F1463" s="4" t="s">
        <v>25</v>
      </c>
      <c r="G1463" s="4" t="s">
        <v>52</v>
      </c>
      <c r="H1463" s="4" t="s">
        <v>72</v>
      </c>
      <c r="I1463" s="4" t="s">
        <v>60</v>
      </c>
      <c r="J1463" s="3">
        <v>5</v>
      </c>
      <c r="K1463" s="6">
        <v>15495</v>
      </c>
      <c r="L1463" s="6">
        <f t="shared" si="66"/>
        <v>10846.5</v>
      </c>
      <c r="M1463" s="6">
        <v>4648.5</v>
      </c>
      <c r="N1463" s="5" t="str">
        <f t="shared" si="67"/>
        <v>Jun</v>
      </c>
      <c r="O1463" s="5" t="str">
        <f t="shared" si="68"/>
        <v xml:space="preserve"> 2023</v>
      </c>
    </row>
    <row r="1464" spans="1:15" x14ac:dyDescent="0.35">
      <c r="A1464" t="s">
        <v>2157</v>
      </c>
      <c r="B1464" s="5" t="s">
        <v>919</v>
      </c>
      <c r="C1464" s="4" t="s">
        <v>22</v>
      </c>
      <c r="D1464" s="4" t="s">
        <v>90</v>
      </c>
      <c r="E1464" s="4" t="s">
        <v>91</v>
      </c>
      <c r="F1464" s="4" t="s">
        <v>16</v>
      </c>
      <c r="G1464" s="4" t="s">
        <v>122</v>
      </c>
      <c r="H1464" s="4" t="s">
        <v>72</v>
      </c>
      <c r="I1464" s="4" t="s">
        <v>39</v>
      </c>
      <c r="J1464" s="3">
        <v>1</v>
      </c>
      <c r="K1464" s="6">
        <v>35005</v>
      </c>
      <c r="L1464" s="6">
        <f t="shared" si="66"/>
        <v>24503.5</v>
      </c>
      <c r="M1464" s="6">
        <v>10501.5</v>
      </c>
      <c r="N1464" s="5" t="str">
        <f t="shared" si="67"/>
        <v>Jul</v>
      </c>
      <c r="O1464" s="5" t="str">
        <f t="shared" si="68"/>
        <v xml:space="preserve"> 2023</v>
      </c>
    </row>
    <row r="1465" spans="1:15" x14ac:dyDescent="0.35">
      <c r="A1465" t="s">
        <v>2158</v>
      </c>
      <c r="B1465" s="5" t="s">
        <v>241</v>
      </c>
      <c r="C1465" s="4" t="s">
        <v>55</v>
      </c>
      <c r="D1465" s="4" t="s">
        <v>56</v>
      </c>
      <c r="E1465" s="4" t="s">
        <v>57</v>
      </c>
      <c r="F1465" s="4" t="s">
        <v>16</v>
      </c>
      <c r="G1465" s="4" t="s">
        <v>122</v>
      </c>
      <c r="H1465" s="4" t="s">
        <v>72</v>
      </c>
      <c r="I1465" s="4" t="s">
        <v>60</v>
      </c>
      <c r="J1465" s="3">
        <v>6</v>
      </c>
      <c r="K1465" s="6">
        <v>292236</v>
      </c>
      <c r="L1465" s="6">
        <f t="shared" si="66"/>
        <v>204565.19999999998</v>
      </c>
      <c r="M1465" s="6">
        <v>87670.800000000017</v>
      </c>
      <c r="N1465" s="5" t="str">
        <f t="shared" si="67"/>
        <v>Aug</v>
      </c>
      <c r="O1465" s="5" t="str">
        <f t="shared" si="68"/>
        <v xml:space="preserve"> 2023</v>
      </c>
    </row>
    <row r="1466" spans="1:15" x14ac:dyDescent="0.35">
      <c r="A1466" t="s">
        <v>2159</v>
      </c>
      <c r="B1466" s="5" t="s">
        <v>1414</v>
      </c>
      <c r="C1466" s="4" t="s">
        <v>31</v>
      </c>
      <c r="D1466" s="4" t="s">
        <v>45</v>
      </c>
      <c r="E1466" s="4" t="s">
        <v>46</v>
      </c>
      <c r="F1466" s="4" t="s">
        <v>16</v>
      </c>
      <c r="G1466" s="4" t="s">
        <v>34</v>
      </c>
      <c r="H1466" s="4" t="s">
        <v>18</v>
      </c>
      <c r="I1466" s="4" t="s">
        <v>28</v>
      </c>
      <c r="J1466" s="3">
        <v>9</v>
      </c>
      <c r="K1466" s="6">
        <v>83052</v>
      </c>
      <c r="L1466" s="6">
        <f t="shared" si="66"/>
        <v>58136.399999999994</v>
      </c>
      <c r="M1466" s="6">
        <v>24915.600000000006</v>
      </c>
      <c r="N1466" s="5" t="str">
        <f t="shared" si="67"/>
        <v>Sep</v>
      </c>
      <c r="O1466" s="5" t="str">
        <f t="shared" si="68"/>
        <v xml:space="preserve"> 2024</v>
      </c>
    </row>
    <row r="1467" spans="1:15" x14ac:dyDescent="0.35">
      <c r="A1467" t="s">
        <v>2160</v>
      </c>
      <c r="B1467" s="5" t="s">
        <v>243</v>
      </c>
      <c r="C1467" s="4" t="s">
        <v>13</v>
      </c>
      <c r="D1467" s="4" t="s">
        <v>14</v>
      </c>
      <c r="E1467" s="4" t="s">
        <v>15</v>
      </c>
      <c r="F1467" s="4" t="s">
        <v>25</v>
      </c>
      <c r="G1467" s="4" t="s">
        <v>26</v>
      </c>
      <c r="H1467" s="4" t="s">
        <v>72</v>
      </c>
      <c r="I1467" s="4" t="s">
        <v>28</v>
      </c>
      <c r="J1467" s="3">
        <v>6</v>
      </c>
      <c r="K1467" s="6">
        <v>135264</v>
      </c>
      <c r="L1467" s="6">
        <f t="shared" si="66"/>
        <v>94684.799999999988</v>
      </c>
      <c r="M1467" s="6">
        <v>40579.200000000012</v>
      </c>
      <c r="N1467" s="5" t="str">
        <f t="shared" si="67"/>
        <v>Jan</v>
      </c>
      <c r="O1467" s="5" t="str">
        <f t="shared" si="68"/>
        <v xml:space="preserve"> 2024</v>
      </c>
    </row>
    <row r="1468" spans="1:15" x14ac:dyDescent="0.35">
      <c r="A1468" t="s">
        <v>2161</v>
      </c>
      <c r="B1468" s="5" t="s">
        <v>1221</v>
      </c>
      <c r="C1468" s="4" t="s">
        <v>13</v>
      </c>
      <c r="D1468" s="4" t="s">
        <v>118</v>
      </c>
      <c r="E1468" s="4" t="s">
        <v>119</v>
      </c>
      <c r="F1468" s="4" t="s">
        <v>37</v>
      </c>
      <c r="G1468" s="4" t="s">
        <v>186</v>
      </c>
      <c r="H1468" s="4" t="s">
        <v>18</v>
      </c>
      <c r="I1468" s="4" t="s">
        <v>39</v>
      </c>
      <c r="J1468" s="3">
        <v>10</v>
      </c>
      <c r="K1468" s="6">
        <v>319140</v>
      </c>
      <c r="L1468" s="6">
        <f t="shared" si="66"/>
        <v>223398</v>
      </c>
      <c r="M1468" s="6">
        <v>95742</v>
      </c>
      <c r="N1468" s="5" t="str">
        <f t="shared" si="67"/>
        <v>Jun</v>
      </c>
      <c r="O1468" s="5" t="str">
        <f t="shared" si="68"/>
        <v xml:space="preserve"> 2024</v>
      </c>
    </row>
    <row r="1469" spans="1:15" x14ac:dyDescent="0.35">
      <c r="A1469" t="s">
        <v>2162</v>
      </c>
      <c r="B1469" s="5" t="s">
        <v>546</v>
      </c>
      <c r="C1469" s="4" t="s">
        <v>55</v>
      </c>
      <c r="D1469" s="4" t="s">
        <v>98</v>
      </c>
      <c r="E1469" s="4" t="s">
        <v>99</v>
      </c>
      <c r="F1469" s="4" t="s">
        <v>16</v>
      </c>
      <c r="G1469" s="4" t="s">
        <v>34</v>
      </c>
      <c r="H1469" s="4" t="s">
        <v>72</v>
      </c>
      <c r="I1469" s="4" t="s">
        <v>39</v>
      </c>
      <c r="J1469" s="3">
        <v>4</v>
      </c>
      <c r="K1469" s="6">
        <v>99696</v>
      </c>
      <c r="L1469" s="6">
        <f t="shared" si="66"/>
        <v>69787.199999999997</v>
      </c>
      <c r="M1469" s="6">
        <v>29908.800000000003</v>
      </c>
      <c r="N1469" s="5" t="str">
        <f t="shared" si="67"/>
        <v>Feb</v>
      </c>
      <c r="O1469" s="5" t="str">
        <f t="shared" si="68"/>
        <v xml:space="preserve"> 2023</v>
      </c>
    </row>
    <row r="1470" spans="1:15" x14ac:dyDescent="0.35">
      <c r="A1470" t="s">
        <v>2163</v>
      </c>
      <c r="B1470" s="5" t="s">
        <v>70</v>
      </c>
      <c r="C1470" s="4" t="s">
        <v>22</v>
      </c>
      <c r="D1470" s="4" t="s">
        <v>23</v>
      </c>
      <c r="E1470" s="4" t="s">
        <v>24</v>
      </c>
      <c r="F1470" s="4" t="s">
        <v>37</v>
      </c>
      <c r="G1470" s="4" t="s">
        <v>38</v>
      </c>
      <c r="H1470" s="4" t="s">
        <v>72</v>
      </c>
      <c r="I1470" s="4" t="s">
        <v>39</v>
      </c>
      <c r="J1470" s="3">
        <v>8</v>
      </c>
      <c r="K1470" s="6">
        <v>393352</v>
      </c>
      <c r="L1470" s="6">
        <f t="shared" si="66"/>
        <v>275346.39999999997</v>
      </c>
      <c r="M1470" s="6">
        <v>118005.60000000003</v>
      </c>
      <c r="N1470" s="5" t="str">
        <f t="shared" si="67"/>
        <v>Jul</v>
      </c>
      <c r="O1470" s="5" t="str">
        <f t="shared" si="68"/>
        <v xml:space="preserve"> 2023</v>
      </c>
    </row>
    <row r="1471" spans="1:15" x14ac:dyDescent="0.35">
      <c r="A1471" t="s">
        <v>2164</v>
      </c>
      <c r="B1471" s="5" t="s">
        <v>1535</v>
      </c>
      <c r="C1471" s="4" t="s">
        <v>22</v>
      </c>
      <c r="D1471" s="4" t="s">
        <v>23</v>
      </c>
      <c r="E1471" s="4" t="s">
        <v>24</v>
      </c>
      <c r="F1471" s="4" t="s">
        <v>16</v>
      </c>
      <c r="G1471" s="4" t="s">
        <v>42</v>
      </c>
      <c r="H1471" s="4" t="s">
        <v>18</v>
      </c>
      <c r="I1471" s="4" t="s">
        <v>39</v>
      </c>
      <c r="J1471" s="3">
        <v>9</v>
      </c>
      <c r="K1471" s="6">
        <v>40032</v>
      </c>
      <c r="L1471" s="6">
        <f t="shared" si="66"/>
        <v>28022.399999999998</v>
      </c>
      <c r="M1471" s="6">
        <v>12009.600000000002</v>
      </c>
      <c r="N1471" s="5" t="str">
        <f t="shared" si="67"/>
        <v>Aug</v>
      </c>
      <c r="O1471" s="5" t="str">
        <f t="shared" si="68"/>
        <v xml:space="preserve"> 2023</v>
      </c>
    </row>
    <row r="1472" spans="1:15" x14ac:dyDescent="0.35">
      <c r="A1472" t="s">
        <v>2165</v>
      </c>
      <c r="B1472" s="5" t="s">
        <v>353</v>
      </c>
      <c r="C1472" s="4" t="s">
        <v>55</v>
      </c>
      <c r="D1472" s="4" t="s">
        <v>82</v>
      </c>
      <c r="E1472" s="4" t="s">
        <v>83</v>
      </c>
      <c r="F1472" s="4" t="s">
        <v>37</v>
      </c>
      <c r="G1472" s="4" t="s">
        <v>38</v>
      </c>
      <c r="H1472" s="4" t="s">
        <v>18</v>
      </c>
      <c r="I1472" s="4" t="s">
        <v>19</v>
      </c>
      <c r="J1472" s="3">
        <v>10</v>
      </c>
      <c r="K1472" s="6">
        <v>72840</v>
      </c>
      <c r="L1472" s="6">
        <f t="shared" si="66"/>
        <v>50988</v>
      </c>
      <c r="M1472" s="6">
        <v>21852</v>
      </c>
      <c r="N1472" s="5" t="str">
        <f t="shared" si="67"/>
        <v>Dec</v>
      </c>
      <c r="O1472" s="5" t="str">
        <f t="shared" si="68"/>
        <v xml:space="preserve"> 2023</v>
      </c>
    </row>
    <row r="1473" spans="1:15" x14ac:dyDescent="0.35">
      <c r="A1473" t="s">
        <v>2166</v>
      </c>
      <c r="B1473" s="5" t="s">
        <v>236</v>
      </c>
      <c r="C1473" s="4" t="s">
        <v>31</v>
      </c>
      <c r="D1473" s="4" t="s">
        <v>50</v>
      </c>
      <c r="E1473" s="4" t="s">
        <v>51</v>
      </c>
      <c r="F1473" s="4" t="s">
        <v>67</v>
      </c>
      <c r="G1473" s="4" t="s">
        <v>180</v>
      </c>
      <c r="H1473" s="4" t="s">
        <v>18</v>
      </c>
      <c r="I1473" s="4" t="s">
        <v>60</v>
      </c>
      <c r="J1473" s="3">
        <v>6</v>
      </c>
      <c r="K1473" s="6">
        <v>198870</v>
      </c>
      <c r="L1473" s="6">
        <f t="shared" si="66"/>
        <v>139209</v>
      </c>
      <c r="M1473" s="6">
        <v>59661</v>
      </c>
      <c r="N1473" s="5" t="str">
        <f t="shared" si="67"/>
        <v>Jul</v>
      </c>
      <c r="O1473" s="5" t="str">
        <f t="shared" si="68"/>
        <v xml:space="preserve"> 2023</v>
      </c>
    </row>
    <row r="1474" spans="1:15" x14ac:dyDescent="0.35">
      <c r="A1474" t="s">
        <v>2167</v>
      </c>
      <c r="B1474" s="5" t="s">
        <v>2168</v>
      </c>
      <c r="C1474" s="4" t="s">
        <v>55</v>
      </c>
      <c r="D1474" s="4" t="s">
        <v>98</v>
      </c>
      <c r="E1474" s="4" t="s">
        <v>99</v>
      </c>
      <c r="F1474" s="4" t="s">
        <v>16</v>
      </c>
      <c r="G1474" s="4" t="s">
        <v>17</v>
      </c>
      <c r="H1474" s="4" t="s">
        <v>27</v>
      </c>
      <c r="I1474" s="4" t="s">
        <v>19</v>
      </c>
      <c r="J1474" s="3">
        <v>9</v>
      </c>
      <c r="K1474" s="6">
        <v>114399</v>
      </c>
      <c r="L1474" s="6">
        <f t="shared" ref="L1474:L1537" si="69">K1474*0.7</f>
        <v>80079.299999999988</v>
      </c>
      <c r="M1474" s="6">
        <v>34319.700000000012</v>
      </c>
      <c r="N1474" s="5" t="str">
        <f t="shared" ref="N1474:N1537" si="70">TEXT(B1474,"mmm")</f>
        <v>Nov</v>
      </c>
      <c r="O1474" s="5" t="str">
        <f t="shared" ref="O1474:O1537" si="71">TEXT(B1474," yyyy")</f>
        <v xml:space="preserve"> 2023</v>
      </c>
    </row>
    <row r="1475" spans="1:15" x14ac:dyDescent="0.35">
      <c r="A1475" t="s">
        <v>2169</v>
      </c>
      <c r="B1475" s="5" t="s">
        <v>451</v>
      </c>
      <c r="C1475" s="4" t="s">
        <v>13</v>
      </c>
      <c r="D1475" s="4" t="s">
        <v>118</v>
      </c>
      <c r="E1475" s="4" t="s">
        <v>119</v>
      </c>
      <c r="F1475" s="4" t="s">
        <v>16</v>
      </c>
      <c r="G1475" s="4" t="s">
        <v>34</v>
      </c>
      <c r="H1475" s="4" t="s">
        <v>18</v>
      </c>
      <c r="I1475" s="4" t="s">
        <v>47</v>
      </c>
      <c r="J1475" s="3">
        <v>2</v>
      </c>
      <c r="K1475" s="6">
        <v>16418</v>
      </c>
      <c r="L1475" s="6">
        <f t="shared" si="69"/>
        <v>11492.599999999999</v>
      </c>
      <c r="M1475" s="6">
        <v>4925.4000000000015</v>
      </c>
      <c r="N1475" s="5" t="str">
        <f t="shared" si="70"/>
        <v>Feb</v>
      </c>
      <c r="O1475" s="5" t="str">
        <f t="shared" si="71"/>
        <v xml:space="preserve"> 2024</v>
      </c>
    </row>
    <row r="1476" spans="1:15" x14ac:dyDescent="0.35">
      <c r="A1476" t="s">
        <v>2170</v>
      </c>
      <c r="B1476" s="5" t="s">
        <v>1340</v>
      </c>
      <c r="C1476" s="4" t="s">
        <v>13</v>
      </c>
      <c r="D1476" s="4" t="s">
        <v>118</v>
      </c>
      <c r="E1476" s="4" t="s">
        <v>119</v>
      </c>
      <c r="F1476" s="4" t="s">
        <v>16</v>
      </c>
      <c r="G1476" s="4" t="s">
        <v>34</v>
      </c>
      <c r="H1476" s="4" t="s">
        <v>18</v>
      </c>
      <c r="I1476" s="4" t="s">
        <v>39</v>
      </c>
      <c r="J1476" s="3">
        <v>2</v>
      </c>
      <c r="K1476" s="6">
        <v>18398</v>
      </c>
      <c r="L1476" s="6">
        <f t="shared" si="69"/>
        <v>12878.599999999999</v>
      </c>
      <c r="M1476" s="6">
        <v>5519.4000000000015</v>
      </c>
      <c r="N1476" s="5" t="str">
        <f t="shared" si="70"/>
        <v>Nov</v>
      </c>
      <c r="O1476" s="5" t="str">
        <f t="shared" si="71"/>
        <v xml:space="preserve"> 2024</v>
      </c>
    </row>
    <row r="1477" spans="1:15" x14ac:dyDescent="0.35">
      <c r="A1477" t="s">
        <v>2171</v>
      </c>
      <c r="B1477" s="5" t="s">
        <v>129</v>
      </c>
      <c r="C1477" s="4" t="s">
        <v>22</v>
      </c>
      <c r="D1477" s="4" t="s">
        <v>90</v>
      </c>
      <c r="E1477" s="4" t="s">
        <v>91</v>
      </c>
      <c r="F1477" s="4" t="s">
        <v>16</v>
      </c>
      <c r="G1477" s="4" t="s">
        <v>17</v>
      </c>
      <c r="H1477" s="4" t="s">
        <v>27</v>
      </c>
      <c r="I1477" s="4" t="s">
        <v>19</v>
      </c>
      <c r="J1477" s="3">
        <v>5</v>
      </c>
      <c r="K1477" s="6">
        <v>31785</v>
      </c>
      <c r="L1477" s="6">
        <f t="shared" si="69"/>
        <v>22249.5</v>
      </c>
      <c r="M1477" s="6">
        <v>9535.5</v>
      </c>
      <c r="N1477" s="5" t="str">
        <f t="shared" si="70"/>
        <v>Aug</v>
      </c>
      <c r="O1477" s="5" t="str">
        <f t="shared" si="71"/>
        <v xml:space="preserve"> 2023</v>
      </c>
    </row>
    <row r="1478" spans="1:15" x14ac:dyDescent="0.35">
      <c r="A1478" t="s">
        <v>2172</v>
      </c>
      <c r="B1478" s="5" t="s">
        <v>1833</v>
      </c>
      <c r="C1478" s="4" t="s">
        <v>55</v>
      </c>
      <c r="D1478" s="4" t="s">
        <v>56</v>
      </c>
      <c r="E1478" s="4" t="s">
        <v>57</v>
      </c>
      <c r="F1478" s="4" t="s">
        <v>16</v>
      </c>
      <c r="G1478" s="4" t="s">
        <v>42</v>
      </c>
      <c r="H1478" s="4" t="s">
        <v>72</v>
      </c>
      <c r="I1478" s="4" t="s">
        <v>28</v>
      </c>
      <c r="J1478" s="3">
        <v>8</v>
      </c>
      <c r="K1478" s="6">
        <v>5168</v>
      </c>
      <c r="L1478" s="6">
        <f t="shared" si="69"/>
        <v>3617.6</v>
      </c>
      <c r="M1478" s="6">
        <v>1550.4</v>
      </c>
      <c r="N1478" s="5" t="str">
        <f t="shared" si="70"/>
        <v>Apr</v>
      </c>
      <c r="O1478" s="5" t="str">
        <f t="shared" si="71"/>
        <v xml:space="preserve"> 2023</v>
      </c>
    </row>
    <row r="1479" spans="1:15" x14ac:dyDescent="0.35">
      <c r="A1479" t="s">
        <v>2173</v>
      </c>
      <c r="B1479" s="5" t="s">
        <v>643</v>
      </c>
      <c r="C1479" s="4" t="s">
        <v>22</v>
      </c>
      <c r="D1479" s="4" t="s">
        <v>90</v>
      </c>
      <c r="E1479" s="4" t="s">
        <v>110</v>
      </c>
      <c r="F1479" s="4" t="s">
        <v>25</v>
      </c>
      <c r="G1479" s="4" t="s">
        <v>52</v>
      </c>
      <c r="H1479" s="4" t="s">
        <v>18</v>
      </c>
      <c r="I1479" s="4" t="s">
        <v>60</v>
      </c>
      <c r="J1479" s="3">
        <v>5</v>
      </c>
      <c r="K1479" s="6">
        <v>208150</v>
      </c>
      <c r="L1479" s="6">
        <f t="shared" si="69"/>
        <v>145705</v>
      </c>
      <c r="M1479" s="6">
        <v>62445</v>
      </c>
      <c r="N1479" s="5" t="str">
        <f t="shared" si="70"/>
        <v>Dec</v>
      </c>
      <c r="O1479" s="5" t="str">
        <f t="shared" si="71"/>
        <v xml:space="preserve"> 2023</v>
      </c>
    </row>
    <row r="1480" spans="1:15" x14ac:dyDescent="0.35">
      <c r="A1480" t="s">
        <v>2174</v>
      </c>
      <c r="B1480" s="5" t="s">
        <v>1234</v>
      </c>
      <c r="C1480" s="4" t="s">
        <v>22</v>
      </c>
      <c r="D1480" s="4" t="s">
        <v>23</v>
      </c>
      <c r="E1480" s="4" t="s">
        <v>24</v>
      </c>
      <c r="F1480" s="4" t="s">
        <v>16</v>
      </c>
      <c r="G1480" s="4" t="s">
        <v>122</v>
      </c>
      <c r="H1480" s="4" t="s">
        <v>18</v>
      </c>
      <c r="I1480" s="4" t="s">
        <v>47</v>
      </c>
      <c r="J1480" s="3">
        <v>9</v>
      </c>
      <c r="K1480" s="6">
        <v>39807</v>
      </c>
      <c r="L1480" s="6">
        <f t="shared" si="69"/>
        <v>27864.899999999998</v>
      </c>
      <c r="M1480" s="6">
        <v>11942.100000000002</v>
      </c>
      <c r="N1480" s="5" t="str">
        <f t="shared" si="70"/>
        <v>Oct</v>
      </c>
      <c r="O1480" s="5" t="str">
        <f t="shared" si="71"/>
        <v xml:space="preserve"> 2024</v>
      </c>
    </row>
    <row r="1481" spans="1:15" x14ac:dyDescent="0.35">
      <c r="A1481" t="s">
        <v>2175</v>
      </c>
      <c r="B1481" s="5" t="s">
        <v>1217</v>
      </c>
      <c r="C1481" s="4" t="s">
        <v>55</v>
      </c>
      <c r="D1481" s="4" t="s">
        <v>82</v>
      </c>
      <c r="E1481" s="4" t="s">
        <v>83</v>
      </c>
      <c r="F1481" s="4" t="s">
        <v>37</v>
      </c>
      <c r="G1481" s="4" t="s">
        <v>186</v>
      </c>
      <c r="H1481" s="4" t="s">
        <v>18</v>
      </c>
      <c r="I1481" s="4" t="s">
        <v>28</v>
      </c>
      <c r="J1481" s="3">
        <v>10</v>
      </c>
      <c r="K1481" s="6">
        <v>214440</v>
      </c>
      <c r="L1481" s="6">
        <f t="shared" si="69"/>
        <v>150108</v>
      </c>
      <c r="M1481" s="6">
        <v>64332</v>
      </c>
      <c r="N1481" s="5" t="str">
        <f t="shared" si="70"/>
        <v>Aug</v>
      </c>
      <c r="O1481" s="5" t="str">
        <f t="shared" si="71"/>
        <v xml:space="preserve"> 2023</v>
      </c>
    </row>
    <row r="1482" spans="1:15" x14ac:dyDescent="0.35">
      <c r="A1482" t="s">
        <v>2176</v>
      </c>
      <c r="B1482" s="5" t="s">
        <v>2177</v>
      </c>
      <c r="C1482" s="4" t="s">
        <v>13</v>
      </c>
      <c r="D1482" s="4" t="s">
        <v>162</v>
      </c>
      <c r="E1482" s="4" t="s">
        <v>163</v>
      </c>
      <c r="F1482" s="4" t="s">
        <v>67</v>
      </c>
      <c r="G1482" s="4" t="s">
        <v>180</v>
      </c>
      <c r="H1482" s="4" t="s">
        <v>27</v>
      </c>
      <c r="I1482" s="4" t="s">
        <v>47</v>
      </c>
      <c r="J1482" s="3">
        <v>7</v>
      </c>
      <c r="K1482" s="6">
        <v>159719</v>
      </c>
      <c r="L1482" s="6">
        <f t="shared" si="69"/>
        <v>111803.29999999999</v>
      </c>
      <c r="M1482" s="6">
        <v>47915.700000000012</v>
      </c>
      <c r="N1482" s="5" t="str">
        <f t="shared" si="70"/>
        <v>Dec</v>
      </c>
      <c r="O1482" s="5" t="str">
        <f t="shared" si="71"/>
        <v xml:space="preserve"> 2023</v>
      </c>
    </row>
    <row r="1483" spans="1:15" x14ac:dyDescent="0.35">
      <c r="A1483" t="s">
        <v>2178</v>
      </c>
      <c r="B1483" s="5" t="s">
        <v>1028</v>
      </c>
      <c r="C1483" s="4" t="s">
        <v>55</v>
      </c>
      <c r="D1483" s="4" t="s">
        <v>63</v>
      </c>
      <c r="E1483" s="4" t="s">
        <v>64</v>
      </c>
      <c r="F1483" s="4" t="s">
        <v>16</v>
      </c>
      <c r="G1483" s="4" t="s">
        <v>122</v>
      </c>
      <c r="H1483" s="4" t="s">
        <v>18</v>
      </c>
      <c r="I1483" s="4" t="s">
        <v>47</v>
      </c>
      <c r="J1483" s="3">
        <v>3</v>
      </c>
      <c r="K1483" s="6">
        <v>48291</v>
      </c>
      <c r="L1483" s="6">
        <f t="shared" si="69"/>
        <v>33803.699999999997</v>
      </c>
      <c r="M1483" s="6">
        <v>14487.300000000003</v>
      </c>
      <c r="N1483" s="5" t="str">
        <f t="shared" si="70"/>
        <v>Oct</v>
      </c>
      <c r="O1483" s="5" t="str">
        <f t="shared" si="71"/>
        <v xml:space="preserve"> 2023</v>
      </c>
    </row>
    <row r="1484" spans="1:15" x14ac:dyDescent="0.35">
      <c r="A1484" t="s">
        <v>2179</v>
      </c>
      <c r="B1484" s="5" t="s">
        <v>1835</v>
      </c>
      <c r="C1484" s="4" t="s">
        <v>55</v>
      </c>
      <c r="D1484" s="4" t="s">
        <v>63</v>
      </c>
      <c r="E1484" s="4" t="s">
        <v>64</v>
      </c>
      <c r="F1484" s="4" t="s">
        <v>25</v>
      </c>
      <c r="G1484" s="4" t="s">
        <v>26</v>
      </c>
      <c r="H1484" s="4" t="s">
        <v>72</v>
      </c>
      <c r="I1484" s="4" t="s">
        <v>39</v>
      </c>
      <c r="J1484" s="3">
        <v>9</v>
      </c>
      <c r="K1484" s="6">
        <v>355365</v>
      </c>
      <c r="L1484" s="6">
        <f t="shared" si="69"/>
        <v>248755.49999999997</v>
      </c>
      <c r="M1484" s="6">
        <v>106609.50000000003</v>
      </c>
      <c r="N1484" s="5" t="str">
        <f t="shared" si="70"/>
        <v>Feb</v>
      </c>
      <c r="O1484" s="5" t="str">
        <f t="shared" si="71"/>
        <v xml:space="preserve"> 2024</v>
      </c>
    </row>
    <row r="1485" spans="1:15" x14ac:dyDescent="0.35">
      <c r="A1485" t="s">
        <v>2180</v>
      </c>
      <c r="B1485" s="5" t="s">
        <v>725</v>
      </c>
      <c r="C1485" s="4" t="s">
        <v>22</v>
      </c>
      <c r="D1485" s="4" t="s">
        <v>90</v>
      </c>
      <c r="E1485" s="4" t="s">
        <v>91</v>
      </c>
      <c r="F1485" s="4" t="s">
        <v>16</v>
      </c>
      <c r="G1485" s="4" t="s">
        <v>122</v>
      </c>
      <c r="H1485" s="4" t="s">
        <v>27</v>
      </c>
      <c r="I1485" s="4" t="s">
        <v>47</v>
      </c>
      <c r="J1485" s="3">
        <v>9</v>
      </c>
      <c r="K1485" s="6">
        <v>441216</v>
      </c>
      <c r="L1485" s="6">
        <f t="shared" si="69"/>
        <v>308851.19999999995</v>
      </c>
      <c r="M1485" s="6">
        <v>132364.80000000005</v>
      </c>
      <c r="N1485" s="5" t="str">
        <f t="shared" si="70"/>
        <v>Sep</v>
      </c>
      <c r="O1485" s="5" t="str">
        <f t="shared" si="71"/>
        <v xml:space="preserve"> 2023</v>
      </c>
    </row>
    <row r="1486" spans="1:15" x14ac:dyDescent="0.35">
      <c r="A1486" t="s">
        <v>2181</v>
      </c>
      <c r="B1486" s="5" t="s">
        <v>1167</v>
      </c>
      <c r="C1486" s="4" t="s">
        <v>55</v>
      </c>
      <c r="D1486" s="4" t="s">
        <v>56</v>
      </c>
      <c r="E1486" s="4" t="s">
        <v>57</v>
      </c>
      <c r="F1486" s="4" t="s">
        <v>37</v>
      </c>
      <c r="G1486" s="4" t="s">
        <v>183</v>
      </c>
      <c r="H1486" s="4" t="s">
        <v>72</v>
      </c>
      <c r="I1486" s="4" t="s">
        <v>39</v>
      </c>
      <c r="J1486" s="3">
        <v>7</v>
      </c>
      <c r="K1486" s="6">
        <v>204078</v>
      </c>
      <c r="L1486" s="6">
        <f t="shared" si="69"/>
        <v>142854.59999999998</v>
      </c>
      <c r="M1486" s="6">
        <v>61223.400000000023</v>
      </c>
      <c r="N1486" s="5" t="str">
        <f t="shared" si="70"/>
        <v>Feb</v>
      </c>
      <c r="O1486" s="5" t="str">
        <f t="shared" si="71"/>
        <v xml:space="preserve"> 2023</v>
      </c>
    </row>
    <row r="1487" spans="1:15" x14ac:dyDescent="0.35">
      <c r="A1487" t="s">
        <v>2182</v>
      </c>
      <c r="B1487" s="5" t="s">
        <v>846</v>
      </c>
      <c r="C1487" s="4" t="s">
        <v>13</v>
      </c>
      <c r="D1487" s="4" t="s">
        <v>118</v>
      </c>
      <c r="E1487" s="4" t="s">
        <v>119</v>
      </c>
      <c r="F1487" s="4" t="s">
        <v>16</v>
      </c>
      <c r="G1487" s="4" t="s">
        <v>42</v>
      </c>
      <c r="H1487" s="4" t="s">
        <v>72</v>
      </c>
      <c r="I1487" s="4" t="s">
        <v>19</v>
      </c>
      <c r="J1487" s="3">
        <v>6</v>
      </c>
      <c r="K1487" s="6">
        <v>177174</v>
      </c>
      <c r="L1487" s="6">
        <f t="shared" si="69"/>
        <v>124021.79999999999</v>
      </c>
      <c r="M1487" s="6">
        <v>53152.200000000012</v>
      </c>
      <c r="N1487" s="5" t="str">
        <f t="shared" si="70"/>
        <v>Oct</v>
      </c>
      <c r="O1487" s="5" t="str">
        <f t="shared" si="71"/>
        <v xml:space="preserve"> 2024</v>
      </c>
    </row>
    <row r="1488" spans="1:15" x14ac:dyDescent="0.35">
      <c r="A1488" t="s">
        <v>2183</v>
      </c>
      <c r="B1488" s="5" t="s">
        <v>2150</v>
      </c>
      <c r="C1488" s="4" t="s">
        <v>22</v>
      </c>
      <c r="D1488" s="4" t="s">
        <v>23</v>
      </c>
      <c r="E1488" s="4" t="s">
        <v>24</v>
      </c>
      <c r="F1488" s="4" t="s">
        <v>25</v>
      </c>
      <c r="G1488" s="4" t="s">
        <v>77</v>
      </c>
      <c r="H1488" s="4" t="s">
        <v>18</v>
      </c>
      <c r="I1488" s="4" t="s">
        <v>47</v>
      </c>
      <c r="J1488" s="3">
        <v>10</v>
      </c>
      <c r="K1488" s="6">
        <v>92100</v>
      </c>
      <c r="L1488" s="6">
        <f t="shared" si="69"/>
        <v>64469.999999999993</v>
      </c>
      <c r="M1488" s="6">
        <v>27630.000000000007</v>
      </c>
      <c r="N1488" s="5" t="str">
        <f t="shared" si="70"/>
        <v>Aug</v>
      </c>
      <c r="O1488" s="5" t="str">
        <f t="shared" si="71"/>
        <v xml:space="preserve"> 2023</v>
      </c>
    </row>
    <row r="1489" spans="1:15" x14ac:dyDescent="0.35">
      <c r="A1489" t="s">
        <v>2184</v>
      </c>
      <c r="B1489" s="5" t="s">
        <v>293</v>
      </c>
      <c r="C1489" s="4" t="s">
        <v>55</v>
      </c>
      <c r="D1489" s="4" t="s">
        <v>82</v>
      </c>
      <c r="E1489" s="4" t="s">
        <v>83</v>
      </c>
      <c r="F1489" s="4" t="s">
        <v>16</v>
      </c>
      <c r="G1489" s="4" t="s">
        <v>42</v>
      </c>
      <c r="H1489" s="4" t="s">
        <v>72</v>
      </c>
      <c r="I1489" s="4" t="s">
        <v>39</v>
      </c>
      <c r="J1489" s="3">
        <v>4</v>
      </c>
      <c r="K1489" s="6">
        <v>124796</v>
      </c>
      <c r="L1489" s="6">
        <f t="shared" si="69"/>
        <v>87357.2</v>
      </c>
      <c r="M1489" s="6">
        <v>37438.800000000003</v>
      </c>
      <c r="N1489" s="5" t="str">
        <f t="shared" si="70"/>
        <v>Apr</v>
      </c>
      <c r="O1489" s="5" t="str">
        <f t="shared" si="71"/>
        <v xml:space="preserve"> 2024</v>
      </c>
    </row>
    <row r="1490" spans="1:15" x14ac:dyDescent="0.35">
      <c r="A1490" t="s">
        <v>2185</v>
      </c>
      <c r="B1490" s="5" t="s">
        <v>2186</v>
      </c>
      <c r="C1490" s="4" t="s">
        <v>55</v>
      </c>
      <c r="D1490" s="4" t="s">
        <v>82</v>
      </c>
      <c r="E1490" s="4" t="s">
        <v>83</v>
      </c>
      <c r="F1490" s="4" t="s">
        <v>16</v>
      </c>
      <c r="G1490" s="4" t="s">
        <v>42</v>
      </c>
      <c r="H1490" s="4" t="s">
        <v>18</v>
      </c>
      <c r="I1490" s="4" t="s">
        <v>28</v>
      </c>
      <c r="J1490" s="3">
        <v>2</v>
      </c>
      <c r="K1490" s="6">
        <v>76418</v>
      </c>
      <c r="L1490" s="6">
        <f t="shared" si="69"/>
        <v>53492.6</v>
      </c>
      <c r="M1490" s="6">
        <v>22925.4</v>
      </c>
      <c r="N1490" s="5" t="str">
        <f t="shared" si="70"/>
        <v>Mar</v>
      </c>
      <c r="O1490" s="5" t="str">
        <f t="shared" si="71"/>
        <v xml:space="preserve"> 2024</v>
      </c>
    </row>
    <row r="1491" spans="1:15" x14ac:dyDescent="0.35">
      <c r="A1491" t="s">
        <v>2187</v>
      </c>
      <c r="B1491" s="5" t="s">
        <v>1880</v>
      </c>
      <c r="C1491" s="4" t="s">
        <v>22</v>
      </c>
      <c r="D1491" s="4" t="s">
        <v>90</v>
      </c>
      <c r="E1491" s="4" t="s">
        <v>110</v>
      </c>
      <c r="F1491" s="4" t="s">
        <v>67</v>
      </c>
      <c r="G1491" s="4" t="s">
        <v>68</v>
      </c>
      <c r="H1491" s="4" t="s">
        <v>18</v>
      </c>
      <c r="I1491" s="4" t="s">
        <v>47</v>
      </c>
      <c r="J1491" s="3">
        <v>4</v>
      </c>
      <c r="K1491" s="6">
        <v>116948</v>
      </c>
      <c r="L1491" s="6">
        <f t="shared" si="69"/>
        <v>81863.599999999991</v>
      </c>
      <c r="M1491" s="6">
        <v>35084.400000000009</v>
      </c>
      <c r="N1491" s="5" t="str">
        <f t="shared" si="70"/>
        <v>Oct</v>
      </c>
      <c r="O1491" s="5" t="str">
        <f t="shared" si="71"/>
        <v xml:space="preserve"> 2023</v>
      </c>
    </row>
    <row r="1492" spans="1:15" x14ac:dyDescent="0.35">
      <c r="A1492" t="s">
        <v>2188</v>
      </c>
      <c r="B1492" s="5" t="s">
        <v>808</v>
      </c>
      <c r="C1492" s="4" t="s">
        <v>55</v>
      </c>
      <c r="D1492" s="4" t="s">
        <v>98</v>
      </c>
      <c r="E1492" s="4" t="s">
        <v>99</v>
      </c>
      <c r="F1492" s="4" t="s">
        <v>25</v>
      </c>
      <c r="G1492" s="4" t="s">
        <v>71</v>
      </c>
      <c r="H1492" s="4" t="s">
        <v>18</v>
      </c>
      <c r="I1492" s="4" t="s">
        <v>60</v>
      </c>
      <c r="J1492" s="3">
        <v>9</v>
      </c>
      <c r="K1492" s="6">
        <v>18225</v>
      </c>
      <c r="L1492" s="6">
        <f t="shared" si="69"/>
        <v>12757.5</v>
      </c>
      <c r="M1492" s="6">
        <v>5467.5</v>
      </c>
      <c r="N1492" s="5" t="str">
        <f t="shared" si="70"/>
        <v>Mar</v>
      </c>
      <c r="O1492" s="5" t="str">
        <f t="shared" si="71"/>
        <v xml:space="preserve"> 2024</v>
      </c>
    </row>
    <row r="1493" spans="1:15" x14ac:dyDescent="0.35">
      <c r="A1493" t="s">
        <v>2189</v>
      </c>
      <c r="B1493" s="5" t="s">
        <v>177</v>
      </c>
      <c r="C1493" s="4" t="s">
        <v>31</v>
      </c>
      <c r="D1493" s="4" t="s">
        <v>104</v>
      </c>
      <c r="E1493" s="4" t="s">
        <v>105</v>
      </c>
      <c r="F1493" s="4" t="s">
        <v>67</v>
      </c>
      <c r="G1493" s="4" t="s">
        <v>180</v>
      </c>
      <c r="H1493" s="4" t="s">
        <v>72</v>
      </c>
      <c r="I1493" s="4" t="s">
        <v>39</v>
      </c>
      <c r="J1493" s="3">
        <v>9</v>
      </c>
      <c r="K1493" s="6">
        <v>100260</v>
      </c>
      <c r="L1493" s="6">
        <f t="shared" si="69"/>
        <v>70182</v>
      </c>
      <c r="M1493" s="6">
        <v>30078</v>
      </c>
      <c r="N1493" s="5" t="str">
        <f t="shared" si="70"/>
        <v>Sep</v>
      </c>
      <c r="O1493" s="5" t="str">
        <f t="shared" si="71"/>
        <v xml:space="preserve"> 2023</v>
      </c>
    </row>
    <row r="1494" spans="1:15" x14ac:dyDescent="0.35">
      <c r="A1494" t="s">
        <v>2190</v>
      </c>
      <c r="B1494" s="5" t="s">
        <v>1329</v>
      </c>
      <c r="C1494" s="4" t="s">
        <v>55</v>
      </c>
      <c r="D1494" s="4" t="s">
        <v>82</v>
      </c>
      <c r="E1494" s="4" t="s">
        <v>83</v>
      </c>
      <c r="F1494" s="4" t="s">
        <v>37</v>
      </c>
      <c r="G1494" s="4" t="s">
        <v>38</v>
      </c>
      <c r="H1494" s="4" t="s">
        <v>27</v>
      </c>
      <c r="I1494" s="4" t="s">
        <v>39</v>
      </c>
      <c r="J1494" s="3">
        <v>3</v>
      </c>
      <c r="K1494" s="6">
        <v>142170</v>
      </c>
      <c r="L1494" s="6">
        <f t="shared" si="69"/>
        <v>99519</v>
      </c>
      <c r="M1494" s="6">
        <v>42651</v>
      </c>
      <c r="N1494" s="5" t="str">
        <f t="shared" si="70"/>
        <v>Aug</v>
      </c>
      <c r="O1494" s="5" t="str">
        <f t="shared" si="71"/>
        <v xml:space="preserve"> 2024</v>
      </c>
    </row>
    <row r="1495" spans="1:15" x14ac:dyDescent="0.35">
      <c r="A1495" t="s">
        <v>2191</v>
      </c>
      <c r="B1495" s="5" t="s">
        <v>1266</v>
      </c>
      <c r="C1495" s="4" t="s">
        <v>13</v>
      </c>
      <c r="D1495" s="4" t="s">
        <v>162</v>
      </c>
      <c r="E1495" s="4" t="s">
        <v>163</v>
      </c>
      <c r="F1495" s="4" t="s">
        <v>37</v>
      </c>
      <c r="G1495" s="4" t="s">
        <v>183</v>
      </c>
      <c r="H1495" s="4" t="s">
        <v>72</v>
      </c>
      <c r="I1495" s="4" t="s">
        <v>28</v>
      </c>
      <c r="J1495" s="3">
        <v>9</v>
      </c>
      <c r="K1495" s="6">
        <v>120393</v>
      </c>
      <c r="L1495" s="6">
        <f t="shared" si="69"/>
        <v>84275.099999999991</v>
      </c>
      <c r="M1495" s="6">
        <v>36117.900000000009</v>
      </c>
      <c r="N1495" s="5" t="str">
        <f t="shared" si="70"/>
        <v>Feb</v>
      </c>
      <c r="O1495" s="5" t="str">
        <f t="shared" si="71"/>
        <v xml:space="preserve"> 2023</v>
      </c>
    </row>
    <row r="1496" spans="1:15" x14ac:dyDescent="0.35">
      <c r="A1496" t="s">
        <v>2192</v>
      </c>
      <c r="B1496" s="5" t="s">
        <v>837</v>
      </c>
      <c r="C1496" s="4" t="s">
        <v>31</v>
      </c>
      <c r="D1496" s="4" t="s">
        <v>104</v>
      </c>
      <c r="E1496" s="4" t="s">
        <v>105</v>
      </c>
      <c r="F1496" s="4" t="s">
        <v>37</v>
      </c>
      <c r="G1496" s="4" t="s">
        <v>148</v>
      </c>
      <c r="H1496" s="4" t="s">
        <v>72</v>
      </c>
      <c r="I1496" s="4" t="s">
        <v>60</v>
      </c>
      <c r="J1496" s="3">
        <v>7</v>
      </c>
      <c r="K1496" s="6">
        <v>326291</v>
      </c>
      <c r="L1496" s="6">
        <f t="shared" si="69"/>
        <v>228403.69999999998</v>
      </c>
      <c r="M1496" s="6">
        <v>97887.300000000017</v>
      </c>
      <c r="N1496" s="5" t="str">
        <f t="shared" si="70"/>
        <v>Oct</v>
      </c>
      <c r="O1496" s="5" t="str">
        <f t="shared" si="71"/>
        <v xml:space="preserve"> 2023</v>
      </c>
    </row>
    <row r="1497" spans="1:15" x14ac:dyDescent="0.35">
      <c r="A1497" t="s">
        <v>2193</v>
      </c>
      <c r="B1497" s="5" t="s">
        <v>1080</v>
      </c>
      <c r="C1497" s="4" t="s">
        <v>13</v>
      </c>
      <c r="D1497" s="4" t="s">
        <v>125</v>
      </c>
      <c r="E1497" s="4" t="s">
        <v>126</v>
      </c>
      <c r="F1497" s="4" t="s">
        <v>16</v>
      </c>
      <c r="G1497" s="4" t="s">
        <v>42</v>
      </c>
      <c r="H1497" s="4" t="s">
        <v>18</v>
      </c>
      <c r="I1497" s="4" t="s">
        <v>39</v>
      </c>
      <c r="J1497" s="3">
        <v>2</v>
      </c>
      <c r="K1497" s="6">
        <v>31010</v>
      </c>
      <c r="L1497" s="6">
        <f t="shared" si="69"/>
        <v>21707</v>
      </c>
      <c r="M1497" s="6">
        <v>9303</v>
      </c>
      <c r="N1497" s="5" t="str">
        <f t="shared" si="70"/>
        <v>Nov</v>
      </c>
      <c r="O1497" s="5" t="str">
        <f t="shared" si="71"/>
        <v xml:space="preserve"> 2023</v>
      </c>
    </row>
    <row r="1498" spans="1:15" x14ac:dyDescent="0.35">
      <c r="A1498" t="s">
        <v>2194</v>
      </c>
      <c r="B1498" s="5" t="s">
        <v>1514</v>
      </c>
      <c r="C1498" s="4" t="s">
        <v>13</v>
      </c>
      <c r="D1498" s="4" t="s">
        <v>118</v>
      </c>
      <c r="E1498" s="4" t="s">
        <v>119</v>
      </c>
      <c r="F1498" s="4" t="s">
        <v>37</v>
      </c>
      <c r="G1498" s="4" t="s">
        <v>186</v>
      </c>
      <c r="H1498" s="4" t="s">
        <v>27</v>
      </c>
      <c r="I1498" s="4" t="s">
        <v>47</v>
      </c>
      <c r="J1498" s="3">
        <v>10</v>
      </c>
      <c r="K1498" s="6">
        <v>189620</v>
      </c>
      <c r="L1498" s="6">
        <f t="shared" si="69"/>
        <v>132734</v>
      </c>
      <c r="M1498" s="6">
        <v>56886</v>
      </c>
      <c r="N1498" s="5" t="str">
        <f t="shared" si="70"/>
        <v>Jul</v>
      </c>
      <c r="O1498" s="5" t="str">
        <f t="shared" si="71"/>
        <v xml:space="preserve"> 2023</v>
      </c>
    </row>
    <row r="1499" spans="1:15" x14ac:dyDescent="0.35">
      <c r="A1499" t="s">
        <v>2195</v>
      </c>
      <c r="B1499" s="5" t="s">
        <v>1761</v>
      </c>
      <c r="C1499" s="4" t="s">
        <v>22</v>
      </c>
      <c r="D1499" s="4" t="s">
        <v>90</v>
      </c>
      <c r="E1499" s="4" t="s">
        <v>110</v>
      </c>
      <c r="F1499" s="4" t="s">
        <v>67</v>
      </c>
      <c r="G1499" s="4" t="s">
        <v>68</v>
      </c>
      <c r="H1499" s="4" t="s">
        <v>27</v>
      </c>
      <c r="I1499" s="4" t="s">
        <v>19</v>
      </c>
      <c r="J1499" s="3">
        <v>4</v>
      </c>
      <c r="K1499" s="6">
        <v>131760</v>
      </c>
      <c r="L1499" s="6">
        <f t="shared" si="69"/>
        <v>92232</v>
      </c>
      <c r="M1499" s="6">
        <v>39528</v>
      </c>
      <c r="N1499" s="5" t="str">
        <f t="shared" si="70"/>
        <v>Oct</v>
      </c>
      <c r="O1499" s="5" t="str">
        <f t="shared" si="71"/>
        <v xml:space="preserve"> 2023</v>
      </c>
    </row>
    <row r="1500" spans="1:15" x14ac:dyDescent="0.35">
      <c r="A1500" t="s">
        <v>2196</v>
      </c>
      <c r="B1500" s="5" t="s">
        <v>725</v>
      </c>
      <c r="C1500" s="4" t="s">
        <v>55</v>
      </c>
      <c r="D1500" s="4" t="s">
        <v>98</v>
      </c>
      <c r="E1500" s="4" t="s">
        <v>99</v>
      </c>
      <c r="F1500" s="4" t="s">
        <v>37</v>
      </c>
      <c r="G1500" s="4" t="s">
        <v>148</v>
      </c>
      <c r="H1500" s="4" t="s">
        <v>27</v>
      </c>
      <c r="I1500" s="4" t="s">
        <v>28</v>
      </c>
      <c r="J1500" s="3">
        <v>9</v>
      </c>
      <c r="K1500" s="6">
        <v>379107</v>
      </c>
      <c r="L1500" s="6">
        <f t="shared" si="69"/>
        <v>265374.89999999997</v>
      </c>
      <c r="M1500" s="6">
        <v>113732.10000000003</v>
      </c>
      <c r="N1500" s="5" t="str">
        <f t="shared" si="70"/>
        <v>Sep</v>
      </c>
      <c r="O1500" s="5" t="str">
        <f t="shared" si="71"/>
        <v xml:space="preserve"> 2023</v>
      </c>
    </row>
    <row r="1501" spans="1:15" x14ac:dyDescent="0.35">
      <c r="A1501" t="s">
        <v>2197</v>
      </c>
      <c r="B1501" s="5" t="s">
        <v>1959</v>
      </c>
      <c r="C1501" s="4" t="s">
        <v>55</v>
      </c>
      <c r="D1501" s="4" t="s">
        <v>56</v>
      </c>
      <c r="E1501" s="4" t="s">
        <v>57</v>
      </c>
      <c r="F1501" s="4" t="s">
        <v>16</v>
      </c>
      <c r="G1501" s="4" t="s">
        <v>122</v>
      </c>
      <c r="H1501" s="4" t="s">
        <v>72</v>
      </c>
      <c r="I1501" s="4" t="s">
        <v>47</v>
      </c>
      <c r="J1501" s="3">
        <v>9</v>
      </c>
      <c r="K1501" s="6">
        <v>398475</v>
      </c>
      <c r="L1501" s="6">
        <f t="shared" si="69"/>
        <v>278932.5</v>
      </c>
      <c r="M1501" s="6">
        <v>119542.5</v>
      </c>
      <c r="N1501" s="5" t="str">
        <f t="shared" si="70"/>
        <v>Oct</v>
      </c>
      <c r="O1501" s="5" t="str">
        <f t="shared" si="71"/>
        <v xml:space="preserve"> 2024</v>
      </c>
    </row>
    <row r="1502" spans="1:15" x14ac:dyDescent="0.35">
      <c r="A1502" t="s">
        <v>2198</v>
      </c>
      <c r="B1502" s="5" t="s">
        <v>1518</v>
      </c>
      <c r="C1502" s="4" t="s">
        <v>13</v>
      </c>
      <c r="D1502" s="4" t="s">
        <v>162</v>
      </c>
      <c r="E1502" s="4" t="s">
        <v>163</v>
      </c>
      <c r="F1502" s="4" t="s">
        <v>25</v>
      </c>
      <c r="G1502" s="4" t="s">
        <v>71</v>
      </c>
      <c r="H1502" s="4" t="s">
        <v>18</v>
      </c>
      <c r="I1502" s="4" t="s">
        <v>28</v>
      </c>
      <c r="J1502" s="3">
        <v>3</v>
      </c>
      <c r="K1502" s="6">
        <v>8118</v>
      </c>
      <c r="L1502" s="6">
        <f t="shared" si="69"/>
        <v>5682.5999999999995</v>
      </c>
      <c r="M1502" s="6">
        <v>2435.4000000000005</v>
      </c>
      <c r="N1502" s="5" t="str">
        <f t="shared" si="70"/>
        <v>Sep</v>
      </c>
      <c r="O1502" s="5" t="str">
        <f t="shared" si="71"/>
        <v xml:space="preserve"> 2024</v>
      </c>
    </row>
    <row r="1503" spans="1:15" x14ac:dyDescent="0.35">
      <c r="A1503" t="s">
        <v>2199</v>
      </c>
      <c r="B1503" s="5" t="s">
        <v>225</v>
      </c>
      <c r="C1503" s="4" t="s">
        <v>55</v>
      </c>
      <c r="D1503" s="4" t="s">
        <v>56</v>
      </c>
      <c r="E1503" s="4" t="s">
        <v>57</v>
      </c>
      <c r="F1503" s="4" t="s">
        <v>37</v>
      </c>
      <c r="G1503" s="4" t="s">
        <v>38</v>
      </c>
      <c r="H1503" s="4" t="s">
        <v>18</v>
      </c>
      <c r="I1503" s="4" t="s">
        <v>19</v>
      </c>
      <c r="J1503" s="3">
        <v>7</v>
      </c>
      <c r="K1503" s="6">
        <v>42196</v>
      </c>
      <c r="L1503" s="6">
        <f t="shared" si="69"/>
        <v>29537.199999999997</v>
      </c>
      <c r="M1503" s="6">
        <v>12658.800000000003</v>
      </c>
      <c r="N1503" s="5" t="str">
        <f t="shared" si="70"/>
        <v>Feb</v>
      </c>
      <c r="O1503" s="5" t="str">
        <f t="shared" si="71"/>
        <v xml:space="preserve"> 2024</v>
      </c>
    </row>
    <row r="1504" spans="1:15" x14ac:dyDescent="0.35">
      <c r="A1504" t="s">
        <v>2200</v>
      </c>
      <c r="B1504" s="5" t="s">
        <v>1661</v>
      </c>
      <c r="C1504" s="4" t="s">
        <v>55</v>
      </c>
      <c r="D1504" s="4" t="s">
        <v>98</v>
      </c>
      <c r="E1504" s="4" t="s">
        <v>99</v>
      </c>
      <c r="F1504" s="4" t="s">
        <v>25</v>
      </c>
      <c r="G1504" s="4" t="s">
        <v>77</v>
      </c>
      <c r="H1504" s="4" t="s">
        <v>72</v>
      </c>
      <c r="I1504" s="4" t="s">
        <v>60</v>
      </c>
      <c r="J1504" s="3">
        <v>3</v>
      </c>
      <c r="K1504" s="6">
        <v>111495</v>
      </c>
      <c r="L1504" s="6">
        <f t="shared" si="69"/>
        <v>78046.5</v>
      </c>
      <c r="M1504" s="6">
        <v>33448.5</v>
      </c>
      <c r="N1504" s="5" t="str">
        <f t="shared" si="70"/>
        <v>May</v>
      </c>
      <c r="O1504" s="5" t="str">
        <f t="shared" si="71"/>
        <v xml:space="preserve"> 2023</v>
      </c>
    </row>
    <row r="1505" spans="1:15" x14ac:dyDescent="0.35">
      <c r="A1505" t="s">
        <v>2201</v>
      </c>
      <c r="B1505" s="5" t="s">
        <v>74</v>
      </c>
      <c r="C1505" s="4" t="s">
        <v>55</v>
      </c>
      <c r="D1505" s="4" t="s">
        <v>82</v>
      </c>
      <c r="E1505" s="4" t="s">
        <v>83</v>
      </c>
      <c r="F1505" s="4" t="s">
        <v>67</v>
      </c>
      <c r="G1505" s="4" t="s">
        <v>180</v>
      </c>
      <c r="H1505" s="4" t="s">
        <v>18</v>
      </c>
      <c r="I1505" s="4" t="s">
        <v>28</v>
      </c>
      <c r="J1505" s="3">
        <v>10</v>
      </c>
      <c r="K1505" s="6">
        <v>397890</v>
      </c>
      <c r="L1505" s="6">
        <f t="shared" si="69"/>
        <v>278523</v>
      </c>
      <c r="M1505" s="6">
        <v>119367</v>
      </c>
      <c r="N1505" s="5" t="str">
        <f t="shared" si="70"/>
        <v>Mar</v>
      </c>
      <c r="O1505" s="5" t="str">
        <f t="shared" si="71"/>
        <v xml:space="preserve"> 2024</v>
      </c>
    </row>
    <row r="1506" spans="1:15" x14ac:dyDescent="0.35">
      <c r="A1506" t="s">
        <v>2202</v>
      </c>
      <c r="B1506" s="5" t="s">
        <v>603</v>
      </c>
      <c r="C1506" s="4" t="s">
        <v>55</v>
      </c>
      <c r="D1506" s="4" t="s">
        <v>56</v>
      </c>
      <c r="E1506" s="4" t="s">
        <v>57</v>
      </c>
      <c r="F1506" s="4" t="s">
        <v>67</v>
      </c>
      <c r="G1506" s="4" t="s">
        <v>134</v>
      </c>
      <c r="H1506" s="4" t="s">
        <v>72</v>
      </c>
      <c r="I1506" s="4" t="s">
        <v>60</v>
      </c>
      <c r="J1506" s="3">
        <v>4</v>
      </c>
      <c r="K1506" s="6">
        <v>121080</v>
      </c>
      <c r="L1506" s="6">
        <f t="shared" si="69"/>
        <v>84756</v>
      </c>
      <c r="M1506" s="6">
        <v>36324</v>
      </c>
      <c r="N1506" s="5" t="str">
        <f t="shared" si="70"/>
        <v>Oct</v>
      </c>
      <c r="O1506" s="5" t="str">
        <f t="shared" si="71"/>
        <v xml:space="preserve"> 2024</v>
      </c>
    </row>
    <row r="1507" spans="1:15" x14ac:dyDescent="0.35">
      <c r="A1507" t="s">
        <v>2203</v>
      </c>
      <c r="B1507" s="5" t="s">
        <v>531</v>
      </c>
      <c r="C1507" s="4" t="s">
        <v>31</v>
      </c>
      <c r="D1507" s="4" t="s">
        <v>32</v>
      </c>
      <c r="E1507" s="4" t="s">
        <v>33</v>
      </c>
      <c r="F1507" s="4" t="s">
        <v>25</v>
      </c>
      <c r="G1507" s="4" t="s">
        <v>52</v>
      </c>
      <c r="H1507" s="4" t="s">
        <v>27</v>
      </c>
      <c r="I1507" s="4" t="s">
        <v>47</v>
      </c>
      <c r="J1507" s="3">
        <v>10</v>
      </c>
      <c r="K1507" s="6">
        <v>69960</v>
      </c>
      <c r="L1507" s="6">
        <f t="shared" si="69"/>
        <v>48972</v>
      </c>
      <c r="M1507" s="6">
        <v>20988</v>
      </c>
      <c r="N1507" s="5" t="str">
        <f t="shared" si="70"/>
        <v>May</v>
      </c>
      <c r="O1507" s="5" t="str">
        <f t="shared" si="71"/>
        <v xml:space="preserve"> 2024</v>
      </c>
    </row>
    <row r="1508" spans="1:15" x14ac:dyDescent="0.35">
      <c r="A1508" t="s">
        <v>2204</v>
      </c>
      <c r="B1508" s="5" t="s">
        <v>1057</v>
      </c>
      <c r="C1508" s="4" t="s">
        <v>13</v>
      </c>
      <c r="D1508" s="4" t="s">
        <v>162</v>
      </c>
      <c r="E1508" s="4" t="s">
        <v>163</v>
      </c>
      <c r="F1508" s="4" t="s">
        <v>67</v>
      </c>
      <c r="G1508" s="4" t="s">
        <v>113</v>
      </c>
      <c r="H1508" s="4" t="s">
        <v>27</v>
      </c>
      <c r="I1508" s="4" t="s">
        <v>19</v>
      </c>
      <c r="J1508" s="3">
        <v>1</v>
      </c>
      <c r="K1508" s="6">
        <v>45572</v>
      </c>
      <c r="L1508" s="6">
        <f t="shared" si="69"/>
        <v>31900.399999999998</v>
      </c>
      <c r="M1508" s="6">
        <v>13671.600000000002</v>
      </c>
      <c r="N1508" s="5" t="str">
        <f t="shared" si="70"/>
        <v>Jun</v>
      </c>
      <c r="O1508" s="5" t="str">
        <f t="shared" si="71"/>
        <v xml:space="preserve"> 2024</v>
      </c>
    </row>
    <row r="1509" spans="1:15" x14ac:dyDescent="0.35">
      <c r="A1509" t="s">
        <v>2205</v>
      </c>
      <c r="B1509" s="5" t="s">
        <v>2107</v>
      </c>
      <c r="C1509" s="4" t="s">
        <v>13</v>
      </c>
      <c r="D1509" s="4" t="s">
        <v>118</v>
      </c>
      <c r="E1509" s="4" t="s">
        <v>119</v>
      </c>
      <c r="F1509" s="4" t="s">
        <v>25</v>
      </c>
      <c r="G1509" s="4" t="s">
        <v>77</v>
      </c>
      <c r="H1509" s="4" t="s">
        <v>72</v>
      </c>
      <c r="I1509" s="4" t="s">
        <v>47</v>
      </c>
      <c r="J1509" s="3">
        <v>10</v>
      </c>
      <c r="K1509" s="6">
        <v>98630</v>
      </c>
      <c r="L1509" s="6">
        <f t="shared" si="69"/>
        <v>69041</v>
      </c>
      <c r="M1509" s="6">
        <v>29589</v>
      </c>
      <c r="N1509" s="5" t="str">
        <f t="shared" si="70"/>
        <v>Sep</v>
      </c>
      <c r="O1509" s="5" t="str">
        <f t="shared" si="71"/>
        <v xml:space="preserve"> 2024</v>
      </c>
    </row>
    <row r="1510" spans="1:15" x14ac:dyDescent="0.35">
      <c r="A1510" t="s">
        <v>2206</v>
      </c>
      <c r="B1510" s="5" t="s">
        <v>461</v>
      </c>
      <c r="C1510" s="4" t="s">
        <v>13</v>
      </c>
      <c r="D1510" s="4" t="s">
        <v>14</v>
      </c>
      <c r="E1510" s="4" t="s">
        <v>15</v>
      </c>
      <c r="F1510" s="4" t="s">
        <v>25</v>
      </c>
      <c r="G1510" s="4" t="s">
        <v>26</v>
      </c>
      <c r="H1510" s="4" t="s">
        <v>18</v>
      </c>
      <c r="I1510" s="4" t="s">
        <v>39</v>
      </c>
      <c r="J1510" s="3">
        <v>4</v>
      </c>
      <c r="K1510" s="6">
        <v>123432</v>
      </c>
      <c r="L1510" s="6">
        <f t="shared" si="69"/>
        <v>86402.4</v>
      </c>
      <c r="M1510" s="6">
        <v>37029.600000000006</v>
      </c>
      <c r="N1510" s="5" t="str">
        <f t="shared" si="70"/>
        <v>Jul</v>
      </c>
      <c r="O1510" s="5" t="str">
        <f t="shared" si="71"/>
        <v xml:space="preserve"> 2023</v>
      </c>
    </row>
    <row r="1511" spans="1:15" x14ac:dyDescent="0.35">
      <c r="A1511" t="s">
        <v>2207</v>
      </c>
      <c r="B1511" s="5" t="s">
        <v>608</v>
      </c>
      <c r="C1511" s="4" t="s">
        <v>55</v>
      </c>
      <c r="D1511" s="4" t="s">
        <v>98</v>
      </c>
      <c r="E1511" s="4" t="s">
        <v>99</v>
      </c>
      <c r="F1511" s="4" t="s">
        <v>25</v>
      </c>
      <c r="G1511" s="4" t="s">
        <v>26</v>
      </c>
      <c r="H1511" s="4" t="s">
        <v>72</v>
      </c>
      <c r="I1511" s="4" t="s">
        <v>39</v>
      </c>
      <c r="J1511" s="3">
        <v>9</v>
      </c>
      <c r="K1511" s="6">
        <v>200466</v>
      </c>
      <c r="L1511" s="6">
        <f t="shared" si="69"/>
        <v>140326.19999999998</v>
      </c>
      <c r="M1511" s="6">
        <v>60139.800000000017</v>
      </c>
      <c r="N1511" s="5" t="str">
        <f t="shared" si="70"/>
        <v>Mar</v>
      </c>
      <c r="O1511" s="5" t="str">
        <f t="shared" si="71"/>
        <v xml:space="preserve"> 2024</v>
      </c>
    </row>
    <row r="1512" spans="1:15" x14ac:dyDescent="0.35">
      <c r="A1512" t="s">
        <v>2208</v>
      </c>
      <c r="B1512" s="5" t="s">
        <v>1774</v>
      </c>
      <c r="C1512" s="4" t="s">
        <v>31</v>
      </c>
      <c r="D1512" s="4" t="s">
        <v>45</v>
      </c>
      <c r="E1512" s="4" t="s">
        <v>46</v>
      </c>
      <c r="F1512" s="4" t="s">
        <v>16</v>
      </c>
      <c r="G1512" s="4" t="s">
        <v>122</v>
      </c>
      <c r="H1512" s="4" t="s">
        <v>27</v>
      </c>
      <c r="I1512" s="4" t="s">
        <v>28</v>
      </c>
      <c r="J1512" s="3">
        <v>4</v>
      </c>
      <c r="K1512" s="6">
        <v>33920</v>
      </c>
      <c r="L1512" s="6">
        <f t="shared" si="69"/>
        <v>23744</v>
      </c>
      <c r="M1512" s="6">
        <v>10176</v>
      </c>
      <c r="N1512" s="5" t="str">
        <f t="shared" si="70"/>
        <v>May</v>
      </c>
      <c r="O1512" s="5" t="str">
        <f t="shared" si="71"/>
        <v xml:space="preserve"> 2024</v>
      </c>
    </row>
    <row r="1513" spans="1:15" x14ac:dyDescent="0.35">
      <c r="A1513" t="s">
        <v>2209</v>
      </c>
      <c r="B1513" s="5" t="s">
        <v>451</v>
      </c>
      <c r="C1513" s="4" t="s">
        <v>13</v>
      </c>
      <c r="D1513" s="4" t="s">
        <v>14</v>
      </c>
      <c r="E1513" s="4" t="s">
        <v>15</v>
      </c>
      <c r="F1513" s="4" t="s">
        <v>37</v>
      </c>
      <c r="G1513" s="4" t="s">
        <v>38</v>
      </c>
      <c r="H1513" s="4" t="s">
        <v>72</v>
      </c>
      <c r="I1513" s="4" t="s">
        <v>39</v>
      </c>
      <c r="J1513" s="3">
        <v>2</v>
      </c>
      <c r="K1513" s="6">
        <v>28752</v>
      </c>
      <c r="L1513" s="6">
        <f t="shared" si="69"/>
        <v>20126.399999999998</v>
      </c>
      <c r="M1513" s="6">
        <v>8625.6000000000022</v>
      </c>
      <c r="N1513" s="5" t="str">
        <f t="shared" si="70"/>
        <v>Feb</v>
      </c>
      <c r="O1513" s="5" t="str">
        <f t="shared" si="71"/>
        <v xml:space="preserve"> 2024</v>
      </c>
    </row>
    <row r="1514" spans="1:15" x14ac:dyDescent="0.35">
      <c r="A1514" t="s">
        <v>2210</v>
      </c>
      <c r="B1514" s="5" t="s">
        <v>313</v>
      </c>
      <c r="C1514" s="4" t="s">
        <v>13</v>
      </c>
      <c r="D1514" s="4" t="s">
        <v>118</v>
      </c>
      <c r="E1514" s="4" t="s">
        <v>119</v>
      </c>
      <c r="F1514" s="4" t="s">
        <v>25</v>
      </c>
      <c r="G1514" s="4" t="s">
        <v>77</v>
      </c>
      <c r="H1514" s="4" t="s">
        <v>18</v>
      </c>
      <c r="I1514" s="4" t="s">
        <v>19</v>
      </c>
      <c r="J1514" s="3">
        <v>5</v>
      </c>
      <c r="K1514" s="6">
        <v>48905</v>
      </c>
      <c r="L1514" s="6">
        <f t="shared" si="69"/>
        <v>34233.5</v>
      </c>
      <c r="M1514" s="6">
        <v>14671.5</v>
      </c>
      <c r="N1514" s="5" t="str">
        <f t="shared" si="70"/>
        <v>Dec</v>
      </c>
      <c r="O1514" s="5" t="str">
        <f t="shared" si="71"/>
        <v xml:space="preserve"> 2023</v>
      </c>
    </row>
    <row r="1515" spans="1:15" x14ac:dyDescent="0.35">
      <c r="A1515" t="s">
        <v>2211</v>
      </c>
      <c r="B1515" s="5" t="s">
        <v>1742</v>
      </c>
      <c r="C1515" s="4" t="s">
        <v>31</v>
      </c>
      <c r="D1515" s="4" t="s">
        <v>104</v>
      </c>
      <c r="E1515" s="4" t="s">
        <v>105</v>
      </c>
      <c r="F1515" s="4" t="s">
        <v>37</v>
      </c>
      <c r="G1515" s="4" t="s">
        <v>38</v>
      </c>
      <c r="H1515" s="4" t="s">
        <v>27</v>
      </c>
      <c r="I1515" s="4" t="s">
        <v>47</v>
      </c>
      <c r="J1515" s="3">
        <v>9</v>
      </c>
      <c r="K1515" s="6">
        <v>73638</v>
      </c>
      <c r="L1515" s="6">
        <f t="shared" si="69"/>
        <v>51546.6</v>
      </c>
      <c r="M1515" s="6">
        <v>22091.4</v>
      </c>
      <c r="N1515" s="5" t="str">
        <f t="shared" si="70"/>
        <v>Oct</v>
      </c>
      <c r="O1515" s="5" t="str">
        <f t="shared" si="71"/>
        <v xml:space="preserve"> 2023</v>
      </c>
    </row>
    <row r="1516" spans="1:15" x14ac:dyDescent="0.35">
      <c r="A1516" t="s">
        <v>2212</v>
      </c>
      <c r="B1516" s="5" t="s">
        <v>2031</v>
      </c>
      <c r="C1516" s="4" t="s">
        <v>55</v>
      </c>
      <c r="D1516" s="4" t="s">
        <v>98</v>
      </c>
      <c r="E1516" s="4" t="s">
        <v>99</v>
      </c>
      <c r="F1516" s="4" t="s">
        <v>16</v>
      </c>
      <c r="G1516" s="4" t="s">
        <v>17</v>
      </c>
      <c r="H1516" s="4" t="s">
        <v>72</v>
      </c>
      <c r="I1516" s="4" t="s">
        <v>47</v>
      </c>
      <c r="J1516" s="3">
        <v>8</v>
      </c>
      <c r="K1516" s="6">
        <v>244568</v>
      </c>
      <c r="L1516" s="6">
        <f t="shared" si="69"/>
        <v>171197.59999999998</v>
      </c>
      <c r="M1516" s="6">
        <v>73370.400000000023</v>
      </c>
      <c r="N1516" s="5" t="str">
        <f t="shared" si="70"/>
        <v>Mar</v>
      </c>
      <c r="O1516" s="5" t="str">
        <f t="shared" si="71"/>
        <v xml:space="preserve"> 2023</v>
      </c>
    </row>
    <row r="1517" spans="1:15" x14ac:dyDescent="0.35">
      <c r="A1517" t="s">
        <v>2213</v>
      </c>
      <c r="B1517" s="5" t="s">
        <v>603</v>
      </c>
      <c r="C1517" s="4" t="s">
        <v>13</v>
      </c>
      <c r="D1517" s="4" t="s">
        <v>162</v>
      </c>
      <c r="E1517" s="4" t="s">
        <v>163</v>
      </c>
      <c r="F1517" s="4" t="s">
        <v>37</v>
      </c>
      <c r="G1517" s="4" t="s">
        <v>183</v>
      </c>
      <c r="H1517" s="4" t="s">
        <v>72</v>
      </c>
      <c r="I1517" s="4" t="s">
        <v>60</v>
      </c>
      <c r="J1517" s="3">
        <v>5</v>
      </c>
      <c r="K1517" s="6">
        <v>30790</v>
      </c>
      <c r="L1517" s="6">
        <f t="shared" si="69"/>
        <v>21553</v>
      </c>
      <c r="M1517" s="6">
        <v>9237</v>
      </c>
      <c r="N1517" s="5" t="str">
        <f t="shared" si="70"/>
        <v>Oct</v>
      </c>
      <c r="O1517" s="5" t="str">
        <f t="shared" si="71"/>
        <v xml:space="preserve"> 2024</v>
      </c>
    </row>
    <row r="1518" spans="1:15" x14ac:dyDescent="0.35">
      <c r="A1518" t="s">
        <v>2214</v>
      </c>
      <c r="B1518" s="5" t="s">
        <v>654</v>
      </c>
      <c r="C1518" s="4" t="s">
        <v>31</v>
      </c>
      <c r="D1518" s="4" t="s">
        <v>104</v>
      </c>
      <c r="E1518" s="4" t="s">
        <v>105</v>
      </c>
      <c r="F1518" s="4" t="s">
        <v>67</v>
      </c>
      <c r="G1518" s="4" t="s">
        <v>134</v>
      </c>
      <c r="H1518" s="4" t="s">
        <v>27</v>
      </c>
      <c r="I1518" s="4" t="s">
        <v>60</v>
      </c>
      <c r="J1518" s="3">
        <v>10</v>
      </c>
      <c r="K1518" s="6">
        <v>77140</v>
      </c>
      <c r="L1518" s="6">
        <f t="shared" si="69"/>
        <v>53998</v>
      </c>
      <c r="M1518" s="6">
        <v>23142</v>
      </c>
      <c r="N1518" s="5" t="str">
        <f t="shared" si="70"/>
        <v>Sep</v>
      </c>
      <c r="O1518" s="5" t="str">
        <f t="shared" si="71"/>
        <v xml:space="preserve"> 2024</v>
      </c>
    </row>
    <row r="1519" spans="1:15" x14ac:dyDescent="0.35">
      <c r="A1519" t="s">
        <v>2215</v>
      </c>
      <c r="B1519" s="5" t="s">
        <v>2216</v>
      </c>
      <c r="C1519" s="4" t="s">
        <v>55</v>
      </c>
      <c r="D1519" s="4" t="s">
        <v>98</v>
      </c>
      <c r="E1519" s="4" t="s">
        <v>99</v>
      </c>
      <c r="F1519" s="4" t="s">
        <v>37</v>
      </c>
      <c r="G1519" s="4" t="s">
        <v>186</v>
      </c>
      <c r="H1519" s="4" t="s">
        <v>72</v>
      </c>
      <c r="I1519" s="4" t="s">
        <v>28</v>
      </c>
      <c r="J1519" s="3">
        <v>5</v>
      </c>
      <c r="K1519" s="6">
        <v>189105</v>
      </c>
      <c r="L1519" s="6">
        <f t="shared" si="69"/>
        <v>132373.5</v>
      </c>
      <c r="M1519" s="6">
        <v>56731.5</v>
      </c>
      <c r="N1519" s="5" t="str">
        <f t="shared" si="70"/>
        <v>Jul</v>
      </c>
      <c r="O1519" s="5" t="str">
        <f t="shared" si="71"/>
        <v xml:space="preserve"> 2024</v>
      </c>
    </row>
    <row r="1520" spans="1:15" x14ac:dyDescent="0.35">
      <c r="A1520" t="s">
        <v>2217</v>
      </c>
      <c r="B1520" s="5" t="s">
        <v>1670</v>
      </c>
      <c r="C1520" s="4" t="s">
        <v>22</v>
      </c>
      <c r="D1520" s="4" t="s">
        <v>23</v>
      </c>
      <c r="E1520" s="4" t="s">
        <v>24</v>
      </c>
      <c r="F1520" s="4" t="s">
        <v>67</v>
      </c>
      <c r="G1520" s="4" t="s">
        <v>68</v>
      </c>
      <c r="H1520" s="4" t="s">
        <v>72</v>
      </c>
      <c r="I1520" s="4" t="s">
        <v>47</v>
      </c>
      <c r="J1520" s="3">
        <v>7</v>
      </c>
      <c r="K1520" s="6">
        <v>266091</v>
      </c>
      <c r="L1520" s="6">
        <f t="shared" si="69"/>
        <v>186263.69999999998</v>
      </c>
      <c r="M1520" s="6">
        <v>79827.300000000017</v>
      </c>
      <c r="N1520" s="5" t="str">
        <f t="shared" si="70"/>
        <v>Sep</v>
      </c>
      <c r="O1520" s="5" t="str">
        <f t="shared" si="71"/>
        <v xml:space="preserve"> 2024</v>
      </c>
    </row>
    <row r="1521" spans="1:15" x14ac:dyDescent="0.35">
      <c r="A1521" t="s">
        <v>2218</v>
      </c>
      <c r="B1521" s="5" t="s">
        <v>2219</v>
      </c>
      <c r="C1521" s="4" t="s">
        <v>55</v>
      </c>
      <c r="D1521" s="4" t="s">
        <v>56</v>
      </c>
      <c r="E1521" s="4" t="s">
        <v>57</v>
      </c>
      <c r="F1521" s="4" t="s">
        <v>37</v>
      </c>
      <c r="G1521" s="4" t="s">
        <v>148</v>
      </c>
      <c r="H1521" s="4" t="s">
        <v>18</v>
      </c>
      <c r="I1521" s="4" t="s">
        <v>19</v>
      </c>
      <c r="J1521" s="3">
        <v>3</v>
      </c>
      <c r="K1521" s="6">
        <v>12156</v>
      </c>
      <c r="L1521" s="6">
        <f t="shared" si="69"/>
        <v>8509.1999999999989</v>
      </c>
      <c r="M1521" s="6">
        <v>3646.8000000000011</v>
      </c>
      <c r="N1521" s="5" t="str">
        <f t="shared" si="70"/>
        <v>Apr</v>
      </c>
      <c r="O1521" s="5" t="str">
        <f t="shared" si="71"/>
        <v xml:space="preserve"> 2023</v>
      </c>
    </row>
    <row r="1522" spans="1:15" x14ac:dyDescent="0.35">
      <c r="A1522" t="s">
        <v>2220</v>
      </c>
      <c r="B1522" s="5" t="s">
        <v>660</v>
      </c>
      <c r="C1522" s="4" t="s">
        <v>55</v>
      </c>
      <c r="D1522" s="4" t="s">
        <v>98</v>
      </c>
      <c r="E1522" s="4" t="s">
        <v>99</v>
      </c>
      <c r="F1522" s="4" t="s">
        <v>67</v>
      </c>
      <c r="G1522" s="4" t="s">
        <v>134</v>
      </c>
      <c r="H1522" s="4" t="s">
        <v>27</v>
      </c>
      <c r="I1522" s="4" t="s">
        <v>60</v>
      </c>
      <c r="J1522" s="3">
        <v>8</v>
      </c>
      <c r="K1522" s="6">
        <v>29280</v>
      </c>
      <c r="L1522" s="6">
        <f t="shared" si="69"/>
        <v>20496</v>
      </c>
      <c r="M1522" s="6">
        <v>8784</v>
      </c>
      <c r="N1522" s="5" t="str">
        <f t="shared" si="70"/>
        <v>Aug</v>
      </c>
      <c r="O1522" s="5" t="str">
        <f t="shared" si="71"/>
        <v xml:space="preserve"> 2024</v>
      </c>
    </row>
    <row r="1523" spans="1:15" x14ac:dyDescent="0.35">
      <c r="A1523" t="s">
        <v>2221</v>
      </c>
      <c r="B1523" s="5" t="s">
        <v>398</v>
      </c>
      <c r="C1523" s="4" t="s">
        <v>13</v>
      </c>
      <c r="D1523" s="4" t="s">
        <v>162</v>
      </c>
      <c r="E1523" s="4" t="s">
        <v>163</v>
      </c>
      <c r="F1523" s="4" t="s">
        <v>16</v>
      </c>
      <c r="G1523" s="4" t="s">
        <v>34</v>
      </c>
      <c r="H1523" s="4" t="s">
        <v>72</v>
      </c>
      <c r="I1523" s="4" t="s">
        <v>28</v>
      </c>
      <c r="J1523" s="3">
        <v>1</v>
      </c>
      <c r="K1523" s="6">
        <v>17690</v>
      </c>
      <c r="L1523" s="6">
        <f t="shared" si="69"/>
        <v>12383</v>
      </c>
      <c r="M1523" s="6">
        <v>5307</v>
      </c>
      <c r="N1523" s="5" t="str">
        <f t="shared" si="70"/>
        <v>Aug</v>
      </c>
      <c r="O1523" s="5" t="str">
        <f t="shared" si="71"/>
        <v xml:space="preserve"> 2024</v>
      </c>
    </row>
    <row r="1524" spans="1:15" x14ac:dyDescent="0.35">
      <c r="A1524" t="s">
        <v>2222</v>
      </c>
      <c r="B1524" s="5" t="s">
        <v>1956</v>
      </c>
      <c r="C1524" s="4" t="s">
        <v>31</v>
      </c>
      <c r="D1524" s="4" t="s">
        <v>45</v>
      </c>
      <c r="E1524" s="4" t="s">
        <v>46</v>
      </c>
      <c r="F1524" s="4" t="s">
        <v>25</v>
      </c>
      <c r="G1524" s="4" t="s">
        <v>26</v>
      </c>
      <c r="H1524" s="4" t="s">
        <v>27</v>
      </c>
      <c r="I1524" s="4" t="s">
        <v>28</v>
      </c>
      <c r="J1524" s="3">
        <v>3</v>
      </c>
      <c r="K1524" s="6">
        <v>87444</v>
      </c>
      <c r="L1524" s="6">
        <f t="shared" si="69"/>
        <v>61210.799999999996</v>
      </c>
      <c r="M1524" s="6">
        <v>26233.200000000004</v>
      </c>
      <c r="N1524" s="5" t="str">
        <f t="shared" si="70"/>
        <v>May</v>
      </c>
      <c r="O1524" s="5" t="str">
        <f t="shared" si="71"/>
        <v xml:space="preserve"> 2023</v>
      </c>
    </row>
    <row r="1525" spans="1:15" x14ac:dyDescent="0.35">
      <c r="A1525" t="s">
        <v>2223</v>
      </c>
      <c r="B1525" s="5" t="s">
        <v>790</v>
      </c>
      <c r="C1525" s="4" t="s">
        <v>31</v>
      </c>
      <c r="D1525" s="4" t="s">
        <v>50</v>
      </c>
      <c r="E1525" s="4" t="s">
        <v>51</v>
      </c>
      <c r="F1525" s="4" t="s">
        <v>37</v>
      </c>
      <c r="G1525" s="4" t="s">
        <v>38</v>
      </c>
      <c r="H1525" s="4" t="s">
        <v>18</v>
      </c>
      <c r="I1525" s="4" t="s">
        <v>47</v>
      </c>
      <c r="J1525" s="3">
        <v>3</v>
      </c>
      <c r="K1525" s="6">
        <v>112425</v>
      </c>
      <c r="L1525" s="6">
        <f t="shared" si="69"/>
        <v>78697.5</v>
      </c>
      <c r="M1525" s="6">
        <v>33727.5</v>
      </c>
      <c r="N1525" s="5" t="str">
        <f t="shared" si="70"/>
        <v>Jun</v>
      </c>
      <c r="O1525" s="5" t="str">
        <f t="shared" si="71"/>
        <v xml:space="preserve"> 2024</v>
      </c>
    </row>
    <row r="1526" spans="1:15" x14ac:dyDescent="0.35">
      <c r="A1526" t="s">
        <v>2224</v>
      </c>
      <c r="B1526" s="5" t="s">
        <v>103</v>
      </c>
      <c r="C1526" s="4" t="s">
        <v>31</v>
      </c>
      <c r="D1526" s="4" t="s">
        <v>104</v>
      </c>
      <c r="E1526" s="4" t="s">
        <v>105</v>
      </c>
      <c r="F1526" s="4" t="s">
        <v>37</v>
      </c>
      <c r="G1526" s="4" t="s">
        <v>38</v>
      </c>
      <c r="H1526" s="4" t="s">
        <v>18</v>
      </c>
      <c r="I1526" s="4" t="s">
        <v>39</v>
      </c>
      <c r="J1526" s="3">
        <v>3</v>
      </c>
      <c r="K1526" s="6">
        <v>137832</v>
      </c>
      <c r="L1526" s="6">
        <f t="shared" si="69"/>
        <v>96482.4</v>
      </c>
      <c r="M1526" s="6">
        <v>41349.600000000006</v>
      </c>
      <c r="N1526" s="5" t="str">
        <f t="shared" si="70"/>
        <v>Oct</v>
      </c>
      <c r="O1526" s="5" t="str">
        <f t="shared" si="71"/>
        <v xml:space="preserve"> 2024</v>
      </c>
    </row>
    <row r="1527" spans="1:15" x14ac:dyDescent="0.35">
      <c r="A1527" t="s">
        <v>2225</v>
      </c>
      <c r="B1527" s="5" t="s">
        <v>539</v>
      </c>
      <c r="C1527" s="4" t="s">
        <v>31</v>
      </c>
      <c r="D1527" s="4" t="s">
        <v>50</v>
      </c>
      <c r="E1527" s="4" t="s">
        <v>51</v>
      </c>
      <c r="F1527" s="4" t="s">
        <v>16</v>
      </c>
      <c r="G1527" s="4" t="s">
        <v>17</v>
      </c>
      <c r="H1527" s="4" t="s">
        <v>27</v>
      </c>
      <c r="I1527" s="4" t="s">
        <v>47</v>
      </c>
      <c r="J1527" s="3">
        <v>5</v>
      </c>
      <c r="K1527" s="6">
        <v>16730</v>
      </c>
      <c r="L1527" s="6">
        <f t="shared" si="69"/>
        <v>11711</v>
      </c>
      <c r="M1527" s="6">
        <v>5019</v>
      </c>
      <c r="N1527" s="5" t="str">
        <f t="shared" si="70"/>
        <v>Jan</v>
      </c>
      <c r="O1527" s="5" t="str">
        <f t="shared" si="71"/>
        <v xml:space="preserve"> 2023</v>
      </c>
    </row>
    <row r="1528" spans="1:15" x14ac:dyDescent="0.35">
      <c r="A1528" t="s">
        <v>2226</v>
      </c>
      <c r="B1528" s="5" t="s">
        <v>834</v>
      </c>
      <c r="C1528" s="4" t="s">
        <v>13</v>
      </c>
      <c r="D1528" s="4" t="s">
        <v>118</v>
      </c>
      <c r="E1528" s="4" t="s">
        <v>119</v>
      </c>
      <c r="F1528" s="4" t="s">
        <v>16</v>
      </c>
      <c r="G1528" s="4" t="s">
        <v>34</v>
      </c>
      <c r="H1528" s="4" t="s">
        <v>27</v>
      </c>
      <c r="I1528" s="4" t="s">
        <v>19</v>
      </c>
      <c r="J1528" s="3">
        <v>5</v>
      </c>
      <c r="K1528" s="6">
        <v>147775</v>
      </c>
      <c r="L1528" s="6">
        <f t="shared" si="69"/>
        <v>103442.5</v>
      </c>
      <c r="M1528" s="6">
        <v>44332.5</v>
      </c>
      <c r="N1528" s="5" t="str">
        <f t="shared" si="70"/>
        <v>Jun</v>
      </c>
      <c r="O1528" s="5" t="str">
        <f t="shared" si="71"/>
        <v xml:space="preserve"> 2023</v>
      </c>
    </row>
    <row r="1529" spans="1:15" x14ac:dyDescent="0.35">
      <c r="A1529" t="s">
        <v>2227</v>
      </c>
      <c r="B1529" s="5" t="s">
        <v>405</v>
      </c>
      <c r="C1529" s="4" t="s">
        <v>22</v>
      </c>
      <c r="D1529" s="4" t="s">
        <v>90</v>
      </c>
      <c r="E1529" s="4" t="s">
        <v>91</v>
      </c>
      <c r="F1529" s="4" t="s">
        <v>37</v>
      </c>
      <c r="G1529" s="4" t="s">
        <v>183</v>
      </c>
      <c r="H1529" s="4" t="s">
        <v>27</v>
      </c>
      <c r="I1529" s="4" t="s">
        <v>60</v>
      </c>
      <c r="J1529" s="3">
        <v>1</v>
      </c>
      <c r="K1529" s="6">
        <v>7035</v>
      </c>
      <c r="L1529" s="6">
        <f t="shared" si="69"/>
        <v>4924.5</v>
      </c>
      <c r="M1529" s="6">
        <v>2110.5</v>
      </c>
      <c r="N1529" s="5" t="str">
        <f t="shared" si="70"/>
        <v>Jan</v>
      </c>
      <c r="O1529" s="5" t="str">
        <f t="shared" si="71"/>
        <v xml:space="preserve"> 2024</v>
      </c>
    </row>
    <row r="1530" spans="1:15" x14ac:dyDescent="0.35">
      <c r="A1530" t="s">
        <v>2228</v>
      </c>
      <c r="B1530" s="5" t="s">
        <v>572</v>
      </c>
      <c r="C1530" s="4" t="s">
        <v>55</v>
      </c>
      <c r="D1530" s="4" t="s">
        <v>56</v>
      </c>
      <c r="E1530" s="4" t="s">
        <v>57</v>
      </c>
      <c r="F1530" s="4" t="s">
        <v>67</v>
      </c>
      <c r="G1530" s="4" t="s">
        <v>113</v>
      </c>
      <c r="H1530" s="4" t="s">
        <v>72</v>
      </c>
      <c r="I1530" s="4" t="s">
        <v>39</v>
      </c>
      <c r="J1530" s="3">
        <v>4</v>
      </c>
      <c r="K1530" s="6">
        <v>115260</v>
      </c>
      <c r="L1530" s="6">
        <f t="shared" si="69"/>
        <v>80682</v>
      </c>
      <c r="M1530" s="6">
        <v>34578</v>
      </c>
      <c r="N1530" s="5" t="str">
        <f t="shared" si="70"/>
        <v>Oct</v>
      </c>
      <c r="O1530" s="5" t="str">
        <f t="shared" si="71"/>
        <v xml:space="preserve"> 2024</v>
      </c>
    </row>
    <row r="1531" spans="1:15" x14ac:dyDescent="0.35">
      <c r="A1531" t="s">
        <v>2229</v>
      </c>
      <c r="B1531" s="5" t="s">
        <v>1433</v>
      </c>
      <c r="C1531" s="4" t="s">
        <v>31</v>
      </c>
      <c r="D1531" s="4" t="s">
        <v>32</v>
      </c>
      <c r="E1531" s="4" t="s">
        <v>33</v>
      </c>
      <c r="F1531" s="4" t="s">
        <v>37</v>
      </c>
      <c r="G1531" s="4" t="s">
        <v>148</v>
      </c>
      <c r="H1531" s="4" t="s">
        <v>27</v>
      </c>
      <c r="I1531" s="4" t="s">
        <v>60</v>
      </c>
      <c r="J1531" s="3">
        <v>6</v>
      </c>
      <c r="K1531" s="6">
        <v>51378</v>
      </c>
      <c r="L1531" s="6">
        <f t="shared" si="69"/>
        <v>35964.6</v>
      </c>
      <c r="M1531" s="6">
        <v>15413.400000000001</v>
      </c>
      <c r="N1531" s="5" t="str">
        <f t="shared" si="70"/>
        <v>Nov</v>
      </c>
      <c r="O1531" s="5" t="str">
        <f t="shared" si="71"/>
        <v xml:space="preserve"> 2024</v>
      </c>
    </row>
    <row r="1532" spans="1:15" x14ac:dyDescent="0.35">
      <c r="A1532" t="s">
        <v>2230</v>
      </c>
      <c r="B1532" s="5" t="s">
        <v>95</v>
      </c>
      <c r="C1532" s="4" t="s">
        <v>13</v>
      </c>
      <c r="D1532" s="4" t="s">
        <v>162</v>
      </c>
      <c r="E1532" s="4" t="s">
        <v>163</v>
      </c>
      <c r="F1532" s="4" t="s">
        <v>37</v>
      </c>
      <c r="G1532" s="4" t="s">
        <v>148</v>
      </c>
      <c r="H1532" s="4" t="s">
        <v>27</v>
      </c>
      <c r="I1532" s="4" t="s">
        <v>47</v>
      </c>
      <c r="J1532" s="3">
        <v>4</v>
      </c>
      <c r="K1532" s="6">
        <v>144536</v>
      </c>
      <c r="L1532" s="6">
        <f t="shared" si="69"/>
        <v>101175.2</v>
      </c>
      <c r="M1532" s="6">
        <v>43360.800000000003</v>
      </c>
      <c r="N1532" s="5" t="str">
        <f t="shared" si="70"/>
        <v>Jul</v>
      </c>
      <c r="O1532" s="5" t="str">
        <f t="shared" si="71"/>
        <v xml:space="preserve"> 2024</v>
      </c>
    </row>
    <row r="1533" spans="1:15" x14ac:dyDescent="0.35">
      <c r="A1533" t="s">
        <v>2231</v>
      </c>
      <c r="B1533" s="5" t="s">
        <v>811</v>
      </c>
      <c r="C1533" s="4" t="s">
        <v>13</v>
      </c>
      <c r="D1533" s="4" t="s">
        <v>162</v>
      </c>
      <c r="E1533" s="4" t="s">
        <v>163</v>
      </c>
      <c r="F1533" s="4" t="s">
        <v>37</v>
      </c>
      <c r="G1533" s="4" t="s">
        <v>148</v>
      </c>
      <c r="H1533" s="4" t="s">
        <v>72</v>
      </c>
      <c r="I1533" s="4" t="s">
        <v>60</v>
      </c>
      <c r="J1533" s="3">
        <v>7</v>
      </c>
      <c r="K1533" s="6">
        <v>235816</v>
      </c>
      <c r="L1533" s="6">
        <f t="shared" si="69"/>
        <v>165071.19999999998</v>
      </c>
      <c r="M1533" s="6">
        <v>70744.800000000017</v>
      </c>
      <c r="N1533" s="5" t="str">
        <f t="shared" si="70"/>
        <v>Jan</v>
      </c>
      <c r="O1533" s="5" t="str">
        <f t="shared" si="71"/>
        <v xml:space="preserve"> 2024</v>
      </c>
    </row>
    <row r="1534" spans="1:15" x14ac:dyDescent="0.35">
      <c r="A1534" t="s">
        <v>2232</v>
      </c>
      <c r="B1534" s="5" t="s">
        <v>381</v>
      </c>
      <c r="C1534" s="4" t="s">
        <v>55</v>
      </c>
      <c r="D1534" s="4" t="s">
        <v>63</v>
      </c>
      <c r="E1534" s="4" t="s">
        <v>64</v>
      </c>
      <c r="F1534" s="4" t="s">
        <v>67</v>
      </c>
      <c r="G1534" s="4" t="s">
        <v>134</v>
      </c>
      <c r="H1534" s="4" t="s">
        <v>72</v>
      </c>
      <c r="I1534" s="4" t="s">
        <v>47</v>
      </c>
      <c r="J1534" s="3">
        <v>9</v>
      </c>
      <c r="K1534" s="6">
        <v>272403</v>
      </c>
      <c r="L1534" s="6">
        <f t="shared" si="69"/>
        <v>190682.09999999998</v>
      </c>
      <c r="M1534" s="6">
        <v>81720.900000000023</v>
      </c>
      <c r="N1534" s="5" t="str">
        <f t="shared" si="70"/>
        <v>Sep</v>
      </c>
      <c r="O1534" s="5" t="str">
        <f t="shared" si="71"/>
        <v xml:space="preserve"> 2023</v>
      </c>
    </row>
    <row r="1535" spans="1:15" x14ac:dyDescent="0.35">
      <c r="A1535" t="s">
        <v>2233</v>
      </c>
      <c r="B1535" s="5" t="s">
        <v>1654</v>
      </c>
      <c r="C1535" s="4" t="s">
        <v>55</v>
      </c>
      <c r="D1535" s="4" t="s">
        <v>63</v>
      </c>
      <c r="E1535" s="4" t="s">
        <v>64</v>
      </c>
      <c r="F1535" s="4" t="s">
        <v>37</v>
      </c>
      <c r="G1535" s="4" t="s">
        <v>148</v>
      </c>
      <c r="H1535" s="4" t="s">
        <v>18</v>
      </c>
      <c r="I1535" s="4" t="s">
        <v>47</v>
      </c>
      <c r="J1535" s="3">
        <v>4</v>
      </c>
      <c r="K1535" s="6">
        <v>107112</v>
      </c>
      <c r="L1535" s="6">
        <f t="shared" si="69"/>
        <v>74978.399999999994</v>
      </c>
      <c r="M1535" s="6">
        <v>32133.600000000006</v>
      </c>
      <c r="N1535" s="5" t="str">
        <f t="shared" si="70"/>
        <v>Jul</v>
      </c>
      <c r="O1535" s="5" t="str">
        <f t="shared" si="71"/>
        <v xml:space="preserve"> 2024</v>
      </c>
    </row>
    <row r="1536" spans="1:15" x14ac:dyDescent="0.35">
      <c r="A1536" t="s">
        <v>2234</v>
      </c>
      <c r="B1536" s="5" t="s">
        <v>542</v>
      </c>
      <c r="C1536" s="4" t="s">
        <v>13</v>
      </c>
      <c r="D1536" s="4" t="s">
        <v>118</v>
      </c>
      <c r="E1536" s="4" t="s">
        <v>119</v>
      </c>
      <c r="F1536" s="4" t="s">
        <v>25</v>
      </c>
      <c r="G1536" s="4" t="s">
        <v>26</v>
      </c>
      <c r="H1536" s="4" t="s">
        <v>72</v>
      </c>
      <c r="I1536" s="4" t="s">
        <v>47</v>
      </c>
      <c r="J1536" s="3">
        <v>6</v>
      </c>
      <c r="K1536" s="6">
        <v>259212</v>
      </c>
      <c r="L1536" s="6">
        <f t="shared" si="69"/>
        <v>181448.4</v>
      </c>
      <c r="M1536" s="6">
        <v>77763.600000000006</v>
      </c>
      <c r="N1536" s="5" t="str">
        <f t="shared" si="70"/>
        <v>Mar</v>
      </c>
      <c r="O1536" s="5" t="str">
        <f t="shared" si="71"/>
        <v xml:space="preserve"> 2024</v>
      </c>
    </row>
    <row r="1537" spans="1:15" x14ac:dyDescent="0.35">
      <c r="A1537" t="s">
        <v>2235</v>
      </c>
      <c r="B1537" s="5" t="s">
        <v>109</v>
      </c>
      <c r="C1537" s="4" t="s">
        <v>55</v>
      </c>
      <c r="D1537" s="4" t="s">
        <v>98</v>
      </c>
      <c r="E1537" s="4" t="s">
        <v>99</v>
      </c>
      <c r="F1537" s="4" t="s">
        <v>25</v>
      </c>
      <c r="G1537" s="4" t="s">
        <v>71</v>
      </c>
      <c r="H1537" s="4" t="s">
        <v>18</v>
      </c>
      <c r="I1537" s="4" t="s">
        <v>47</v>
      </c>
      <c r="J1537" s="3">
        <v>9</v>
      </c>
      <c r="K1537" s="6">
        <v>375264</v>
      </c>
      <c r="L1537" s="6">
        <f t="shared" si="69"/>
        <v>262684.79999999999</v>
      </c>
      <c r="M1537" s="6">
        <v>112579.20000000001</v>
      </c>
      <c r="N1537" s="5" t="str">
        <f t="shared" si="70"/>
        <v>Jul</v>
      </c>
      <c r="O1537" s="5" t="str">
        <f t="shared" si="71"/>
        <v xml:space="preserve"> 2024</v>
      </c>
    </row>
    <row r="1538" spans="1:15" x14ac:dyDescent="0.35">
      <c r="A1538" t="s">
        <v>2236</v>
      </c>
      <c r="B1538" s="5" t="s">
        <v>563</v>
      </c>
      <c r="C1538" s="4" t="s">
        <v>55</v>
      </c>
      <c r="D1538" s="4" t="s">
        <v>63</v>
      </c>
      <c r="E1538" s="4" t="s">
        <v>64</v>
      </c>
      <c r="F1538" s="4" t="s">
        <v>16</v>
      </c>
      <c r="G1538" s="4" t="s">
        <v>34</v>
      </c>
      <c r="H1538" s="4" t="s">
        <v>18</v>
      </c>
      <c r="I1538" s="4" t="s">
        <v>60</v>
      </c>
      <c r="J1538" s="3">
        <v>8</v>
      </c>
      <c r="K1538" s="6">
        <v>146696</v>
      </c>
      <c r="L1538" s="6">
        <f t="shared" ref="L1538:L1601" si="72">K1538*0.7</f>
        <v>102687.2</v>
      </c>
      <c r="M1538" s="6">
        <v>44008.800000000003</v>
      </c>
      <c r="N1538" s="5" t="str">
        <f t="shared" ref="N1538:N1601" si="73">TEXT(B1538,"mmm")</f>
        <v>Apr</v>
      </c>
      <c r="O1538" s="5" t="str">
        <f t="shared" ref="O1538:O1601" si="74">TEXT(B1538," yyyy")</f>
        <v xml:space="preserve"> 2024</v>
      </c>
    </row>
    <row r="1539" spans="1:15" x14ac:dyDescent="0.35">
      <c r="A1539" t="s">
        <v>2237</v>
      </c>
      <c r="B1539" s="5" t="s">
        <v>2238</v>
      </c>
      <c r="C1539" s="4" t="s">
        <v>13</v>
      </c>
      <c r="D1539" s="4" t="s">
        <v>125</v>
      </c>
      <c r="E1539" s="4" t="s">
        <v>126</v>
      </c>
      <c r="F1539" s="4" t="s">
        <v>25</v>
      </c>
      <c r="G1539" s="4" t="s">
        <v>77</v>
      </c>
      <c r="H1539" s="4" t="s">
        <v>18</v>
      </c>
      <c r="I1539" s="4" t="s">
        <v>47</v>
      </c>
      <c r="J1539" s="3">
        <v>5</v>
      </c>
      <c r="K1539" s="6">
        <v>103745</v>
      </c>
      <c r="L1539" s="6">
        <f t="shared" si="72"/>
        <v>72621.5</v>
      </c>
      <c r="M1539" s="6">
        <v>31123.5</v>
      </c>
      <c r="N1539" s="5" t="str">
        <f t="shared" si="73"/>
        <v>Jan</v>
      </c>
      <c r="O1539" s="5" t="str">
        <f t="shared" si="74"/>
        <v xml:space="preserve"> 2024</v>
      </c>
    </row>
    <row r="1540" spans="1:15" x14ac:dyDescent="0.35">
      <c r="A1540" t="s">
        <v>2239</v>
      </c>
      <c r="B1540" s="5" t="s">
        <v>727</v>
      </c>
      <c r="C1540" s="4" t="s">
        <v>55</v>
      </c>
      <c r="D1540" s="4" t="s">
        <v>98</v>
      </c>
      <c r="E1540" s="4" t="s">
        <v>99</v>
      </c>
      <c r="F1540" s="4" t="s">
        <v>67</v>
      </c>
      <c r="G1540" s="4" t="s">
        <v>113</v>
      </c>
      <c r="H1540" s="4" t="s">
        <v>27</v>
      </c>
      <c r="I1540" s="4" t="s">
        <v>19</v>
      </c>
      <c r="J1540" s="3">
        <v>5</v>
      </c>
      <c r="K1540" s="6">
        <v>106880</v>
      </c>
      <c r="L1540" s="6">
        <f t="shared" si="72"/>
        <v>74816</v>
      </c>
      <c r="M1540" s="6">
        <v>32064</v>
      </c>
      <c r="N1540" s="5" t="str">
        <f t="shared" si="73"/>
        <v>Apr</v>
      </c>
      <c r="O1540" s="5" t="str">
        <f t="shared" si="74"/>
        <v xml:space="preserve"> 2023</v>
      </c>
    </row>
    <row r="1541" spans="1:15" x14ac:dyDescent="0.35">
      <c r="A1541" t="s">
        <v>2240</v>
      </c>
      <c r="B1541" s="5" t="s">
        <v>527</v>
      </c>
      <c r="C1541" s="4" t="s">
        <v>22</v>
      </c>
      <c r="D1541" s="4" t="s">
        <v>86</v>
      </c>
      <c r="E1541" s="4" t="s">
        <v>87</v>
      </c>
      <c r="F1541" s="4" t="s">
        <v>37</v>
      </c>
      <c r="G1541" s="4" t="s">
        <v>186</v>
      </c>
      <c r="H1541" s="4" t="s">
        <v>18</v>
      </c>
      <c r="I1541" s="4" t="s">
        <v>60</v>
      </c>
      <c r="J1541" s="3">
        <v>9</v>
      </c>
      <c r="K1541" s="6">
        <v>263682</v>
      </c>
      <c r="L1541" s="6">
        <f t="shared" si="72"/>
        <v>184577.4</v>
      </c>
      <c r="M1541" s="6">
        <v>79104.600000000006</v>
      </c>
      <c r="N1541" s="5" t="str">
        <f t="shared" si="73"/>
        <v>Aug</v>
      </c>
      <c r="O1541" s="5" t="str">
        <f t="shared" si="74"/>
        <v xml:space="preserve"> 2023</v>
      </c>
    </row>
    <row r="1542" spans="1:15" x14ac:dyDescent="0.35">
      <c r="A1542" t="s">
        <v>2241</v>
      </c>
      <c r="B1542" s="5" t="s">
        <v>719</v>
      </c>
      <c r="C1542" s="4" t="s">
        <v>55</v>
      </c>
      <c r="D1542" s="4" t="s">
        <v>98</v>
      </c>
      <c r="E1542" s="4" t="s">
        <v>99</v>
      </c>
      <c r="F1542" s="4" t="s">
        <v>25</v>
      </c>
      <c r="G1542" s="4" t="s">
        <v>71</v>
      </c>
      <c r="H1542" s="4" t="s">
        <v>27</v>
      </c>
      <c r="I1542" s="4" t="s">
        <v>28</v>
      </c>
      <c r="J1542" s="3">
        <v>6</v>
      </c>
      <c r="K1542" s="6">
        <v>205662</v>
      </c>
      <c r="L1542" s="6">
        <f t="shared" si="72"/>
        <v>143963.4</v>
      </c>
      <c r="M1542" s="6">
        <v>61698.600000000006</v>
      </c>
      <c r="N1542" s="5" t="str">
        <f t="shared" si="73"/>
        <v>Jun</v>
      </c>
      <c r="O1542" s="5" t="str">
        <f t="shared" si="74"/>
        <v xml:space="preserve"> 2024</v>
      </c>
    </row>
    <row r="1543" spans="1:15" x14ac:dyDescent="0.35">
      <c r="A1543" t="s">
        <v>2242</v>
      </c>
      <c r="B1543" s="5" t="s">
        <v>752</v>
      </c>
      <c r="C1543" s="4" t="s">
        <v>22</v>
      </c>
      <c r="D1543" s="4" t="s">
        <v>90</v>
      </c>
      <c r="E1543" s="4" t="s">
        <v>110</v>
      </c>
      <c r="F1543" s="4" t="s">
        <v>16</v>
      </c>
      <c r="G1543" s="4" t="s">
        <v>42</v>
      </c>
      <c r="H1543" s="4" t="s">
        <v>72</v>
      </c>
      <c r="I1543" s="4" t="s">
        <v>47</v>
      </c>
      <c r="J1543" s="3">
        <v>8</v>
      </c>
      <c r="K1543" s="6">
        <v>153520</v>
      </c>
      <c r="L1543" s="6">
        <f t="shared" si="72"/>
        <v>107464</v>
      </c>
      <c r="M1543" s="6">
        <v>46056</v>
      </c>
      <c r="N1543" s="5" t="str">
        <f t="shared" si="73"/>
        <v>Jan</v>
      </c>
      <c r="O1543" s="5" t="str">
        <f t="shared" si="74"/>
        <v xml:space="preserve"> 2023</v>
      </c>
    </row>
    <row r="1544" spans="1:15" x14ac:dyDescent="0.35">
      <c r="A1544" t="s">
        <v>2243</v>
      </c>
      <c r="B1544" s="5" t="s">
        <v>858</v>
      </c>
      <c r="C1544" s="4" t="s">
        <v>55</v>
      </c>
      <c r="D1544" s="4" t="s">
        <v>98</v>
      </c>
      <c r="E1544" s="4" t="s">
        <v>99</v>
      </c>
      <c r="F1544" s="4" t="s">
        <v>16</v>
      </c>
      <c r="G1544" s="4" t="s">
        <v>34</v>
      </c>
      <c r="H1544" s="4" t="s">
        <v>72</v>
      </c>
      <c r="I1544" s="4" t="s">
        <v>19</v>
      </c>
      <c r="J1544" s="3">
        <v>2</v>
      </c>
      <c r="K1544" s="6">
        <v>74708</v>
      </c>
      <c r="L1544" s="6">
        <f t="shared" si="72"/>
        <v>52295.6</v>
      </c>
      <c r="M1544" s="6">
        <v>22412.400000000001</v>
      </c>
      <c r="N1544" s="5" t="str">
        <f t="shared" si="73"/>
        <v>Jul</v>
      </c>
      <c r="O1544" s="5" t="str">
        <f t="shared" si="74"/>
        <v xml:space="preserve"> 2023</v>
      </c>
    </row>
    <row r="1545" spans="1:15" x14ac:dyDescent="0.35">
      <c r="A1545" t="s">
        <v>2244</v>
      </c>
      <c r="B1545" s="5" t="s">
        <v>813</v>
      </c>
      <c r="C1545" s="4" t="s">
        <v>55</v>
      </c>
      <c r="D1545" s="4" t="s">
        <v>63</v>
      </c>
      <c r="E1545" s="4" t="s">
        <v>64</v>
      </c>
      <c r="F1545" s="4" t="s">
        <v>67</v>
      </c>
      <c r="G1545" s="4" t="s">
        <v>180</v>
      </c>
      <c r="H1545" s="4" t="s">
        <v>18</v>
      </c>
      <c r="I1545" s="4" t="s">
        <v>47</v>
      </c>
      <c r="J1545" s="3">
        <v>10</v>
      </c>
      <c r="K1545" s="6">
        <v>220900</v>
      </c>
      <c r="L1545" s="6">
        <f t="shared" si="72"/>
        <v>154630</v>
      </c>
      <c r="M1545" s="6">
        <v>66270</v>
      </c>
      <c r="N1545" s="5" t="str">
        <f t="shared" si="73"/>
        <v>Feb</v>
      </c>
      <c r="O1545" s="5" t="str">
        <f t="shared" si="74"/>
        <v xml:space="preserve"> 2024</v>
      </c>
    </row>
    <row r="1546" spans="1:15" x14ac:dyDescent="0.35">
      <c r="A1546" t="s">
        <v>2245</v>
      </c>
      <c r="B1546" s="5" t="s">
        <v>190</v>
      </c>
      <c r="C1546" s="4" t="s">
        <v>55</v>
      </c>
      <c r="D1546" s="4" t="s">
        <v>98</v>
      </c>
      <c r="E1546" s="4" t="s">
        <v>99</v>
      </c>
      <c r="F1546" s="4" t="s">
        <v>67</v>
      </c>
      <c r="G1546" s="4" t="s">
        <v>180</v>
      </c>
      <c r="H1546" s="4" t="s">
        <v>27</v>
      </c>
      <c r="I1546" s="4" t="s">
        <v>47</v>
      </c>
      <c r="J1546" s="3">
        <v>3</v>
      </c>
      <c r="K1546" s="6">
        <v>98823</v>
      </c>
      <c r="L1546" s="6">
        <f t="shared" si="72"/>
        <v>69176.099999999991</v>
      </c>
      <c r="M1546" s="6">
        <v>29646.900000000009</v>
      </c>
      <c r="N1546" s="5" t="str">
        <f t="shared" si="73"/>
        <v>Nov</v>
      </c>
      <c r="O1546" s="5" t="str">
        <f t="shared" si="74"/>
        <v xml:space="preserve"> 2024</v>
      </c>
    </row>
    <row r="1547" spans="1:15" x14ac:dyDescent="0.35">
      <c r="A1547" t="s">
        <v>2246</v>
      </c>
      <c r="B1547" s="5" t="s">
        <v>632</v>
      </c>
      <c r="C1547" s="4" t="s">
        <v>22</v>
      </c>
      <c r="D1547" s="4" t="s">
        <v>23</v>
      </c>
      <c r="E1547" s="4" t="s">
        <v>24</v>
      </c>
      <c r="F1547" s="4" t="s">
        <v>67</v>
      </c>
      <c r="G1547" s="4" t="s">
        <v>134</v>
      </c>
      <c r="H1547" s="4" t="s">
        <v>18</v>
      </c>
      <c r="I1547" s="4" t="s">
        <v>39</v>
      </c>
      <c r="J1547" s="3">
        <v>1</v>
      </c>
      <c r="K1547" s="6">
        <v>26718</v>
      </c>
      <c r="L1547" s="6">
        <f t="shared" si="72"/>
        <v>18702.599999999999</v>
      </c>
      <c r="M1547" s="6">
        <v>8015.4000000000015</v>
      </c>
      <c r="N1547" s="5" t="str">
        <f t="shared" si="73"/>
        <v>Jan</v>
      </c>
      <c r="O1547" s="5" t="str">
        <f t="shared" si="74"/>
        <v xml:space="preserve"> 2024</v>
      </c>
    </row>
    <row r="1548" spans="1:15" x14ac:dyDescent="0.35">
      <c r="A1548" t="s">
        <v>2247</v>
      </c>
      <c r="B1548" s="5" t="s">
        <v>1115</v>
      </c>
      <c r="C1548" s="4" t="s">
        <v>13</v>
      </c>
      <c r="D1548" s="4" t="s">
        <v>14</v>
      </c>
      <c r="E1548" s="4" t="s">
        <v>15</v>
      </c>
      <c r="F1548" s="4" t="s">
        <v>37</v>
      </c>
      <c r="G1548" s="4" t="s">
        <v>148</v>
      </c>
      <c r="H1548" s="4" t="s">
        <v>18</v>
      </c>
      <c r="I1548" s="4" t="s">
        <v>19</v>
      </c>
      <c r="J1548" s="3">
        <v>3</v>
      </c>
      <c r="K1548" s="6">
        <v>48867</v>
      </c>
      <c r="L1548" s="6">
        <f t="shared" si="72"/>
        <v>34206.9</v>
      </c>
      <c r="M1548" s="6">
        <v>14660.099999999999</v>
      </c>
      <c r="N1548" s="5" t="str">
        <f t="shared" si="73"/>
        <v>Jul</v>
      </c>
      <c r="O1548" s="5" t="str">
        <f t="shared" si="74"/>
        <v xml:space="preserve"> 2024</v>
      </c>
    </row>
    <row r="1549" spans="1:15" x14ac:dyDescent="0.35">
      <c r="A1549" t="s">
        <v>2248</v>
      </c>
      <c r="B1549" s="5" t="s">
        <v>1393</v>
      </c>
      <c r="C1549" s="4" t="s">
        <v>55</v>
      </c>
      <c r="D1549" s="4" t="s">
        <v>56</v>
      </c>
      <c r="E1549" s="4" t="s">
        <v>57</v>
      </c>
      <c r="F1549" s="4" t="s">
        <v>37</v>
      </c>
      <c r="G1549" s="4" t="s">
        <v>38</v>
      </c>
      <c r="H1549" s="4" t="s">
        <v>18</v>
      </c>
      <c r="I1549" s="4" t="s">
        <v>39</v>
      </c>
      <c r="J1549" s="3">
        <v>2</v>
      </c>
      <c r="K1549" s="6">
        <v>56096</v>
      </c>
      <c r="L1549" s="6">
        <f t="shared" si="72"/>
        <v>39267.199999999997</v>
      </c>
      <c r="M1549" s="6">
        <v>16828.800000000003</v>
      </c>
      <c r="N1549" s="5" t="str">
        <f t="shared" si="73"/>
        <v>Mar</v>
      </c>
      <c r="O1549" s="5" t="str">
        <f t="shared" si="74"/>
        <v xml:space="preserve"> 2024</v>
      </c>
    </row>
    <row r="1550" spans="1:15" x14ac:dyDescent="0.35">
      <c r="A1550" t="s">
        <v>2249</v>
      </c>
      <c r="B1550" s="5" t="s">
        <v>1518</v>
      </c>
      <c r="C1550" s="4" t="s">
        <v>13</v>
      </c>
      <c r="D1550" s="4" t="s">
        <v>14</v>
      </c>
      <c r="E1550" s="4" t="s">
        <v>15</v>
      </c>
      <c r="F1550" s="4" t="s">
        <v>37</v>
      </c>
      <c r="G1550" s="4" t="s">
        <v>38</v>
      </c>
      <c r="H1550" s="4" t="s">
        <v>27</v>
      </c>
      <c r="I1550" s="4" t="s">
        <v>39</v>
      </c>
      <c r="J1550" s="3">
        <v>1</v>
      </c>
      <c r="K1550" s="6">
        <v>6229</v>
      </c>
      <c r="L1550" s="6">
        <f t="shared" si="72"/>
        <v>4360.2999999999993</v>
      </c>
      <c r="M1550" s="6">
        <v>1868.7000000000007</v>
      </c>
      <c r="N1550" s="5" t="str">
        <f t="shared" si="73"/>
        <v>Sep</v>
      </c>
      <c r="O1550" s="5" t="str">
        <f t="shared" si="74"/>
        <v xml:space="preserve"> 2024</v>
      </c>
    </row>
    <row r="1551" spans="1:15" x14ac:dyDescent="0.35">
      <c r="A1551" t="s">
        <v>2250</v>
      </c>
      <c r="B1551" s="5" t="s">
        <v>603</v>
      </c>
      <c r="C1551" s="4" t="s">
        <v>22</v>
      </c>
      <c r="D1551" s="4" t="s">
        <v>86</v>
      </c>
      <c r="E1551" s="4" t="s">
        <v>87</v>
      </c>
      <c r="F1551" s="4" t="s">
        <v>67</v>
      </c>
      <c r="G1551" s="4" t="s">
        <v>134</v>
      </c>
      <c r="H1551" s="4" t="s">
        <v>18</v>
      </c>
      <c r="I1551" s="4" t="s">
        <v>39</v>
      </c>
      <c r="J1551" s="3">
        <v>1</v>
      </c>
      <c r="K1551" s="6">
        <v>28462</v>
      </c>
      <c r="L1551" s="6">
        <f t="shared" si="72"/>
        <v>19923.399999999998</v>
      </c>
      <c r="M1551" s="6">
        <v>8538.6000000000022</v>
      </c>
      <c r="N1551" s="5" t="str">
        <f t="shared" si="73"/>
        <v>Oct</v>
      </c>
      <c r="O1551" s="5" t="str">
        <f t="shared" si="74"/>
        <v xml:space="preserve"> 2024</v>
      </c>
    </row>
    <row r="1552" spans="1:15" x14ac:dyDescent="0.35">
      <c r="A1552" t="s">
        <v>2251</v>
      </c>
      <c r="B1552" s="5" t="s">
        <v>921</v>
      </c>
      <c r="C1552" s="4" t="s">
        <v>13</v>
      </c>
      <c r="D1552" s="4" t="s">
        <v>14</v>
      </c>
      <c r="E1552" s="4" t="s">
        <v>15</v>
      </c>
      <c r="F1552" s="4" t="s">
        <v>25</v>
      </c>
      <c r="G1552" s="4" t="s">
        <v>71</v>
      </c>
      <c r="H1552" s="4" t="s">
        <v>27</v>
      </c>
      <c r="I1552" s="4" t="s">
        <v>28</v>
      </c>
      <c r="J1552" s="3">
        <v>6</v>
      </c>
      <c r="K1552" s="6">
        <v>150906</v>
      </c>
      <c r="L1552" s="6">
        <f t="shared" si="72"/>
        <v>105634.2</v>
      </c>
      <c r="M1552" s="6">
        <v>45271.8</v>
      </c>
      <c r="N1552" s="5" t="str">
        <f t="shared" si="73"/>
        <v>Aug</v>
      </c>
      <c r="O1552" s="5" t="str">
        <f t="shared" si="74"/>
        <v xml:space="preserve"> 2024</v>
      </c>
    </row>
    <row r="1553" spans="1:15" x14ac:dyDescent="0.35">
      <c r="A1553" t="s">
        <v>2252</v>
      </c>
      <c r="B1553" s="5" t="s">
        <v>1270</v>
      </c>
      <c r="C1553" s="4" t="s">
        <v>22</v>
      </c>
      <c r="D1553" s="4" t="s">
        <v>90</v>
      </c>
      <c r="E1553" s="4" t="s">
        <v>110</v>
      </c>
      <c r="F1553" s="4" t="s">
        <v>16</v>
      </c>
      <c r="G1553" s="4" t="s">
        <v>122</v>
      </c>
      <c r="H1553" s="4" t="s">
        <v>18</v>
      </c>
      <c r="I1553" s="4" t="s">
        <v>47</v>
      </c>
      <c r="J1553" s="3">
        <v>7</v>
      </c>
      <c r="K1553" s="6">
        <v>248850</v>
      </c>
      <c r="L1553" s="6">
        <f t="shared" si="72"/>
        <v>174195</v>
      </c>
      <c r="M1553" s="6">
        <v>74655</v>
      </c>
      <c r="N1553" s="5" t="str">
        <f t="shared" si="73"/>
        <v>Feb</v>
      </c>
      <c r="O1553" s="5" t="str">
        <f t="shared" si="74"/>
        <v xml:space="preserve"> 2023</v>
      </c>
    </row>
    <row r="1554" spans="1:15" x14ac:dyDescent="0.35">
      <c r="A1554" t="s">
        <v>2253</v>
      </c>
      <c r="B1554" s="5" t="s">
        <v>1371</v>
      </c>
      <c r="C1554" s="4" t="s">
        <v>31</v>
      </c>
      <c r="D1554" s="4" t="s">
        <v>32</v>
      </c>
      <c r="E1554" s="4" t="s">
        <v>33</v>
      </c>
      <c r="F1554" s="4" t="s">
        <v>25</v>
      </c>
      <c r="G1554" s="4" t="s">
        <v>71</v>
      </c>
      <c r="H1554" s="4" t="s">
        <v>72</v>
      </c>
      <c r="I1554" s="4" t="s">
        <v>19</v>
      </c>
      <c r="J1554" s="3">
        <v>9</v>
      </c>
      <c r="K1554" s="6">
        <v>158949</v>
      </c>
      <c r="L1554" s="6">
        <f t="shared" si="72"/>
        <v>111264.29999999999</v>
      </c>
      <c r="M1554" s="6">
        <v>47684.700000000012</v>
      </c>
      <c r="N1554" s="5" t="str">
        <f t="shared" si="73"/>
        <v>Aug</v>
      </c>
      <c r="O1554" s="5" t="str">
        <f t="shared" si="74"/>
        <v xml:space="preserve"> 2023</v>
      </c>
    </row>
    <row r="1555" spans="1:15" x14ac:dyDescent="0.35">
      <c r="A1555" t="s">
        <v>2254</v>
      </c>
      <c r="B1555" s="5" t="s">
        <v>2168</v>
      </c>
      <c r="C1555" s="4" t="s">
        <v>31</v>
      </c>
      <c r="D1555" s="4" t="s">
        <v>32</v>
      </c>
      <c r="E1555" s="4" t="s">
        <v>33</v>
      </c>
      <c r="F1555" s="4" t="s">
        <v>37</v>
      </c>
      <c r="G1555" s="4" t="s">
        <v>38</v>
      </c>
      <c r="H1555" s="4" t="s">
        <v>18</v>
      </c>
      <c r="I1555" s="4" t="s">
        <v>28</v>
      </c>
      <c r="J1555" s="3">
        <v>8</v>
      </c>
      <c r="K1555" s="6">
        <v>249136</v>
      </c>
      <c r="L1555" s="6">
        <f t="shared" si="72"/>
        <v>174395.19999999998</v>
      </c>
      <c r="M1555" s="6">
        <v>74740.800000000017</v>
      </c>
      <c r="N1555" s="5" t="str">
        <f t="shared" si="73"/>
        <v>Nov</v>
      </c>
      <c r="O1555" s="5" t="str">
        <f t="shared" si="74"/>
        <v xml:space="preserve"> 2023</v>
      </c>
    </row>
    <row r="1556" spans="1:15" x14ac:dyDescent="0.35">
      <c r="A1556" t="s">
        <v>2255</v>
      </c>
      <c r="B1556" s="5" t="s">
        <v>612</v>
      </c>
      <c r="C1556" s="4" t="s">
        <v>22</v>
      </c>
      <c r="D1556" s="4" t="s">
        <v>86</v>
      </c>
      <c r="E1556" s="4" t="s">
        <v>87</v>
      </c>
      <c r="F1556" s="4" t="s">
        <v>25</v>
      </c>
      <c r="G1556" s="4" t="s">
        <v>26</v>
      </c>
      <c r="H1556" s="4" t="s">
        <v>72</v>
      </c>
      <c r="I1556" s="4" t="s">
        <v>28</v>
      </c>
      <c r="J1556" s="3">
        <v>10</v>
      </c>
      <c r="K1556" s="6">
        <v>15630</v>
      </c>
      <c r="L1556" s="6">
        <f t="shared" si="72"/>
        <v>10941</v>
      </c>
      <c r="M1556" s="6">
        <v>4689</v>
      </c>
      <c r="N1556" s="5" t="str">
        <f t="shared" si="73"/>
        <v>Oct</v>
      </c>
      <c r="O1556" s="5" t="str">
        <f t="shared" si="74"/>
        <v xml:space="preserve"> 2024</v>
      </c>
    </row>
    <row r="1557" spans="1:15" x14ac:dyDescent="0.35">
      <c r="A1557" t="s">
        <v>2256</v>
      </c>
      <c r="B1557" s="5" t="s">
        <v>152</v>
      </c>
      <c r="C1557" s="4" t="s">
        <v>22</v>
      </c>
      <c r="D1557" s="4" t="s">
        <v>23</v>
      </c>
      <c r="E1557" s="4" t="s">
        <v>24</v>
      </c>
      <c r="F1557" s="4" t="s">
        <v>37</v>
      </c>
      <c r="G1557" s="4" t="s">
        <v>186</v>
      </c>
      <c r="H1557" s="4" t="s">
        <v>18</v>
      </c>
      <c r="I1557" s="4" t="s">
        <v>47</v>
      </c>
      <c r="J1557" s="3">
        <v>7</v>
      </c>
      <c r="K1557" s="6">
        <v>103796</v>
      </c>
      <c r="L1557" s="6">
        <f t="shared" si="72"/>
        <v>72657.2</v>
      </c>
      <c r="M1557" s="6">
        <v>31138.800000000003</v>
      </c>
      <c r="N1557" s="5" t="str">
        <f t="shared" si="73"/>
        <v>Jul</v>
      </c>
      <c r="O1557" s="5" t="str">
        <f t="shared" si="74"/>
        <v xml:space="preserve"> 2024</v>
      </c>
    </row>
    <row r="1558" spans="1:15" x14ac:dyDescent="0.35">
      <c r="A1558" t="s">
        <v>2257</v>
      </c>
      <c r="B1558" s="5" t="s">
        <v>2258</v>
      </c>
      <c r="C1558" s="4" t="s">
        <v>55</v>
      </c>
      <c r="D1558" s="4" t="s">
        <v>82</v>
      </c>
      <c r="E1558" s="4" t="s">
        <v>83</v>
      </c>
      <c r="F1558" s="4" t="s">
        <v>37</v>
      </c>
      <c r="G1558" s="4" t="s">
        <v>148</v>
      </c>
      <c r="H1558" s="4" t="s">
        <v>27</v>
      </c>
      <c r="I1558" s="4" t="s">
        <v>60</v>
      </c>
      <c r="J1558" s="3">
        <v>7</v>
      </c>
      <c r="K1558" s="6">
        <v>162148</v>
      </c>
      <c r="L1558" s="6">
        <f t="shared" si="72"/>
        <v>113503.59999999999</v>
      </c>
      <c r="M1558" s="6">
        <v>48644.400000000009</v>
      </c>
      <c r="N1558" s="5" t="str">
        <f t="shared" si="73"/>
        <v>Sep</v>
      </c>
      <c r="O1558" s="5" t="str">
        <f t="shared" si="74"/>
        <v xml:space="preserve"> 2024</v>
      </c>
    </row>
    <row r="1559" spans="1:15" x14ac:dyDescent="0.35">
      <c r="A1559" t="s">
        <v>2259</v>
      </c>
      <c r="B1559" s="5" t="s">
        <v>554</v>
      </c>
      <c r="C1559" s="4" t="s">
        <v>22</v>
      </c>
      <c r="D1559" s="4" t="s">
        <v>90</v>
      </c>
      <c r="E1559" s="4" t="s">
        <v>91</v>
      </c>
      <c r="F1559" s="4" t="s">
        <v>25</v>
      </c>
      <c r="G1559" s="4" t="s">
        <v>26</v>
      </c>
      <c r="H1559" s="4" t="s">
        <v>18</v>
      </c>
      <c r="I1559" s="4" t="s">
        <v>60</v>
      </c>
      <c r="J1559" s="3">
        <v>2</v>
      </c>
      <c r="K1559" s="6">
        <v>15228</v>
      </c>
      <c r="L1559" s="6">
        <f t="shared" si="72"/>
        <v>10659.599999999999</v>
      </c>
      <c r="M1559" s="6">
        <v>4568.4000000000015</v>
      </c>
      <c r="N1559" s="5" t="str">
        <f t="shared" si="73"/>
        <v>Sep</v>
      </c>
      <c r="O1559" s="5" t="str">
        <f t="shared" si="74"/>
        <v xml:space="preserve"> 2023</v>
      </c>
    </row>
    <row r="1560" spans="1:15" x14ac:dyDescent="0.35">
      <c r="A1560" t="s">
        <v>2260</v>
      </c>
      <c r="B1560" s="5" t="s">
        <v>968</v>
      </c>
      <c r="C1560" s="4" t="s">
        <v>31</v>
      </c>
      <c r="D1560" s="4" t="s">
        <v>32</v>
      </c>
      <c r="E1560" s="4" t="s">
        <v>33</v>
      </c>
      <c r="F1560" s="4" t="s">
        <v>25</v>
      </c>
      <c r="G1560" s="4" t="s">
        <v>52</v>
      </c>
      <c r="H1560" s="4" t="s">
        <v>18</v>
      </c>
      <c r="I1560" s="4" t="s">
        <v>19</v>
      </c>
      <c r="J1560" s="3">
        <v>10</v>
      </c>
      <c r="K1560" s="6">
        <v>464720</v>
      </c>
      <c r="L1560" s="6">
        <f t="shared" si="72"/>
        <v>325304</v>
      </c>
      <c r="M1560" s="6">
        <v>139416</v>
      </c>
      <c r="N1560" s="5" t="str">
        <f t="shared" si="73"/>
        <v>Feb</v>
      </c>
      <c r="O1560" s="5" t="str">
        <f t="shared" si="74"/>
        <v xml:space="preserve"> 2024</v>
      </c>
    </row>
    <row r="1561" spans="1:15" x14ac:dyDescent="0.35">
      <c r="A1561" t="s">
        <v>2261</v>
      </c>
      <c r="B1561" s="5" t="s">
        <v>1239</v>
      </c>
      <c r="C1561" s="4" t="s">
        <v>31</v>
      </c>
      <c r="D1561" s="4" t="s">
        <v>45</v>
      </c>
      <c r="E1561" s="4" t="s">
        <v>46</v>
      </c>
      <c r="F1561" s="4" t="s">
        <v>67</v>
      </c>
      <c r="G1561" s="4" t="s">
        <v>134</v>
      </c>
      <c r="H1561" s="4" t="s">
        <v>72</v>
      </c>
      <c r="I1561" s="4" t="s">
        <v>39</v>
      </c>
      <c r="J1561" s="3">
        <v>8</v>
      </c>
      <c r="K1561" s="6">
        <v>83768</v>
      </c>
      <c r="L1561" s="6">
        <f t="shared" si="72"/>
        <v>58637.599999999999</v>
      </c>
      <c r="M1561" s="6">
        <v>25130.400000000001</v>
      </c>
      <c r="N1561" s="5" t="str">
        <f t="shared" si="73"/>
        <v>May</v>
      </c>
      <c r="O1561" s="5" t="str">
        <f t="shared" si="74"/>
        <v xml:space="preserve"> 2023</v>
      </c>
    </row>
    <row r="1562" spans="1:15" x14ac:dyDescent="0.35">
      <c r="A1562" t="s">
        <v>2262</v>
      </c>
      <c r="B1562" s="5" t="s">
        <v>117</v>
      </c>
      <c r="C1562" s="4" t="s">
        <v>55</v>
      </c>
      <c r="D1562" s="4" t="s">
        <v>56</v>
      </c>
      <c r="E1562" s="4" t="s">
        <v>57</v>
      </c>
      <c r="F1562" s="4" t="s">
        <v>37</v>
      </c>
      <c r="G1562" s="4" t="s">
        <v>38</v>
      </c>
      <c r="H1562" s="4" t="s">
        <v>72</v>
      </c>
      <c r="I1562" s="4" t="s">
        <v>39</v>
      </c>
      <c r="J1562" s="3">
        <v>10</v>
      </c>
      <c r="K1562" s="6">
        <v>184210</v>
      </c>
      <c r="L1562" s="6">
        <f t="shared" si="72"/>
        <v>128946.99999999999</v>
      </c>
      <c r="M1562" s="6">
        <v>55263.000000000015</v>
      </c>
      <c r="N1562" s="5" t="str">
        <f t="shared" si="73"/>
        <v>Sep</v>
      </c>
      <c r="O1562" s="5" t="str">
        <f t="shared" si="74"/>
        <v xml:space="preserve"> 2023</v>
      </c>
    </row>
    <row r="1563" spans="1:15" x14ac:dyDescent="0.35">
      <c r="A1563" t="s">
        <v>2263</v>
      </c>
      <c r="B1563" s="5" t="s">
        <v>1003</v>
      </c>
      <c r="C1563" s="4" t="s">
        <v>22</v>
      </c>
      <c r="D1563" s="4" t="s">
        <v>23</v>
      </c>
      <c r="E1563" s="4" t="s">
        <v>24</v>
      </c>
      <c r="F1563" s="4" t="s">
        <v>25</v>
      </c>
      <c r="G1563" s="4" t="s">
        <v>52</v>
      </c>
      <c r="H1563" s="4" t="s">
        <v>72</v>
      </c>
      <c r="I1563" s="4" t="s">
        <v>19</v>
      </c>
      <c r="J1563" s="3">
        <v>4</v>
      </c>
      <c r="K1563" s="6">
        <v>164904</v>
      </c>
      <c r="L1563" s="6">
        <f t="shared" si="72"/>
        <v>115432.79999999999</v>
      </c>
      <c r="M1563" s="6">
        <v>49471.200000000012</v>
      </c>
      <c r="N1563" s="5" t="str">
        <f t="shared" si="73"/>
        <v>Nov</v>
      </c>
      <c r="O1563" s="5" t="str">
        <f t="shared" si="74"/>
        <v xml:space="preserve"> 2024</v>
      </c>
    </row>
    <row r="1564" spans="1:15" x14ac:dyDescent="0.35">
      <c r="A1564" t="s">
        <v>2264</v>
      </c>
      <c r="B1564" s="5" t="s">
        <v>721</v>
      </c>
      <c r="C1564" s="4" t="s">
        <v>31</v>
      </c>
      <c r="D1564" s="4" t="s">
        <v>32</v>
      </c>
      <c r="E1564" s="4" t="s">
        <v>33</v>
      </c>
      <c r="F1564" s="4" t="s">
        <v>16</v>
      </c>
      <c r="G1564" s="4" t="s">
        <v>34</v>
      </c>
      <c r="H1564" s="4" t="s">
        <v>18</v>
      </c>
      <c r="I1564" s="4" t="s">
        <v>60</v>
      </c>
      <c r="J1564" s="3">
        <v>5</v>
      </c>
      <c r="K1564" s="6">
        <v>74685</v>
      </c>
      <c r="L1564" s="6">
        <f t="shared" si="72"/>
        <v>52279.5</v>
      </c>
      <c r="M1564" s="6">
        <v>22405.5</v>
      </c>
      <c r="N1564" s="5" t="str">
        <f t="shared" si="73"/>
        <v>May</v>
      </c>
      <c r="O1564" s="5" t="str">
        <f t="shared" si="74"/>
        <v xml:space="preserve"> 2023</v>
      </c>
    </row>
    <row r="1565" spans="1:15" x14ac:dyDescent="0.35">
      <c r="A1565" t="s">
        <v>2265</v>
      </c>
      <c r="B1565" s="5" t="s">
        <v>928</v>
      </c>
      <c r="C1565" s="4" t="s">
        <v>31</v>
      </c>
      <c r="D1565" s="4" t="s">
        <v>50</v>
      </c>
      <c r="E1565" s="4" t="s">
        <v>51</v>
      </c>
      <c r="F1565" s="4" t="s">
        <v>67</v>
      </c>
      <c r="G1565" s="4" t="s">
        <v>180</v>
      </c>
      <c r="H1565" s="4" t="s">
        <v>72</v>
      </c>
      <c r="I1565" s="4" t="s">
        <v>39</v>
      </c>
      <c r="J1565" s="3">
        <v>7</v>
      </c>
      <c r="K1565" s="6">
        <v>312032</v>
      </c>
      <c r="L1565" s="6">
        <f t="shared" si="72"/>
        <v>218422.39999999999</v>
      </c>
      <c r="M1565" s="6">
        <v>93609.600000000006</v>
      </c>
      <c r="N1565" s="5" t="str">
        <f t="shared" si="73"/>
        <v>Sep</v>
      </c>
      <c r="O1565" s="5" t="str">
        <f t="shared" si="74"/>
        <v xml:space="preserve"> 2024</v>
      </c>
    </row>
    <row r="1566" spans="1:15" x14ac:dyDescent="0.35">
      <c r="A1566" t="s">
        <v>2266</v>
      </c>
      <c r="B1566" s="5" t="s">
        <v>1387</v>
      </c>
      <c r="C1566" s="4" t="s">
        <v>55</v>
      </c>
      <c r="D1566" s="4" t="s">
        <v>56</v>
      </c>
      <c r="E1566" s="4" t="s">
        <v>57</v>
      </c>
      <c r="F1566" s="4" t="s">
        <v>67</v>
      </c>
      <c r="G1566" s="4" t="s">
        <v>113</v>
      </c>
      <c r="H1566" s="4" t="s">
        <v>72</v>
      </c>
      <c r="I1566" s="4" t="s">
        <v>19</v>
      </c>
      <c r="J1566" s="3">
        <v>7</v>
      </c>
      <c r="K1566" s="6">
        <v>277333</v>
      </c>
      <c r="L1566" s="6">
        <f t="shared" si="72"/>
        <v>194133.09999999998</v>
      </c>
      <c r="M1566" s="6">
        <v>83199.900000000023</v>
      </c>
      <c r="N1566" s="5" t="str">
        <f t="shared" si="73"/>
        <v>Jun</v>
      </c>
      <c r="O1566" s="5" t="str">
        <f t="shared" si="74"/>
        <v xml:space="preserve"> 2023</v>
      </c>
    </row>
    <row r="1567" spans="1:15" x14ac:dyDescent="0.35">
      <c r="A1567" t="s">
        <v>2267</v>
      </c>
      <c r="B1567" s="5" t="s">
        <v>911</v>
      </c>
      <c r="C1567" s="4" t="s">
        <v>55</v>
      </c>
      <c r="D1567" s="4" t="s">
        <v>98</v>
      </c>
      <c r="E1567" s="4" t="s">
        <v>99</v>
      </c>
      <c r="F1567" s="4" t="s">
        <v>16</v>
      </c>
      <c r="G1567" s="4" t="s">
        <v>34</v>
      </c>
      <c r="H1567" s="4" t="s">
        <v>18</v>
      </c>
      <c r="I1567" s="4" t="s">
        <v>28</v>
      </c>
      <c r="J1567" s="3">
        <v>4</v>
      </c>
      <c r="K1567" s="6">
        <v>191732</v>
      </c>
      <c r="L1567" s="6">
        <f t="shared" si="72"/>
        <v>134212.4</v>
      </c>
      <c r="M1567" s="6">
        <v>57519.600000000006</v>
      </c>
      <c r="N1567" s="5" t="str">
        <f t="shared" si="73"/>
        <v>Sep</v>
      </c>
      <c r="O1567" s="5" t="str">
        <f t="shared" si="74"/>
        <v xml:space="preserve"> 2023</v>
      </c>
    </row>
    <row r="1568" spans="1:15" x14ac:dyDescent="0.35">
      <c r="A1568" t="s">
        <v>2268</v>
      </c>
      <c r="B1568" s="5" t="s">
        <v>1747</v>
      </c>
      <c r="C1568" s="4" t="s">
        <v>55</v>
      </c>
      <c r="D1568" s="4" t="s">
        <v>82</v>
      </c>
      <c r="E1568" s="4" t="s">
        <v>83</v>
      </c>
      <c r="F1568" s="4" t="s">
        <v>16</v>
      </c>
      <c r="G1568" s="4" t="s">
        <v>42</v>
      </c>
      <c r="H1568" s="4" t="s">
        <v>72</v>
      </c>
      <c r="I1568" s="4" t="s">
        <v>47</v>
      </c>
      <c r="J1568" s="3">
        <v>2</v>
      </c>
      <c r="K1568" s="6">
        <v>56050</v>
      </c>
      <c r="L1568" s="6">
        <f t="shared" si="72"/>
        <v>39235</v>
      </c>
      <c r="M1568" s="6">
        <v>16815</v>
      </c>
      <c r="N1568" s="5" t="str">
        <f t="shared" si="73"/>
        <v>Oct</v>
      </c>
      <c r="O1568" s="5" t="str">
        <f t="shared" si="74"/>
        <v xml:space="preserve"> 2023</v>
      </c>
    </row>
    <row r="1569" spans="1:15" x14ac:dyDescent="0.35">
      <c r="A1569" t="s">
        <v>2269</v>
      </c>
      <c r="B1569" s="5" t="s">
        <v>2270</v>
      </c>
      <c r="C1569" s="4" t="s">
        <v>31</v>
      </c>
      <c r="D1569" s="4" t="s">
        <v>32</v>
      </c>
      <c r="E1569" s="4" t="s">
        <v>33</v>
      </c>
      <c r="F1569" s="4" t="s">
        <v>37</v>
      </c>
      <c r="G1569" s="4" t="s">
        <v>183</v>
      </c>
      <c r="H1569" s="4" t="s">
        <v>72</v>
      </c>
      <c r="I1569" s="4" t="s">
        <v>28</v>
      </c>
      <c r="J1569" s="3">
        <v>10</v>
      </c>
      <c r="K1569" s="6">
        <v>148130</v>
      </c>
      <c r="L1569" s="6">
        <f t="shared" si="72"/>
        <v>103691</v>
      </c>
      <c r="M1569" s="6">
        <v>44439</v>
      </c>
      <c r="N1569" s="5" t="str">
        <f t="shared" si="73"/>
        <v>Jan</v>
      </c>
      <c r="O1569" s="5" t="str">
        <f t="shared" si="74"/>
        <v xml:space="preserve"> 2024</v>
      </c>
    </row>
    <row r="1570" spans="1:15" x14ac:dyDescent="0.35">
      <c r="A1570" t="s">
        <v>2271</v>
      </c>
      <c r="B1570" s="5" t="s">
        <v>117</v>
      </c>
      <c r="C1570" s="4" t="s">
        <v>31</v>
      </c>
      <c r="D1570" s="4" t="s">
        <v>50</v>
      </c>
      <c r="E1570" s="4" t="s">
        <v>51</v>
      </c>
      <c r="F1570" s="4" t="s">
        <v>25</v>
      </c>
      <c r="G1570" s="4" t="s">
        <v>71</v>
      </c>
      <c r="H1570" s="4" t="s">
        <v>72</v>
      </c>
      <c r="I1570" s="4" t="s">
        <v>60</v>
      </c>
      <c r="J1570" s="3">
        <v>8</v>
      </c>
      <c r="K1570" s="6">
        <v>108288</v>
      </c>
      <c r="L1570" s="6">
        <f t="shared" si="72"/>
        <v>75801.599999999991</v>
      </c>
      <c r="M1570" s="6">
        <v>32486.400000000009</v>
      </c>
      <c r="N1570" s="5" t="str">
        <f t="shared" si="73"/>
        <v>Sep</v>
      </c>
      <c r="O1570" s="5" t="str">
        <f t="shared" si="74"/>
        <v xml:space="preserve"> 2023</v>
      </c>
    </row>
    <row r="1571" spans="1:15" x14ac:dyDescent="0.35">
      <c r="A1571" t="s">
        <v>2272</v>
      </c>
      <c r="B1571" s="5" t="s">
        <v>241</v>
      </c>
      <c r="C1571" s="4" t="s">
        <v>55</v>
      </c>
      <c r="D1571" s="4" t="s">
        <v>82</v>
      </c>
      <c r="E1571" s="4" t="s">
        <v>83</v>
      </c>
      <c r="F1571" s="4" t="s">
        <v>37</v>
      </c>
      <c r="G1571" s="4" t="s">
        <v>38</v>
      </c>
      <c r="H1571" s="4" t="s">
        <v>27</v>
      </c>
      <c r="I1571" s="4" t="s">
        <v>39</v>
      </c>
      <c r="J1571" s="3">
        <v>2</v>
      </c>
      <c r="K1571" s="6">
        <v>41120</v>
      </c>
      <c r="L1571" s="6">
        <f t="shared" si="72"/>
        <v>28783.999999999996</v>
      </c>
      <c r="M1571" s="6">
        <v>12336.000000000004</v>
      </c>
      <c r="N1571" s="5" t="str">
        <f t="shared" si="73"/>
        <v>Aug</v>
      </c>
      <c r="O1571" s="5" t="str">
        <f t="shared" si="74"/>
        <v xml:space="preserve"> 2023</v>
      </c>
    </row>
    <row r="1572" spans="1:15" x14ac:dyDescent="0.35">
      <c r="A1572" t="s">
        <v>2273</v>
      </c>
      <c r="B1572" s="5" t="s">
        <v>415</v>
      </c>
      <c r="C1572" s="4" t="s">
        <v>31</v>
      </c>
      <c r="D1572" s="4" t="s">
        <v>104</v>
      </c>
      <c r="E1572" s="4" t="s">
        <v>105</v>
      </c>
      <c r="F1572" s="4" t="s">
        <v>67</v>
      </c>
      <c r="G1572" s="4" t="s">
        <v>113</v>
      </c>
      <c r="H1572" s="4" t="s">
        <v>27</v>
      </c>
      <c r="I1572" s="4" t="s">
        <v>39</v>
      </c>
      <c r="J1572" s="3">
        <v>9</v>
      </c>
      <c r="K1572" s="6">
        <v>27549</v>
      </c>
      <c r="L1572" s="6">
        <f t="shared" si="72"/>
        <v>19284.3</v>
      </c>
      <c r="M1572" s="6">
        <v>8264.7000000000007</v>
      </c>
      <c r="N1572" s="5" t="str">
        <f t="shared" si="73"/>
        <v>Oct</v>
      </c>
      <c r="O1572" s="5" t="str">
        <f t="shared" si="74"/>
        <v xml:space="preserve"> 2023</v>
      </c>
    </row>
    <row r="1573" spans="1:15" x14ac:dyDescent="0.35">
      <c r="A1573" t="s">
        <v>2274</v>
      </c>
      <c r="B1573" s="5" t="s">
        <v>331</v>
      </c>
      <c r="C1573" s="4" t="s">
        <v>55</v>
      </c>
      <c r="D1573" s="4" t="s">
        <v>56</v>
      </c>
      <c r="E1573" s="4" t="s">
        <v>57</v>
      </c>
      <c r="F1573" s="4" t="s">
        <v>25</v>
      </c>
      <c r="G1573" s="4" t="s">
        <v>52</v>
      </c>
      <c r="H1573" s="4" t="s">
        <v>27</v>
      </c>
      <c r="I1573" s="4" t="s">
        <v>39</v>
      </c>
      <c r="J1573" s="3">
        <v>2</v>
      </c>
      <c r="K1573" s="6">
        <v>9938</v>
      </c>
      <c r="L1573" s="6">
        <f t="shared" si="72"/>
        <v>6956.5999999999995</v>
      </c>
      <c r="M1573" s="6">
        <v>2981.4000000000005</v>
      </c>
      <c r="N1573" s="5" t="str">
        <f t="shared" si="73"/>
        <v>May</v>
      </c>
      <c r="O1573" s="5" t="str">
        <f t="shared" si="74"/>
        <v xml:space="preserve"> 2024</v>
      </c>
    </row>
    <row r="1574" spans="1:15" x14ac:dyDescent="0.35">
      <c r="A1574" t="s">
        <v>2275</v>
      </c>
      <c r="B1574" s="5" t="s">
        <v>420</v>
      </c>
      <c r="C1574" s="4" t="s">
        <v>55</v>
      </c>
      <c r="D1574" s="4" t="s">
        <v>56</v>
      </c>
      <c r="E1574" s="4" t="s">
        <v>57</v>
      </c>
      <c r="F1574" s="4" t="s">
        <v>16</v>
      </c>
      <c r="G1574" s="4" t="s">
        <v>17</v>
      </c>
      <c r="H1574" s="4" t="s">
        <v>72</v>
      </c>
      <c r="I1574" s="4" t="s">
        <v>47</v>
      </c>
      <c r="J1574" s="3">
        <v>4</v>
      </c>
      <c r="K1574" s="6">
        <v>171332</v>
      </c>
      <c r="L1574" s="6">
        <f t="shared" si="72"/>
        <v>119932.4</v>
      </c>
      <c r="M1574" s="6">
        <v>51399.600000000006</v>
      </c>
      <c r="N1574" s="5" t="str">
        <f t="shared" si="73"/>
        <v>Feb</v>
      </c>
      <c r="O1574" s="5" t="str">
        <f t="shared" si="74"/>
        <v xml:space="preserve"> 2024</v>
      </c>
    </row>
    <row r="1575" spans="1:15" x14ac:dyDescent="0.35">
      <c r="A1575" t="s">
        <v>2276</v>
      </c>
      <c r="B1575" s="5" t="s">
        <v>1567</v>
      </c>
      <c r="C1575" s="4" t="s">
        <v>22</v>
      </c>
      <c r="D1575" s="4" t="s">
        <v>23</v>
      </c>
      <c r="E1575" s="4" t="s">
        <v>24</v>
      </c>
      <c r="F1575" s="4" t="s">
        <v>37</v>
      </c>
      <c r="G1575" s="4" t="s">
        <v>38</v>
      </c>
      <c r="H1575" s="4" t="s">
        <v>18</v>
      </c>
      <c r="I1575" s="4" t="s">
        <v>60</v>
      </c>
      <c r="J1575" s="3">
        <v>9</v>
      </c>
      <c r="K1575" s="6">
        <v>121770</v>
      </c>
      <c r="L1575" s="6">
        <f t="shared" si="72"/>
        <v>85239</v>
      </c>
      <c r="M1575" s="6">
        <v>36531</v>
      </c>
      <c r="N1575" s="5" t="str">
        <f t="shared" si="73"/>
        <v>Nov</v>
      </c>
      <c r="O1575" s="5" t="str">
        <f t="shared" si="74"/>
        <v xml:space="preserve"> 2024</v>
      </c>
    </row>
    <row r="1576" spans="1:15" x14ac:dyDescent="0.35">
      <c r="A1576" t="s">
        <v>2277</v>
      </c>
      <c r="B1576" s="5" t="s">
        <v>785</v>
      </c>
      <c r="C1576" s="4" t="s">
        <v>55</v>
      </c>
      <c r="D1576" s="4" t="s">
        <v>82</v>
      </c>
      <c r="E1576" s="4" t="s">
        <v>83</v>
      </c>
      <c r="F1576" s="4" t="s">
        <v>37</v>
      </c>
      <c r="G1576" s="4" t="s">
        <v>183</v>
      </c>
      <c r="H1576" s="4" t="s">
        <v>18</v>
      </c>
      <c r="I1576" s="4" t="s">
        <v>60</v>
      </c>
      <c r="J1576" s="3">
        <v>6</v>
      </c>
      <c r="K1576" s="6">
        <v>247200</v>
      </c>
      <c r="L1576" s="6">
        <f t="shared" si="72"/>
        <v>173040</v>
      </c>
      <c r="M1576" s="6">
        <v>74160</v>
      </c>
      <c r="N1576" s="5" t="str">
        <f t="shared" si="73"/>
        <v>Jan</v>
      </c>
      <c r="O1576" s="5" t="str">
        <f t="shared" si="74"/>
        <v xml:space="preserve"> 2023</v>
      </c>
    </row>
    <row r="1577" spans="1:15" x14ac:dyDescent="0.35">
      <c r="A1577" t="s">
        <v>2278</v>
      </c>
      <c r="B1577" s="5" t="s">
        <v>300</v>
      </c>
      <c r="C1577" s="4" t="s">
        <v>55</v>
      </c>
      <c r="D1577" s="4" t="s">
        <v>98</v>
      </c>
      <c r="E1577" s="4" t="s">
        <v>99</v>
      </c>
      <c r="F1577" s="4" t="s">
        <v>37</v>
      </c>
      <c r="G1577" s="4" t="s">
        <v>183</v>
      </c>
      <c r="H1577" s="4" t="s">
        <v>18</v>
      </c>
      <c r="I1577" s="4" t="s">
        <v>60</v>
      </c>
      <c r="J1577" s="3">
        <v>6</v>
      </c>
      <c r="K1577" s="6">
        <v>299604</v>
      </c>
      <c r="L1577" s="6">
        <f t="shared" si="72"/>
        <v>209722.8</v>
      </c>
      <c r="M1577" s="6">
        <v>89881.200000000012</v>
      </c>
      <c r="N1577" s="5" t="str">
        <f t="shared" si="73"/>
        <v>Aug</v>
      </c>
      <c r="O1577" s="5" t="str">
        <f t="shared" si="74"/>
        <v xml:space="preserve"> 2023</v>
      </c>
    </row>
    <row r="1578" spans="1:15" x14ac:dyDescent="0.35">
      <c r="A1578" t="s">
        <v>2279</v>
      </c>
      <c r="B1578" s="5" t="s">
        <v>1336</v>
      </c>
      <c r="C1578" s="4" t="s">
        <v>13</v>
      </c>
      <c r="D1578" s="4" t="s">
        <v>125</v>
      </c>
      <c r="E1578" s="4" t="s">
        <v>126</v>
      </c>
      <c r="F1578" s="4" t="s">
        <v>37</v>
      </c>
      <c r="G1578" s="4" t="s">
        <v>186</v>
      </c>
      <c r="H1578" s="4" t="s">
        <v>27</v>
      </c>
      <c r="I1578" s="4" t="s">
        <v>19</v>
      </c>
      <c r="J1578" s="3">
        <v>8</v>
      </c>
      <c r="K1578" s="6">
        <v>50168</v>
      </c>
      <c r="L1578" s="6">
        <f t="shared" si="72"/>
        <v>35117.599999999999</v>
      </c>
      <c r="M1578" s="6">
        <v>15050.400000000001</v>
      </c>
      <c r="N1578" s="5" t="str">
        <f t="shared" si="73"/>
        <v>Apr</v>
      </c>
      <c r="O1578" s="5" t="str">
        <f t="shared" si="74"/>
        <v xml:space="preserve"> 2023</v>
      </c>
    </row>
    <row r="1579" spans="1:15" x14ac:dyDescent="0.35">
      <c r="A1579" t="s">
        <v>2280</v>
      </c>
      <c r="B1579" s="5" t="s">
        <v>2281</v>
      </c>
      <c r="C1579" s="4" t="s">
        <v>13</v>
      </c>
      <c r="D1579" s="4" t="s">
        <v>14</v>
      </c>
      <c r="E1579" s="4" t="s">
        <v>15</v>
      </c>
      <c r="F1579" s="4" t="s">
        <v>16</v>
      </c>
      <c r="G1579" s="4" t="s">
        <v>17</v>
      </c>
      <c r="H1579" s="4" t="s">
        <v>18</v>
      </c>
      <c r="I1579" s="4" t="s">
        <v>19</v>
      </c>
      <c r="J1579" s="3">
        <v>1</v>
      </c>
      <c r="K1579" s="6">
        <v>9305</v>
      </c>
      <c r="L1579" s="6">
        <f t="shared" si="72"/>
        <v>6513.5</v>
      </c>
      <c r="M1579" s="6">
        <v>2791.5</v>
      </c>
      <c r="N1579" s="5" t="str">
        <f t="shared" si="73"/>
        <v>Mar</v>
      </c>
      <c r="O1579" s="5" t="str">
        <f t="shared" si="74"/>
        <v xml:space="preserve"> 2023</v>
      </c>
    </row>
    <row r="1580" spans="1:15" x14ac:dyDescent="0.35">
      <c r="A1580" t="s">
        <v>2282</v>
      </c>
      <c r="B1580" s="5" t="s">
        <v>2283</v>
      </c>
      <c r="C1580" s="4" t="s">
        <v>13</v>
      </c>
      <c r="D1580" s="4" t="s">
        <v>162</v>
      </c>
      <c r="E1580" s="4" t="s">
        <v>163</v>
      </c>
      <c r="F1580" s="4" t="s">
        <v>25</v>
      </c>
      <c r="G1580" s="4" t="s">
        <v>77</v>
      </c>
      <c r="H1580" s="4" t="s">
        <v>18</v>
      </c>
      <c r="I1580" s="4" t="s">
        <v>39</v>
      </c>
      <c r="J1580" s="3">
        <v>7</v>
      </c>
      <c r="K1580" s="6">
        <v>121177</v>
      </c>
      <c r="L1580" s="6">
        <f t="shared" si="72"/>
        <v>84823.9</v>
      </c>
      <c r="M1580" s="6">
        <v>36353.100000000006</v>
      </c>
      <c r="N1580" s="5" t="str">
        <f t="shared" si="73"/>
        <v>May</v>
      </c>
      <c r="O1580" s="5" t="str">
        <f t="shared" si="74"/>
        <v xml:space="preserve"> 2024</v>
      </c>
    </row>
    <row r="1581" spans="1:15" x14ac:dyDescent="0.35">
      <c r="A1581" t="s">
        <v>2284</v>
      </c>
      <c r="B1581" s="5" t="s">
        <v>2135</v>
      </c>
      <c r="C1581" s="4" t="s">
        <v>22</v>
      </c>
      <c r="D1581" s="4" t="s">
        <v>90</v>
      </c>
      <c r="E1581" s="4" t="s">
        <v>91</v>
      </c>
      <c r="F1581" s="4" t="s">
        <v>67</v>
      </c>
      <c r="G1581" s="4" t="s">
        <v>180</v>
      </c>
      <c r="H1581" s="4" t="s">
        <v>27</v>
      </c>
      <c r="I1581" s="4" t="s">
        <v>28</v>
      </c>
      <c r="J1581" s="3">
        <v>10</v>
      </c>
      <c r="K1581" s="6">
        <v>175120</v>
      </c>
      <c r="L1581" s="6">
        <f t="shared" si="72"/>
        <v>122583.99999999999</v>
      </c>
      <c r="M1581" s="6">
        <v>52536.000000000015</v>
      </c>
      <c r="N1581" s="5" t="str">
        <f t="shared" si="73"/>
        <v>Oct</v>
      </c>
      <c r="O1581" s="5" t="str">
        <f t="shared" si="74"/>
        <v xml:space="preserve"> 2023</v>
      </c>
    </row>
    <row r="1582" spans="1:15" x14ac:dyDescent="0.35">
      <c r="A1582" t="s">
        <v>2285</v>
      </c>
      <c r="B1582" s="5" t="s">
        <v>1869</v>
      </c>
      <c r="C1582" s="4" t="s">
        <v>31</v>
      </c>
      <c r="D1582" s="4" t="s">
        <v>45</v>
      </c>
      <c r="E1582" s="4" t="s">
        <v>46</v>
      </c>
      <c r="F1582" s="4" t="s">
        <v>37</v>
      </c>
      <c r="G1582" s="4" t="s">
        <v>183</v>
      </c>
      <c r="H1582" s="4" t="s">
        <v>72</v>
      </c>
      <c r="I1582" s="4" t="s">
        <v>60</v>
      </c>
      <c r="J1582" s="3">
        <v>2</v>
      </c>
      <c r="K1582" s="6">
        <v>55396</v>
      </c>
      <c r="L1582" s="6">
        <f t="shared" si="72"/>
        <v>38777.199999999997</v>
      </c>
      <c r="M1582" s="6">
        <v>16618.800000000003</v>
      </c>
      <c r="N1582" s="5" t="str">
        <f t="shared" si="73"/>
        <v>Aug</v>
      </c>
      <c r="O1582" s="5" t="str">
        <f t="shared" si="74"/>
        <v xml:space="preserve"> 2023</v>
      </c>
    </row>
    <row r="1583" spans="1:15" x14ac:dyDescent="0.35">
      <c r="A1583" t="s">
        <v>2286</v>
      </c>
      <c r="B1583" s="5" t="s">
        <v>275</v>
      </c>
      <c r="C1583" s="4" t="s">
        <v>13</v>
      </c>
      <c r="D1583" s="4" t="s">
        <v>14</v>
      </c>
      <c r="E1583" s="4" t="s">
        <v>15</v>
      </c>
      <c r="F1583" s="4" t="s">
        <v>16</v>
      </c>
      <c r="G1583" s="4" t="s">
        <v>122</v>
      </c>
      <c r="H1583" s="4" t="s">
        <v>27</v>
      </c>
      <c r="I1583" s="4" t="s">
        <v>47</v>
      </c>
      <c r="J1583" s="3">
        <v>10</v>
      </c>
      <c r="K1583" s="6">
        <v>213520</v>
      </c>
      <c r="L1583" s="6">
        <f t="shared" si="72"/>
        <v>149464</v>
      </c>
      <c r="M1583" s="6">
        <v>64056</v>
      </c>
      <c r="N1583" s="5" t="str">
        <f t="shared" si="73"/>
        <v>Jan</v>
      </c>
      <c r="O1583" s="5" t="str">
        <f t="shared" si="74"/>
        <v xml:space="preserve"> 2024</v>
      </c>
    </row>
    <row r="1584" spans="1:15" x14ac:dyDescent="0.35">
      <c r="A1584" t="s">
        <v>2287</v>
      </c>
      <c r="B1584" s="5" t="s">
        <v>1300</v>
      </c>
      <c r="C1584" s="4" t="s">
        <v>22</v>
      </c>
      <c r="D1584" s="4" t="s">
        <v>90</v>
      </c>
      <c r="E1584" s="4" t="s">
        <v>91</v>
      </c>
      <c r="F1584" s="4" t="s">
        <v>16</v>
      </c>
      <c r="G1584" s="4" t="s">
        <v>17</v>
      </c>
      <c r="H1584" s="4" t="s">
        <v>72</v>
      </c>
      <c r="I1584" s="4" t="s">
        <v>39</v>
      </c>
      <c r="J1584" s="3">
        <v>5</v>
      </c>
      <c r="K1584" s="6">
        <v>30775</v>
      </c>
      <c r="L1584" s="6">
        <f t="shared" si="72"/>
        <v>21542.5</v>
      </c>
      <c r="M1584" s="6">
        <v>9232.5</v>
      </c>
      <c r="N1584" s="5" t="str">
        <f t="shared" si="73"/>
        <v>Apr</v>
      </c>
      <c r="O1584" s="5" t="str">
        <f t="shared" si="74"/>
        <v xml:space="preserve"> 2023</v>
      </c>
    </row>
    <row r="1585" spans="1:15" x14ac:dyDescent="0.35">
      <c r="A1585" t="s">
        <v>2288</v>
      </c>
      <c r="B1585" s="5" t="s">
        <v>273</v>
      </c>
      <c r="C1585" s="4" t="s">
        <v>13</v>
      </c>
      <c r="D1585" s="4" t="s">
        <v>162</v>
      </c>
      <c r="E1585" s="4" t="s">
        <v>163</v>
      </c>
      <c r="F1585" s="4" t="s">
        <v>37</v>
      </c>
      <c r="G1585" s="4" t="s">
        <v>38</v>
      </c>
      <c r="H1585" s="4" t="s">
        <v>27</v>
      </c>
      <c r="I1585" s="4" t="s">
        <v>19</v>
      </c>
      <c r="J1585" s="3">
        <v>3</v>
      </c>
      <c r="K1585" s="6">
        <v>125574</v>
      </c>
      <c r="L1585" s="6">
        <f t="shared" si="72"/>
        <v>87901.799999999988</v>
      </c>
      <c r="M1585" s="6">
        <v>37672.200000000012</v>
      </c>
      <c r="N1585" s="5" t="str">
        <f t="shared" si="73"/>
        <v>Oct</v>
      </c>
      <c r="O1585" s="5" t="str">
        <f t="shared" si="74"/>
        <v xml:space="preserve"> 2023</v>
      </c>
    </row>
    <row r="1586" spans="1:15" x14ac:dyDescent="0.35">
      <c r="A1586" t="s">
        <v>2289</v>
      </c>
      <c r="B1586" s="5" t="s">
        <v>605</v>
      </c>
      <c r="C1586" s="4" t="s">
        <v>55</v>
      </c>
      <c r="D1586" s="4" t="s">
        <v>63</v>
      </c>
      <c r="E1586" s="4" t="s">
        <v>64</v>
      </c>
      <c r="F1586" s="4" t="s">
        <v>37</v>
      </c>
      <c r="G1586" s="4" t="s">
        <v>186</v>
      </c>
      <c r="H1586" s="4" t="s">
        <v>18</v>
      </c>
      <c r="I1586" s="4" t="s">
        <v>28</v>
      </c>
      <c r="J1586" s="3">
        <v>6</v>
      </c>
      <c r="K1586" s="6">
        <v>148686</v>
      </c>
      <c r="L1586" s="6">
        <f t="shared" si="72"/>
        <v>104080.2</v>
      </c>
      <c r="M1586" s="6">
        <v>44605.8</v>
      </c>
      <c r="N1586" s="5" t="str">
        <f t="shared" si="73"/>
        <v>Jul</v>
      </c>
      <c r="O1586" s="5" t="str">
        <f t="shared" si="74"/>
        <v xml:space="preserve"> 2024</v>
      </c>
    </row>
    <row r="1587" spans="1:15" x14ac:dyDescent="0.35">
      <c r="A1587" t="s">
        <v>2290</v>
      </c>
      <c r="B1587" s="5" t="s">
        <v>1396</v>
      </c>
      <c r="C1587" s="4" t="s">
        <v>13</v>
      </c>
      <c r="D1587" s="4" t="s">
        <v>14</v>
      </c>
      <c r="E1587" s="4" t="s">
        <v>15</v>
      </c>
      <c r="F1587" s="4" t="s">
        <v>25</v>
      </c>
      <c r="G1587" s="4" t="s">
        <v>52</v>
      </c>
      <c r="H1587" s="4" t="s">
        <v>18</v>
      </c>
      <c r="I1587" s="4" t="s">
        <v>28</v>
      </c>
      <c r="J1587" s="3">
        <v>9</v>
      </c>
      <c r="K1587" s="6">
        <v>28593</v>
      </c>
      <c r="L1587" s="6">
        <f t="shared" si="72"/>
        <v>20015.099999999999</v>
      </c>
      <c r="M1587" s="6">
        <v>8577.9000000000015</v>
      </c>
      <c r="N1587" s="5" t="str">
        <f t="shared" si="73"/>
        <v>May</v>
      </c>
      <c r="O1587" s="5" t="str">
        <f t="shared" si="74"/>
        <v xml:space="preserve"> 2024</v>
      </c>
    </row>
    <row r="1588" spans="1:15" x14ac:dyDescent="0.35">
      <c r="A1588" t="s">
        <v>2291</v>
      </c>
      <c r="B1588" s="5" t="s">
        <v>1605</v>
      </c>
      <c r="C1588" s="4" t="s">
        <v>22</v>
      </c>
      <c r="D1588" s="4" t="s">
        <v>90</v>
      </c>
      <c r="E1588" s="4" t="s">
        <v>91</v>
      </c>
      <c r="F1588" s="4" t="s">
        <v>16</v>
      </c>
      <c r="G1588" s="4" t="s">
        <v>34</v>
      </c>
      <c r="H1588" s="4" t="s">
        <v>72</v>
      </c>
      <c r="I1588" s="4" t="s">
        <v>60</v>
      </c>
      <c r="J1588" s="3">
        <v>5</v>
      </c>
      <c r="K1588" s="6">
        <v>120440</v>
      </c>
      <c r="L1588" s="6">
        <f t="shared" si="72"/>
        <v>84308</v>
      </c>
      <c r="M1588" s="6">
        <v>36132</v>
      </c>
      <c r="N1588" s="5" t="str">
        <f t="shared" si="73"/>
        <v>Aug</v>
      </c>
      <c r="O1588" s="5" t="str">
        <f t="shared" si="74"/>
        <v xml:space="preserve"> 2023</v>
      </c>
    </row>
    <row r="1589" spans="1:15" x14ac:dyDescent="0.35">
      <c r="A1589" t="s">
        <v>2292</v>
      </c>
      <c r="B1589" s="5" t="s">
        <v>614</v>
      </c>
      <c r="C1589" s="4" t="s">
        <v>13</v>
      </c>
      <c r="D1589" s="4" t="s">
        <v>125</v>
      </c>
      <c r="E1589" s="4" t="s">
        <v>126</v>
      </c>
      <c r="F1589" s="4" t="s">
        <v>25</v>
      </c>
      <c r="G1589" s="4" t="s">
        <v>77</v>
      </c>
      <c r="H1589" s="4" t="s">
        <v>27</v>
      </c>
      <c r="I1589" s="4" t="s">
        <v>39</v>
      </c>
      <c r="J1589" s="3">
        <v>4</v>
      </c>
      <c r="K1589" s="6">
        <v>87272</v>
      </c>
      <c r="L1589" s="6">
        <f t="shared" si="72"/>
        <v>61090.399999999994</v>
      </c>
      <c r="M1589" s="6">
        <v>26181.600000000006</v>
      </c>
      <c r="N1589" s="5" t="str">
        <f t="shared" si="73"/>
        <v>Feb</v>
      </c>
      <c r="O1589" s="5" t="str">
        <f t="shared" si="74"/>
        <v xml:space="preserve"> 2024</v>
      </c>
    </row>
    <row r="1590" spans="1:15" x14ac:dyDescent="0.35">
      <c r="A1590" t="s">
        <v>2293</v>
      </c>
      <c r="B1590" s="5" t="s">
        <v>1076</v>
      </c>
      <c r="C1590" s="4" t="s">
        <v>55</v>
      </c>
      <c r="D1590" s="4" t="s">
        <v>63</v>
      </c>
      <c r="E1590" s="4" t="s">
        <v>64</v>
      </c>
      <c r="F1590" s="4" t="s">
        <v>37</v>
      </c>
      <c r="G1590" s="4" t="s">
        <v>148</v>
      </c>
      <c r="H1590" s="4" t="s">
        <v>72</v>
      </c>
      <c r="I1590" s="4" t="s">
        <v>28</v>
      </c>
      <c r="J1590" s="3">
        <v>5</v>
      </c>
      <c r="K1590" s="6">
        <v>108155</v>
      </c>
      <c r="L1590" s="6">
        <f t="shared" si="72"/>
        <v>75708.5</v>
      </c>
      <c r="M1590" s="6">
        <v>32446.5</v>
      </c>
      <c r="N1590" s="5" t="str">
        <f t="shared" si="73"/>
        <v>Jul</v>
      </c>
      <c r="O1590" s="5" t="str">
        <f t="shared" si="74"/>
        <v xml:space="preserve"> 2023</v>
      </c>
    </row>
    <row r="1591" spans="1:15" x14ac:dyDescent="0.35">
      <c r="A1591" t="s">
        <v>2294</v>
      </c>
      <c r="B1591" s="5" t="s">
        <v>1747</v>
      </c>
      <c r="C1591" s="4" t="s">
        <v>55</v>
      </c>
      <c r="D1591" s="4" t="s">
        <v>56</v>
      </c>
      <c r="E1591" s="4" t="s">
        <v>57</v>
      </c>
      <c r="F1591" s="4" t="s">
        <v>67</v>
      </c>
      <c r="G1591" s="4" t="s">
        <v>113</v>
      </c>
      <c r="H1591" s="4" t="s">
        <v>18</v>
      </c>
      <c r="I1591" s="4" t="s">
        <v>39</v>
      </c>
      <c r="J1591" s="3">
        <v>10</v>
      </c>
      <c r="K1591" s="6">
        <v>446890</v>
      </c>
      <c r="L1591" s="6">
        <f t="shared" si="72"/>
        <v>312823</v>
      </c>
      <c r="M1591" s="6">
        <v>134067</v>
      </c>
      <c r="N1591" s="5" t="str">
        <f t="shared" si="73"/>
        <v>Oct</v>
      </c>
      <c r="O1591" s="5" t="str">
        <f t="shared" si="74"/>
        <v xml:space="preserve"> 2023</v>
      </c>
    </row>
    <row r="1592" spans="1:15" x14ac:dyDescent="0.35">
      <c r="A1592" t="s">
        <v>2295</v>
      </c>
      <c r="B1592" s="5" t="s">
        <v>12</v>
      </c>
      <c r="C1592" s="4" t="s">
        <v>22</v>
      </c>
      <c r="D1592" s="4" t="s">
        <v>86</v>
      </c>
      <c r="E1592" s="4" t="s">
        <v>87</v>
      </c>
      <c r="F1592" s="4" t="s">
        <v>16</v>
      </c>
      <c r="G1592" s="4" t="s">
        <v>34</v>
      </c>
      <c r="H1592" s="4" t="s">
        <v>72</v>
      </c>
      <c r="I1592" s="4" t="s">
        <v>39</v>
      </c>
      <c r="J1592" s="3">
        <v>6</v>
      </c>
      <c r="K1592" s="6">
        <v>4644</v>
      </c>
      <c r="L1592" s="6">
        <f t="shared" si="72"/>
        <v>3250.7999999999997</v>
      </c>
      <c r="M1592" s="6">
        <v>1393.2000000000003</v>
      </c>
      <c r="N1592" s="5" t="str">
        <f t="shared" si="73"/>
        <v>Jul</v>
      </c>
      <c r="O1592" s="5" t="str">
        <f t="shared" si="74"/>
        <v xml:space="preserve"> 2024</v>
      </c>
    </row>
    <row r="1593" spans="1:15" x14ac:dyDescent="0.35">
      <c r="A1593" t="s">
        <v>2296</v>
      </c>
      <c r="B1593" s="5" t="s">
        <v>1092</v>
      </c>
      <c r="C1593" s="4" t="s">
        <v>55</v>
      </c>
      <c r="D1593" s="4" t="s">
        <v>56</v>
      </c>
      <c r="E1593" s="4" t="s">
        <v>57</v>
      </c>
      <c r="F1593" s="4" t="s">
        <v>37</v>
      </c>
      <c r="G1593" s="4" t="s">
        <v>183</v>
      </c>
      <c r="H1593" s="4" t="s">
        <v>27</v>
      </c>
      <c r="I1593" s="4" t="s">
        <v>47</v>
      </c>
      <c r="J1593" s="3">
        <v>5</v>
      </c>
      <c r="K1593" s="6">
        <v>152665</v>
      </c>
      <c r="L1593" s="6">
        <f t="shared" si="72"/>
        <v>106865.5</v>
      </c>
      <c r="M1593" s="6">
        <v>45799.5</v>
      </c>
      <c r="N1593" s="5" t="str">
        <f t="shared" si="73"/>
        <v>Aug</v>
      </c>
      <c r="O1593" s="5" t="str">
        <f t="shared" si="74"/>
        <v xml:space="preserve"> 2024</v>
      </c>
    </row>
    <row r="1594" spans="1:15" x14ac:dyDescent="0.35">
      <c r="A1594" t="s">
        <v>2297</v>
      </c>
      <c r="B1594" s="5" t="s">
        <v>1139</v>
      </c>
      <c r="C1594" s="4" t="s">
        <v>55</v>
      </c>
      <c r="D1594" s="4" t="s">
        <v>63</v>
      </c>
      <c r="E1594" s="4" t="s">
        <v>64</v>
      </c>
      <c r="F1594" s="4" t="s">
        <v>37</v>
      </c>
      <c r="G1594" s="4" t="s">
        <v>183</v>
      </c>
      <c r="H1594" s="4" t="s">
        <v>72</v>
      </c>
      <c r="I1594" s="4" t="s">
        <v>28</v>
      </c>
      <c r="J1594" s="3">
        <v>8</v>
      </c>
      <c r="K1594" s="6">
        <v>116160</v>
      </c>
      <c r="L1594" s="6">
        <f t="shared" si="72"/>
        <v>81312</v>
      </c>
      <c r="M1594" s="6">
        <v>34848</v>
      </c>
      <c r="N1594" s="5" t="str">
        <f t="shared" si="73"/>
        <v>Mar</v>
      </c>
      <c r="O1594" s="5" t="str">
        <f t="shared" si="74"/>
        <v xml:space="preserve"> 2023</v>
      </c>
    </row>
    <row r="1595" spans="1:15" x14ac:dyDescent="0.35">
      <c r="A1595" t="s">
        <v>2298</v>
      </c>
      <c r="B1595" s="5" t="s">
        <v>179</v>
      </c>
      <c r="C1595" s="4" t="s">
        <v>55</v>
      </c>
      <c r="D1595" s="4" t="s">
        <v>82</v>
      </c>
      <c r="E1595" s="4" t="s">
        <v>83</v>
      </c>
      <c r="F1595" s="4" t="s">
        <v>67</v>
      </c>
      <c r="G1595" s="4" t="s">
        <v>68</v>
      </c>
      <c r="H1595" s="4" t="s">
        <v>18</v>
      </c>
      <c r="I1595" s="4" t="s">
        <v>60</v>
      </c>
      <c r="J1595" s="3">
        <v>6</v>
      </c>
      <c r="K1595" s="6">
        <v>172968</v>
      </c>
      <c r="L1595" s="6">
        <f t="shared" si="72"/>
        <v>121077.59999999999</v>
      </c>
      <c r="M1595" s="6">
        <v>51890.400000000009</v>
      </c>
      <c r="N1595" s="5" t="str">
        <f t="shared" si="73"/>
        <v>Apr</v>
      </c>
      <c r="O1595" s="5" t="str">
        <f t="shared" si="74"/>
        <v xml:space="preserve"> 2024</v>
      </c>
    </row>
    <row r="1596" spans="1:15" x14ac:dyDescent="0.35">
      <c r="A1596" t="s">
        <v>2299</v>
      </c>
      <c r="B1596" s="5" t="s">
        <v>355</v>
      </c>
      <c r="C1596" s="4" t="s">
        <v>55</v>
      </c>
      <c r="D1596" s="4" t="s">
        <v>63</v>
      </c>
      <c r="E1596" s="4" t="s">
        <v>64</v>
      </c>
      <c r="F1596" s="4" t="s">
        <v>67</v>
      </c>
      <c r="G1596" s="4" t="s">
        <v>68</v>
      </c>
      <c r="H1596" s="4" t="s">
        <v>18</v>
      </c>
      <c r="I1596" s="4" t="s">
        <v>60</v>
      </c>
      <c r="J1596" s="3">
        <v>6</v>
      </c>
      <c r="K1596" s="6">
        <v>248268</v>
      </c>
      <c r="L1596" s="6">
        <f t="shared" si="72"/>
        <v>173787.59999999998</v>
      </c>
      <c r="M1596" s="6">
        <v>74480.400000000023</v>
      </c>
      <c r="N1596" s="5" t="str">
        <f t="shared" si="73"/>
        <v>Jun</v>
      </c>
      <c r="O1596" s="5" t="str">
        <f t="shared" si="74"/>
        <v xml:space="preserve"> 2023</v>
      </c>
    </row>
    <row r="1597" spans="1:15" x14ac:dyDescent="0.35">
      <c r="A1597" t="s">
        <v>2300</v>
      </c>
      <c r="B1597" s="5" t="s">
        <v>1215</v>
      </c>
      <c r="C1597" s="4" t="s">
        <v>55</v>
      </c>
      <c r="D1597" s="4" t="s">
        <v>98</v>
      </c>
      <c r="E1597" s="4" t="s">
        <v>99</v>
      </c>
      <c r="F1597" s="4" t="s">
        <v>67</v>
      </c>
      <c r="G1597" s="4" t="s">
        <v>134</v>
      </c>
      <c r="H1597" s="4" t="s">
        <v>27</v>
      </c>
      <c r="I1597" s="4" t="s">
        <v>28</v>
      </c>
      <c r="J1597" s="3">
        <v>6</v>
      </c>
      <c r="K1597" s="6">
        <v>150336</v>
      </c>
      <c r="L1597" s="6">
        <f t="shared" si="72"/>
        <v>105235.2</v>
      </c>
      <c r="M1597" s="6">
        <v>45100.800000000003</v>
      </c>
      <c r="N1597" s="5" t="str">
        <f t="shared" si="73"/>
        <v>Jan</v>
      </c>
      <c r="O1597" s="5" t="str">
        <f t="shared" si="74"/>
        <v xml:space="preserve"> 2023</v>
      </c>
    </row>
    <row r="1598" spans="1:15" x14ac:dyDescent="0.35">
      <c r="A1598" t="s">
        <v>2301</v>
      </c>
      <c r="B1598" s="5" t="s">
        <v>367</v>
      </c>
      <c r="C1598" s="4" t="s">
        <v>31</v>
      </c>
      <c r="D1598" s="4" t="s">
        <v>32</v>
      </c>
      <c r="E1598" s="4" t="s">
        <v>33</v>
      </c>
      <c r="F1598" s="4" t="s">
        <v>16</v>
      </c>
      <c r="G1598" s="4" t="s">
        <v>42</v>
      </c>
      <c r="H1598" s="4" t="s">
        <v>27</v>
      </c>
      <c r="I1598" s="4" t="s">
        <v>60</v>
      </c>
      <c r="J1598" s="3">
        <v>3</v>
      </c>
      <c r="K1598" s="6">
        <v>83169</v>
      </c>
      <c r="L1598" s="6">
        <f t="shared" si="72"/>
        <v>58218.299999999996</v>
      </c>
      <c r="M1598" s="6">
        <v>24950.700000000004</v>
      </c>
      <c r="N1598" s="5" t="str">
        <f t="shared" si="73"/>
        <v>Jun</v>
      </c>
      <c r="O1598" s="5" t="str">
        <f t="shared" si="74"/>
        <v xml:space="preserve"> 2024</v>
      </c>
    </row>
    <row r="1599" spans="1:15" x14ac:dyDescent="0.35">
      <c r="A1599" t="s">
        <v>2302</v>
      </c>
      <c r="B1599" s="5" t="s">
        <v>868</v>
      </c>
      <c r="C1599" s="4" t="s">
        <v>22</v>
      </c>
      <c r="D1599" s="4" t="s">
        <v>90</v>
      </c>
      <c r="E1599" s="4" t="s">
        <v>91</v>
      </c>
      <c r="F1599" s="4" t="s">
        <v>25</v>
      </c>
      <c r="G1599" s="4" t="s">
        <v>26</v>
      </c>
      <c r="H1599" s="4" t="s">
        <v>72</v>
      </c>
      <c r="I1599" s="4" t="s">
        <v>60</v>
      </c>
      <c r="J1599" s="3">
        <v>3</v>
      </c>
      <c r="K1599" s="6">
        <v>30882</v>
      </c>
      <c r="L1599" s="6">
        <f t="shared" si="72"/>
        <v>21617.399999999998</v>
      </c>
      <c r="M1599" s="6">
        <v>9264.6000000000022</v>
      </c>
      <c r="N1599" s="5" t="str">
        <f t="shared" si="73"/>
        <v>Apr</v>
      </c>
      <c r="O1599" s="5" t="str">
        <f t="shared" si="74"/>
        <v xml:space="preserve"> 2024</v>
      </c>
    </row>
    <row r="1600" spans="1:15" x14ac:dyDescent="0.35">
      <c r="A1600" t="s">
        <v>2303</v>
      </c>
      <c r="B1600" s="5" t="s">
        <v>300</v>
      </c>
      <c r="C1600" s="4" t="s">
        <v>13</v>
      </c>
      <c r="D1600" s="4" t="s">
        <v>162</v>
      </c>
      <c r="E1600" s="4" t="s">
        <v>163</v>
      </c>
      <c r="F1600" s="4" t="s">
        <v>16</v>
      </c>
      <c r="G1600" s="4" t="s">
        <v>42</v>
      </c>
      <c r="H1600" s="4" t="s">
        <v>27</v>
      </c>
      <c r="I1600" s="4" t="s">
        <v>39</v>
      </c>
      <c r="J1600" s="3">
        <v>3</v>
      </c>
      <c r="K1600" s="6">
        <v>35418</v>
      </c>
      <c r="L1600" s="6">
        <f t="shared" si="72"/>
        <v>24792.6</v>
      </c>
      <c r="M1600" s="6">
        <v>10625.400000000001</v>
      </c>
      <c r="N1600" s="5" t="str">
        <f t="shared" si="73"/>
        <v>Aug</v>
      </c>
      <c r="O1600" s="5" t="str">
        <f t="shared" si="74"/>
        <v xml:space="preserve"> 2023</v>
      </c>
    </row>
    <row r="1601" spans="1:15" x14ac:dyDescent="0.35">
      <c r="A1601" t="s">
        <v>2304</v>
      </c>
      <c r="B1601" s="5" t="s">
        <v>1802</v>
      </c>
      <c r="C1601" s="4" t="s">
        <v>22</v>
      </c>
      <c r="D1601" s="4" t="s">
        <v>90</v>
      </c>
      <c r="E1601" s="4" t="s">
        <v>91</v>
      </c>
      <c r="F1601" s="4" t="s">
        <v>37</v>
      </c>
      <c r="G1601" s="4" t="s">
        <v>186</v>
      </c>
      <c r="H1601" s="4" t="s">
        <v>27</v>
      </c>
      <c r="I1601" s="4" t="s">
        <v>19</v>
      </c>
      <c r="J1601" s="3">
        <v>4</v>
      </c>
      <c r="K1601" s="6">
        <v>197284</v>
      </c>
      <c r="L1601" s="6">
        <f t="shared" si="72"/>
        <v>138098.79999999999</v>
      </c>
      <c r="M1601" s="6">
        <v>59185.200000000012</v>
      </c>
      <c r="N1601" s="5" t="str">
        <f t="shared" si="73"/>
        <v>Apr</v>
      </c>
      <c r="O1601" s="5" t="str">
        <f t="shared" si="74"/>
        <v xml:space="preserve"> 2023</v>
      </c>
    </row>
    <row r="1602" spans="1:15" x14ac:dyDescent="0.35">
      <c r="A1602" t="s">
        <v>2305</v>
      </c>
      <c r="B1602" s="5" t="s">
        <v>2306</v>
      </c>
      <c r="C1602" s="4" t="s">
        <v>31</v>
      </c>
      <c r="D1602" s="4" t="s">
        <v>104</v>
      </c>
      <c r="E1602" s="4" t="s">
        <v>105</v>
      </c>
      <c r="F1602" s="4" t="s">
        <v>25</v>
      </c>
      <c r="G1602" s="4" t="s">
        <v>77</v>
      </c>
      <c r="H1602" s="4" t="s">
        <v>18</v>
      </c>
      <c r="I1602" s="4" t="s">
        <v>47</v>
      </c>
      <c r="J1602" s="3">
        <v>3</v>
      </c>
      <c r="K1602" s="6">
        <v>39720</v>
      </c>
      <c r="L1602" s="6">
        <f t="shared" ref="L1602:L1665" si="75">K1602*0.7</f>
        <v>27804</v>
      </c>
      <c r="M1602" s="6">
        <v>11916</v>
      </c>
      <c r="N1602" s="5" t="str">
        <f t="shared" ref="N1602:N1665" si="76">TEXT(B1602,"mmm")</f>
        <v>Apr</v>
      </c>
      <c r="O1602" s="5" t="str">
        <f t="shared" ref="O1602:O1665" si="77">TEXT(B1602," yyyy")</f>
        <v xml:space="preserve"> 2023</v>
      </c>
    </row>
    <row r="1603" spans="1:15" x14ac:dyDescent="0.35">
      <c r="A1603" t="s">
        <v>2307</v>
      </c>
      <c r="B1603" s="5" t="s">
        <v>2308</v>
      </c>
      <c r="C1603" s="4" t="s">
        <v>13</v>
      </c>
      <c r="D1603" s="4" t="s">
        <v>162</v>
      </c>
      <c r="E1603" s="4" t="s">
        <v>163</v>
      </c>
      <c r="F1603" s="4" t="s">
        <v>16</v>
      </c>
      <c r="G1603" s="4" t="s">
        <v>17</v>
      </c>
      <c r="H1603" s="4" t="s">
        <v>27</v>
      </c>
      <c r="I1603" s="4" t="s">
        <v>28</v>
      </c>
      <c r="J1603" s="3">
        <v>5</v>
      </c>
      <c r="K1603" s="6">
        <v>81840</v>
      </c>
      <c r="L1603" s="6">
        <f t="shared" si="75"/>
        <v>57288</v>
      </c>
      <c r="M1603" s="6">
        <v>24552</v>
      </c>
      <c r="N1603" s="5" t="str">
        <f t="shared" si="76"/>
        <v>Aug</v>
      </c>
      <c r="O1603" s="5" t="str">
        <f t="shared" si="77"/>
        <v xml:space="preserve"> 2024</v>
      </c>
    </row>
    <row r="1604" spans="1:15" x14ac:dyDescent="0.35">
      <c r="A1604" t="s">
        <v>2309</v>
      </c>
      <c r="B1604" s="5" t="s">
        <v>1654</v>
      </c>
      <c r="C1604" s="4" t="s">
        <v>31</v>
      </c>
      <c r="D1604" s="4" t="s">
        <v>45</v>
      </c>
      <c r="E1604" s="4" t="s">
        <v>46</v>
      </c>
      <c r="F1604" s="4" t="s">
        <v>16</v>
      </c>
      <c r="G1604" s="4" t="s">
        <v>34</v>
      </c>
      <c r="H1604" s="4" t="s">
        <v>27</v>
      </c>
      <c r="I1604" s="4" t="s">
        <v>60</v>
      </c>
      <c r="J1604" s="3">
        <v>5</v>
      </c>
      <c r="K1604" s="6">
        <v>159315</v>
      </c>
      <c r="L1604" s="6">
        <f t="shared" si="75"/>
        <v>111520.5</v>
      </c>
      <c r="M1604" s="6">
        <v>47794.5</v>
      </c>
      <c r="N1604" s="5" t="str">
        <f t="shared" si="76"/>
        <v>Jul</v>
      </c>
      <c r="O1604" s="5" t="str">
        <f t="shared" si="77"/>
        <v xml:space="preserve"> 2024</v>
      </c>
    </row>
    <row r="1605" spans="1:15" x14ac:dyDescent="0.35">
      <c r="A1605" t="s">
        <v>2310</v>
      </c>
      <c r="B1605" s="5" t="s">
        <v>2311</v>
      </c>
      <c r="C1605" s="4" t="s">
        <v>55</v>
      </c>
      <c r="D1605" s="4" t="s">
        <v>63</v>
      </c>
      <c r="E1605" s="4" t="s">
        <v>64</v>
      </c>
      <c r="F1605" s="4" t="s">
        <v>25</v>
      </c>
      <c r="G1605" s="4" t="s">
        <v>71</v>
      </c>
      <c r="H1605" s="4" t="s">
        <v>18</v>
      </c>
      <c r="I1605" s="4" t="s">
        <v>60</v>
      </c>
      <c r="J1605" s="3">
        <v>8</v>
      </c>
      <c r="K1605" s="6">
        <v>125672</v>
      </c>
      <c r="L1605" s="6">
        <f t="shared" si="75"/>
        <v>87970.4</v>
      </c>
      <c r="M1605" s="6">
        <v>37701.600000000006</v>
      </c>
      <c r="N1605" s="5" t="str">
        <f t="shared" si="76"/>
        <v>Apr</v>
      </c>
      <c r="O1605" s="5" t="str">
        <f t="shared" si="77"/>
        <v xml:space="preserve"> 2024</v>
      </c>
    </row>
    <row r="1606" spans="1:15" x14ac:dyDescent="0.35">
      <c r="A1606" t="s">
        <v>2312</v>
      </c>
      <c r="B1606" s="5" t="s">
        <v>2115</v>
      </c>
      <c r="C1606" s="4" t="s">
        <v>55</v>
      </c>
      <c r="D1606" s="4" t="s">
        <v>98</v>
      </c>
      <c r="E1606" s="4" t="s">
        <v>99</v>
      </c>
      <c r="F1606" s="4" t="s">
        <v>37</v>
      </c>
      <c r="G1606" s="4" t="s">
        <v>183</v>
      </c>
      <c r="H1606" s="4" t="s">
        <v>18</v>
      </c>
      <c r="I1606" s="4" t="s">
        <v>19</v>
      </c>
      <c r="J1606" s="3">
        <v>4</v>
      </c>
      <c r="K1606" s="6">
        <v>137168</v>
      </c>
      <c r="L1606" s="6">
        <f t="shared" si="75"/>
        <v>96017.599999999991</v>
      </c>
      <c r="M1606" s="6">
        <v>41150.400000000009</v>
      </c>
      <c r="N1606" s="5" t="str">
        <f t="shared" si="76"/>
        <v>Jun</v>
      </c>
      <c r="O1606" s="5" t="str">
        <f t="shared" si="77"/>
        <v xml:space="preserve"> 2023</v>
      </c>
    </row>
    <row r="1607" spans="1:15" x14ac:dyDescent="0.35">
      <c r="A1607" t="s">
        <v>2313</v>
      </c>
      <c r="B1607" s="5" t="s">
        <v>1761</v>
      </c>
      <c r="C1607" s="4" t="s">
        <v>31</v>
      </c>
      <c r="D1607" s="4" t="s">
        <v>104</v>
      </c>
      <c r="E1607" s="4" t="s">
        <v>105</v>
      </c>
      <c r="F1607" s="4" t="s">
        <v>67</v>
      </c>
      <c r="G1607" s="4" t="s">
        <v>134</v>
      </c>
      <c r="H1607" s="4" t="s">
        <v>27</v>
      </c>
      <c r="I1607" s="4" t="s">
        <v>60</v>
      </c>
      <c r="J1607" s="3">
        <v>6</v>
      </c>
      <c r="K1607" s="6">
        <v>277806</v>
      </c>
      <c r="L1607" s="6">
        <f t="shared" si="75"/>
        <v>194464.19999999998</v>
      </c>
      <c r="M1607" s="6">
        <v>83341.800000000017</v>
      </c>
      <c r="N1607" s="5" t="str">
        <f t="shared" si="76"/>
        <v>Oct</v>
      </c>
      <c r="O1607" s="5" t="str">
        <f t="shared" si="77"/>
        <v xml:space="preserve"> 2023</v>
      </c>
    </row>
    <row r="1608" spans="1:15" x14ac:dyDescent="0.35">
      <c r="A1608" t="s">
        <v>2314</v>
      </c>
      <c r="B1608" s="5" t="s">
        <v>557</v>
      </c>
      <c r="C1608" s="4" t="s">
        <v>31</v>
      </c>
      <c r="D1608" s="4" t="s">
        <v>32</v>
      </c>
      <c r="E1608" s="4" t="s">
        <v>33</v>
      </c>
      <c r="F1608" s="4" t="s">
        <v>67</v>
      </c>
      <c r="G1608" s="4" t="s">
        <v>113</v>
      </c>
      <c r="H1608" s="4" t="s">
        <v>72</v>
      </c>
      <c r="I1608" s="4" t="s">
        <v>60</v>
      </c>
      <c r="J1608" s="3">
        <v>6</v>
      </c>
      <c r="K1608" s="6">
        <v>265440</v>
      </c>
      <c r="L1608" s="6">
        <f t="shared" si="75"/>
        <v>185808</v>
      </c>
      <c r="M1608" s="6">
        <v>79632</v>
      </c>
      <c r="N1608" s="5" t="str">
        <f t="shared" si="76"/>
        <v>Dec</v>
      </c>
      <c r="O1608" s="5" t="str">
        <f t="shared" si="77"/>
        <v xml:space="preserve"> 2023</v>
      </c>
    </row>
    <row r="1609" spans="1:15" x14ac:dyDescent="0.35">
      <c r="A1609" t="s">
        <v>2315</v>
      </c>
      <c r="B1609" s="5" t="s">
        <v>2316</v>
      </c>
      <c r="C1609" s="4" t="s">
        <v>22</v>
      </c>
      <c r="D1609" s="4" t="s">
        <v>23</v>
      </c>
      <c r="E1609" s="4" t="s">
        <v>24</v>
      </c>
      <c r="F1609" s="4" t="s">
        <v>25</v>
      </c>
      <c r="G1609" s="4" t="s">
        <v>71</v>
      </c>
      <c r="H1609" s="4" t="s">
        <v>72</v>
      </c>
      <c r="I1609" s="4" t="s">
        <v>28</v>
      </c>
      <c r="J1609" s="3">
        <v>4</v>
      </c>
      <c r="K1609" s="6">
        <v>58440</v>
      </c>
      <c r="L1609" s="6">
        <f t="shared" si="75"/>
        <v>40908</v>
      </c>
      <c r="M1609" s="6">
        <v>17532</v>
      </c>
      <c r="N1609" s="5" t="str">
        <f t="shared" si="76"/>
        <v>Apr</v>
      </c>
      <c r="O1609" s="5" t="str">
        <f t="shared" si="77"/>
        <v xml:space="preserve"> 2024</v>
      </c>
    </row>
    <row r="1610" spans="1:15" x14ac:dyDescent="0.35">
      <c r="A1610" t="s">
        <v>2317</v>
      </c>
      <c r="B1610" s="5" t="s">
        <v>806</v>
      </c>
      <c r="C1610" s="4" t="s">
        <v>31</v>
      </c>
      <c r="D1610" s="4" t="s">
        <v>45</v>
      </c>
      <c r="E1610" s="4" t="s">
        <v>46</v>
      </c>
      <c r="F1610" s="4" t="s">
        <v>37</v>
      </c>
      <c r="G1610" s="4" t="s">
        <v>183</v>
      </c>
      <c r="H1610" s="4" t="s">
        <v>18</v>
      </c>
      <c r="I1610" s="4" t="s">
        <v>47</v>
      </c>
      <c r="J1610" s="3">
        <v>8</v>
      </c>
      <c r="K1610" s="6">
        <v>280040</v>
      </c>
      <c r="L1610" s="6">
        <f t="shared" si="75"/>
        <v>196028</v>
      </c>
      <c r="M1610" s="6">
        <v>84012</v>
      </c>
      <c r="N1610" s="5" t="str">
        <f t="shared" si="76"/>
        <v>Aug</v>
      </c>
      <c r="O1610" s="5" t="str">
        <f t="shared" si="77"/>
        <v xml:space="preserve"> 2023</v>
      </c>
    </row>
    <row r="1611" spans="1:15" x14ac:dyDescent="0.35">
      <c r="A1611" t="s">
        <v>2318</v>
      </c>
      <c r="B1611" s="5" t="s">
        <v>467</v>
      </c>
      <c r="C1611" s="4" t="s">
        <v>31</v>
      </c>
      <c r="D1611" s="4" t="s">
        <v>104</v>
      </c>
      <c r="E1611" s="4" t="s">
        <v>105</v>
      </c>
      <c r="F1611" s="4" t="s">
        <v>25</v>
      </c>
      <c r="G1611" s="4" t="s">
        <v>26</v>
      </c>
      <c r="H1611" s="4" t="s">
        <v>72</v>
      </c>
      <c r="I1611" s="4" t="s">
        <v>28</v>
      </c>
      <c r="J1611" s="3">
        <v>5</v>
      </c>
      <c r="K1611" s="6">
        <v>188015</v>
      </c>
      <c r="L1611" s="6">
        <f t="shared" si="75"/>
        <v>131610.5</v>
      </c>
      <c r="M1611" s="6">
        <v>56404.5</v>
      </c>
      <c r="N1611" s="5" t="str">
        <f t="shared" si="76"/>
        <v>Mar</v>
      </c>
      <c r="O1611" s="5" t="str">
        <f t="shared" si="77"/>
        <v xml:space="preserve"> 2024</v>
      </c>
    </row>
    <row r="1612" spans="1:15" x14ac:dyDescent="0.35">
      <c r="A1612" t="s">
        <v>2319</v>
      </c>
      <c r="B1612" s="5" t="s">
        <v>616</v>
      </c>
      <c r="C1612" s="4" t="s">
        <v>55</v>
      </c>
      <c r="D1612" s="4" t="s">
        <v>56</v>
      </c>
      <c r="E1612" s="4" t="s">
        <v>57</v>
      </c>
      <c r="F1612" s="4" t="s">
        <v>25</v>
      </c>
      <c r="G1612" s="4" t="s">
        <v>26</v>
      </c>
      <c r="H1612" s="4" t="s">
        <v>27</v>
      </c>
      <c r="I1612" s="4" t="s">
        <v>19</v>
      </c>
      <c r="J1612" s="3">
        <v>8</v>
      </c>
      <c r="K1612" s="6">
        <v>37784</v>
      </c>
      <c r="L1612" s="6">
        <f t="shared" si="75"/>
        <v>26448.799999999999</v>
      </c>
      <c r="M1612" s="6">
        <v>11335.2</v>
      </c>
      <c r="N1612" s="5" t="str">
        <f t="shared" si="76"/>
        <v>Feb</v>
      </c>
      <c r="O1612" s="5" t="str">
        <f t="shared" si="77"/>
        <v xml:space="preserve"> 2023</v>
      </c>
    </row>
    <row r="1613" spans="1:15" x14ac:dyDescent="0.35">
      <c r="A1613" t="s">
        <v>2320</v>
      </c>
      <c r="B1613" s="5" t="s">
        <v>295</v>
      </c>
      <c r="C1613" s="4" t="s">
        <v>31</v>
      </c>
      <c r="D1613" s="4" t="s">
        <v>104</v>
      </c>
      <c r="E1613" s="4" t="s">
        <v>105</v>
      </c>
      <c r="F1613" s="4" t="s">
        <v>37</v>
      </c>
      <c r="G1613" s="4" t="s">
        <v>38</v>
      </c>
      <c r="H1613" s="4" t="s">
        <v>18</v>
      </c>
      <c r="I1613" s="4" t="s">
        <v>28</v>
      </c>
      <c r="J1613" s="3">
        <v>6</v>
      </c>
      <c r="K1613" s="6">
        <v>215274</v>
      </c>
      <c r="L1613" s="6">
        <f t="shared" si="75"/>
        <v>150691.79999999999</v>
      </c>
      <c r="M1613" s="6">
        <v>64582.200000000012</v>
      </c>
      <c r="N1613" s="5" t="str">
        <f t="shared" si="76"/>
        <v>Aug</v>
      </c>
      <c r="O1613" s="5" t="str">
        <f t="shared" si="77"/>
        <v xml:space="preserve"> 2024</v>
      </c>
    </row>
    <row r="1614" spans="1:15" x14ac:dyDescent="0.35">
      <c r="A1614" t="s">
        <v>2321</v>
      </c>
      <c r="B1614" s="5" t="s">
        <v>12</v>
      </c>
      <c r="C1614" s="4" t="s">
        <v>55</v>
      </c>
      <c r="D1614" s="4" t="s">
        <v>82</v>
      </c>
      <c r="E1614" s="4" t="s">
        <v>83</v>
      </c>
      <c r="F1614" s="4" t="s">
        <v>25</v>
      </c>
      <c r="G1614" s="4" t="s">
        <v>77</v>
      </c>
      <c r="H1614" s="4" t="s">
        <v>18</v>
      </c>
      <c r="I1614" s="4" t="s">
        <v>19</v>
      </c>
      <c r="J1614" s="3">
        <v>9</v>
      </c>
      <c r="K1614" s="6">
        <v>312255</v>
      </c>
      <c r="L1614" s="6">
        <f t="shared" si="75"/>
        <v>218578.5</v>
      </c>
      <c r="M1614" s="6">
        <v>93676.5</v>
      </c>
      <c r="N1614" s="5" t="str">
        <f t="shared" si="76"/>
        <v>Jul</v>
      </c>
      <c r="O1614" s="5" t="str">
        <f t="shared" si="77"/>
        <v xml:space="preserve"> 2024</v>
      </c>
    </row>
    <row r="1615" spans="1:15" x14ac:dyDescent="0.35">
      <c r="A1615" t="s">
        <v>2322</v>
      </c>
      <c r="B1615" s="5" t="s">
        <v>257</v>
      </c>
      <c r="C1615" s="4" t="s">
        <v>13</v>
      </c>
      <c r="D1615" s="4" t="s">
        <v>14</v>
      </c>
      <c r="E1615" s="4" t="s">
        <v>15</v>
      </c>
      <c r="F1615" s="4" t="s">
        <v>25</v>
      </c>
      <c r="G1615" s="4" t="s">
        <v>71</v>
      </c>
      <c r="H1615" s="4" t="s">
        <v>27</v>
      </c>
      <c r="I1615" s="4" t="s">
        <v>19</v>
      </c>
      <c r="J1615" s="3">
        <v>8</v>
      </c>
      <c r="K1615" s="6">
        <v>398312</v>
      </c>
      <c r="L1615" s="6">
        <f t="shared" si="75"/>
        <v>278818.39999999997</v>
      </c>
      <c r="M1615" s="6">
        <v>119493.60000000003</v>
      </c>
      <c r="N1615" s="5" t="str">
        <f t="shared" si="76"/>
        <v>Nov</v>
      </c>
      <c r="O1615" s="5" t="str">
        <f t="shared" si="77"/>
        <v xml:space="preserve"> 2024</v>
      </c>
    </row>
    <row r="1616" spans="1:15" x14ac:dyDescent="0.35">
      <c r="A1616" t="s">
        <v>2323</v>
      </c>
      <c r="B1616" s="5" t="s">
        <v>652</v>
      </c>
      <c r="C1616" s="4" t="s">
        <v>31</v>
      </c>
      <c r="D1616" s="4" t="s">
        <v>50</v>
      </c>
      <c r="E1616" s="4" t="s">
        <v>51</v>
      </c>
      <c r="F1616" s="4" t="s">
        <v>37</v>
      </c>
      <c r="G1616" s="4" t="s">
        <v>38</v>
      </c>
      <c r="H1616" s="4" t="s">
        <v>27</v>
      </c>
      <c r="I1616" s="4" t="s">
        <v>39</v>
      </c>
      <c r="J1616" s="3">
        <v>4</v>
      </c>
      <c r="K1616" s="6">
        <v>67184</v>
      </c>
      <c r="L1616" s="6">
        <f t="shared" si="75"/>
        <v>47028.799999999996</v>
      </c>
      <c r="M1616" s="6">
        <v>20155.200000000004</v>
      </c>
      <c r="N1616" s="5" t="str">
        <f t="shared" si="76"/>
        <v>May</v>
      </c>
      <c r="O1616" s="5" t="str">
        <f t="shared" si="77"/>
        <v xml:space="preserve"> 2023</v>
      </c>
    </row>
    <row r="1617" spans="1:15" x14ac:dyDescent="0.35">
      <c r="A1617" t="s">
        <v>2324</v>
      </c>
      <c r="B1617" s="5" t="s">
        <v>267</v>
      </c>
      <c r="C1617" s="4" t="s">
        <v>13</v>
      </c>
      <c r="D1617" s="4" t="s">
        <v>118</v>
      </c>
      <c r="E1617" s="4" t="s">
        <v>119</v>
      </c>
      <c r="F1617" s="4" t="s">
        <v>25</v>
      </c>
      <c r="G1617" s="4" t="s">
        <v>77</v>
      </c>
      <c r="H1617" s="4" t="s">
        <v>27</v>
      </c>
      <c r="I1617" s="4" t="s">
        <v>39</v>
      </c>
      <c r="J1617" s="3">
        <v>10</v>
      </c>
      <c r="K1617" s="6">
        <v>102610</v>
      </c>
      <c r="L1617" s="6">
        <f t="shared" si="75"/>
        <v>71827</v>
      </c>
      <c r="M1617" s="6">
        <v>30783</v>
      </c>
      <c r="N1617" s="5" t="str">
        <f t="shared" si="76"/>
        <v>Aug</v>
      </c>
      <c r="O1617" s="5" t="str">
        <f t="shared" si="77"/>
        <v xml:space="preserve"> 2023</v>
      </c>
    </row>
    <row r="1618" spans="1:15" x14ac:dyDescent="0.35">
      <c r="A1618" t="s">
        <v>2325</v>
      </c>
      <c r="B1618" s="5" t="s">
        <v>295</v>
      </c>
      <c r="C1618" s="4" t="s">
        <v>22</v>
      </c>
      <c r="D1618" s="4" t="s">
        <v>90</v>
      </c>
      <c r="E1618" s="4" t="s">
        <v>110</v>
      </c>
      <c r="F1618" s="4" t="s">
        <v>16</v>
      </c>
      <c r="G1618" s="4" t="s">
        <v>42</v>
      </c>
      <c r="H1618" s="4" t="s">
        <v>18</v>
      </c>
      <c r="I1618" s="4" t="s">
        <v>47</v>
      </c>
      <c r="J1618" s="3">
        <v>9</v>
      </c>
      <c r="K1618" s="6">
        <v>445311</v>
      </c>
      <c r="L1618" s="6">
        <f t="shared" si="75"/>
        <v>311717.69999999995</v>
      </c>
      <c r="M1618" s="6">
        <v>133593.30000000005</v>
      </c>
      <c r="N1618" s="5" t="str">
        <f t="shared" si="76"/>
        <v>Aug</v>
      </c>
      <c r="O1618" s="5" t="str">
        <f t="shared" si="77"/>
        <v xml:space="preserve"> 2024</v>
      </c>
    </row>
    <row r="1619" spans="1:15" x14ac:dyDescent="0.35">
      <c r="A1619" t="s">
        <v>2326</v>
      </c>
      <c r="B1619" s="5" t="s">
        <v>1377</v>
      </c>
      <c r="C1619" s="4" t="s">
        <v>13</v>
      </c>
      <c r="D1619" s="4" t="s">
        <v>162</v>
      </c>
      <c r="E1619" s="4" t="s">
        <v>163</v>
      </c>
      <c r="F1619" s="4" t="s">
        <v>37</v>
      </c>
      <c r="G1619" s="4" t="s">
        <v>186</v>
      </c>
      <c r="H1619" s="4" t="s">
        <v>27</v>
      </c>
      <c r="I1619" s="4" t="s">
        <v>19</v>
      </c>
      <c r="J1619" s="3">
        <v>7</v>
      </c>
      <c r="K1619" s="6">
        <v>206297</v>
      </c>
      <c r="L1619" s="6">
        <f t="shared" si="75"/>
        <v>144407.9</v>
      </c>
      <c r="M1619" s="6">
        <v>61889.100000000006</v>
      </c>
      <c r="N1619" s="5" t="str">
        <f t="shared" si="76"/>
        <v>Jun</v>
      </c>
      <c r="O1619" s="5" t="str">
        <f t="shared" si="77"/>
        <v xml:space="preserve"> 2024</v>
      </c>
    </row>
    <row r="1620" spans="1:15" x14ac:dyDescent="0.35">
      <c r="A1620" t="s">
        <v>2327</v>
      </c>
      <c r="B1620" s="5" t="s">
        <v>963</v>
      </c>
      <c r="C1620" s="4" t="s">
        <v>31</v>
      </c>
      <c r="D1620" s="4" t="s">
        <v>32</v>
      </c>
      <c r="E1620" s="4" t="s">
        <v>33</v>
      </c>
      <c r="F1620" s="4" t="s">
        <v>16</v>
      </c>
      <c r="G1620" s="4" t="s">
        <v>42</v>
      </c>
      <c r="H1620" s="4" t="s">
        <v>72</v>
      </c>
      <c r="I1620" s="4" t="s">
        <v>19</v>
      </c>
      <c r="J1620" s="3">
        <v>2</v>
      </c>
      <c r="K1620" s="6">
        <v>47750</v>
      </c>
      <c r="L1620" s="6">
        <f t="shared" si="75"/>
        <v>33425</v>
      </c>
      <c r="M1620" s="6">
        <v>14325</v>
      </c>
      <c r="N1620" s="5" t="str">
        <f t="shared" si="76"/>
        <v>Sep</v>
      </c>
      <c r="O1620" s="5" t="str">
        <f t="shared" si="77"/>
        <v xml:space="preserve"> 2023</v>
      </c>
    </row>
    <row r="1621" spans="1:15" x14ac:dyDescent="0.35">
      <c r="A1621" t="s">
        <v>2328</v>
      </c>
      <c r="B1621" s="5" t="s">
        <v>1727</v>
      </c>
      <c r="C1621" s="4" t="s">
        <v>22</v>
      </c>
      <c r="D1621" s="4" t="s">
        <v>90</v>
      </c>
      <c r="E1621" s="4" t="s">
        <v>91</v>
      </c>
      <c r="F1621" s="4" t="s">
        <v>25</v>
      </c>
      <c r="G1621" s="4" t="s">
        <v>71</v>
      </c>
      <c r="H1621" s="4" t="s">
        <v>72</v>
      </c>
      <c r="I1621" s="4" t="s">
        <v>39</v>
      </c>
      <c r="J1621" s="3">
        <v>2</v>
      </c>
      <c r="K1621" s="6">
        <v>9032</v>
      </c>
      <c r="L1621" s="6">
        <f t="shared" si="75"/>
        <v>6322.4</v>
      </c>
      <c r="M1621" s="6">
        <v>2709.6000000000004</v>
      </c>
      <c r="N1621" s="5" t="str">
        <f t="shared" si="76"/>
        <v>Oct</v>
      </c>
      <c r="O1621" s="5" t="str">
        <f t="shared" si="77"/>
        <v xml:space="preserve"> 2023</v>
      </c>
    </row>
    <row r="1622" spans="1:15" x14ac:dyDescent="0.35">
      <c r="A1622" t="s">
        <v>2329</v>
      </c>
      <c r="B1622" s="5" t="s">
        <v>593</v>
      </c>
      <c r="C1622" s="4" t="s">
        <v>13</v>
      </c>
      <c r="D1622" s="4" t="s">
        <v>118</v>
      </c>
      <c r="E1622" s="4" t="s">
        <v>119</v>
      </c>
      <c r="F1622" s="4" t="s">
        <v>37</v>
      </c>
      <c r="G1622" s="4" t="s">
        <v>186</v>
      </c>
      <c r="H1622" s="4" t="s">
        <v>72</v>
      </c>
      <c r="I1622" s="4" t="s">
        <v>28</v>
      </c>
      <c r="J1622" s="3">
        <v>5</v>
      </c>
      <c r="K1622" s="6">
        <v>173960</v>
      </c>
      <c r="L1622" s="6">
        <f t="shared" si="75"/>
        <v>121771.99999999999</v>
      </c>
      <c r="M1622" s="6">
        <v>52188.000000000015</v>
      </c>
      <c r="N1622" s="5" t="str">
        <f t="shared" si="76"/>
        <v>Dec</v>
      </c>
      <c r="O1622" s="5" t="str">
        <f t="shared" si="77"/>
        <v xml:space="preserve"> 2023</v>
      </c>
    </row>
    <row r="1623" spans="1:15" x14ac:dyDescent="0.35">
      <c r="A1623" t="s">
        <v>2330</v>
      </c>
      <c r="B1623" s="5" t="s">
        <v>2331</v>
      </c>
      <c r="C1623" s="4" t="s">
        <v>13</v>
      </c>
      <c r="D1623" s="4" t="s">
        <v>162</v>
      </c>
      <c r="E1623" s="4" t="s">
        <v>163</v>
      </c>
      <c r="F1623" s="4" t="s">
        <v>37</v>
      </c>
      <c r="G1623" s="4" t="s">
        <v>148</v>
      </c>
      <c r="H1623" s="4" t="s">
        <v>27</v>
      </c>
      <c r="I1623" s="4" t="s">
        <v>19</v>
      </c>
      <c r="J1623" s="3">
        <v>10</v>
      </c>
      <c r="K1623" s="6">
        <v>39240</v>
      </c>
      <c r="L1623" s="6">
        <f t="shared" si="75"/>
        <v>27468</v>
      </c>
      <c r="M1623" s="6">
        <v>11772</v>
      </c>
      <c r="N1623" s="5" t="str">
        <f t="shared" si="76"/>
        <v>Sep</v>
      </c>
      <c r="O1623" s="5" t="str">
        <f t="shared" si="77"/>
        <v xml:space="preserve"> 2023</v>
      </c>
    </row>
    <row r="1624" spans="1:15" x14ac:dyDescent="0.35">
      <c r="A1624" t="s">
        <v>2332</v>
      </c>
      <c r="B1624" s="5" t="s">
        <v>793</v>
      </c>
      <c r="C1624" s="4" t="s">
        <v>13</v>
      </c>
      <c r="D1624" s="4" t="s">
        <v>162</v>
      </c>
      <c r="E1624" s="4" t="s">
        <v>163</v>
      </c>
      <c r="F1624" s="4" t="s">
        <v>25</v>
      </c>
      <c r="G1624" s="4" t="s">
        <v>77</v>
      </c>
      <c r="H1624" s="4" t="s">
        <v>72</v>
      </c>
      <c r="I1624" s="4" t="s">
        <v>47</v>
      </c>
      <c r="J1624" s="3">
        <v>7</v>
      </c>
      <c r="K1624" s="6">
        <v>216328</v>
      </c>
      <c r="L1624" s="6">
        <f t="shared" si="75"/>
        <v>151429.59999999998</v>
      </c>
      <c r="M1624" s="6">
        <v>64898.400000000023</v>
      </c>
      <c r="N1624" s="5" t="str">
        <f t="shared" si="76"/>
        <v>May</v>
      </c>
      <c r="O1624" s="5" t="str">
        <f t="shared" si="77"/>
        <v xml:space="preserve"> 2023</v>
      </c>
    </row>
    <row r="1625" spans="1:15" x14ac:dyDescent="0.35">
      <c r="A1625" t="s">
        <v>2333</v>
      </c>
      <c r="B1625" s="5" t="s">
        <v>257</v>
      </c>
      <c r="C1625" s="4" t="s">
        <v>55</v>
      </c>
      <c r="D1625" s="4" t="s">
        <v>82</v>
      </c>
      <c r="E1625" s="4" t="s">
        <v>83</v>
      </c>
      <c r="F1625" s="4" t="s">
        <v>25</v>
      </c>
      <c r="G1625" s="4" t="s">
        <v>26</v>
      </c>
      <c r="H1625" s="4" t="s">
        <v>18</v>
      </c>
      <c r="I1625" s="4" t="s">
        <v>39</v>
      </c>
      <c r="J1625" s="3">
        <v>6</v>
      </c>
      <c r="K1625" s="6">
        <v>61434</v>
      </c>
      <c r="L1625" s="6">
        <f t="shared" si="75"/>
        <v>43003.799999999996</v>
      </c>
      <c r="M1625" s="6">
        <v>18430.200000000004</v>
      </c>
      <c r="N1625" s="5" t="str">
        <f t="shared" si="76"/>
        <v>Nov</v>
      </c>
      <c r="O1625" s="5" t="str">
        <f t="shared" si="77"/>
        <v xml:space="preserve"> 2024</v>
      </c>
    </row>
    <row r="1626" spans="1:15" x14ac:dyDescent="0.35">
      <c r="A1626" t="s">
        <v>2334</v>
      </c>
      <c r="B1626" s="5" t="s">
        <v>1835</v>
      </c>
      <c r="C1626" s="4" t="s">
        <v>13</v>
      </c>
      <c r="D1626" s="4" t="s">
        <v>118</v>
      </c>
      <c r="E1626" s="4" t="s">
        <v>119</v>
      </c>
      <c r="F1626" s="4" t="s">
        <v>67</v>
      </c>
      <c r="G1626" s="4" t="s">
        <v>134</v>
      </c>
      <c r="H1626" s="4" t="s">
        <v>18</v>
      </c>
      <c r="I1626" s="4" t="s">
        <v>19</v>
      </c>
      <c r="J1626" s="3">
        <v>4</v>
      </c>
      <c r="K1626" s="6">
        <v>23756</v>
      </c>
      <c r="L1626" s="6">
        <f t="shared" si="75"/>
        <v>16629.2</v>
      </c>
      <c r="M1626" s="6">
        <v>7126.7999999999993</v>
      </c>
      <c r="N1626" s="5" t="str">
        <f t="shared" si="76"/>
        <v>Feb</v>
      </c>
      <c r="O1626" s="5" t="str">
        <f t="shared" si="77"/>
        <v xml:space="preserve"> 2024</v>
      </c>
    </row>
    <row r="1627" spans="1:15" x14ac:dyDescent="0.35">
      <c r="A1627" t="s">
        <v>2335</v>
      </c>
      <c r="B1627" s="5" t="s">
        <v>145</v>
      </c>
      <c r="C1627" s="4" t="s">
        <v>31</v>
      </c>
      <c r="D1627" s="4" t="s">
        <v>50</v>
      </c>
      <c r="E1627" s="4" t="s">
        <v>51</v>
      </c>
      <c r="F1627" s="4" t="s">
        <v>16</v>
      </c>
      <c r="G1627" s="4" t="s">
        <v>122</v>
      </c>
      <c r="H1627" s="4" t="s">
        <v>72</v>
      </c>
      <c r="I1627" s="4" t="s">
        <v>60</v>
      </c>
      <c r="J1627" s="3">
        <v>8</v>
      </c>
      <c r="K1627" s="6">
        <v>205152</v>
      </c>
      <c r="L1627" s="6">
        <f t="shared" si="75"/>
        <v>143606.39999999999</v>
      </c>
      <c r="M1627" s="6">
        <v>61545.600000000006</v>
      </c>
      <c r="N1627" s="5" t="str">
        <f t="shared" si="76"/>
        <v>Jun</v>
      </c>
      <c r="O1627" s="5" t="str">
        <f t="shared" si="77"/>
        <v xml:space="preserve"> 2024</v>
      </c>
    </row>
    <row r="1628" spans="1:15" x14ac:dyDescent="0.35">
      <c r="A1628" t="s">
        <v>2336</v>
      </c>
      <c r="B1628" s="5" t="s">
        <v>1661</v>
      </c>
      <c r="C1628" s="4" t="s">
        <v>13</v>
      </c>
      <c r="D1628" s="4" t="s">
        <v>125</v>
      </c>
      <c r="E1628" s="4" t="s">
        <v>126</v>
      </c>
      <c r="F1628" s="4" t="s">
        <v>37</v>
      </c>
      <c r="G1628" s="4" t="s">
        <v>148</v>
      </c>
      <c r="H1628" s="4" t="s">
        <v>72</v>
      </c>
      <c r="I1628" s="4" t="s">
        <v>28</v>
      </c>
      <c r="J1628" s="3">
        <v>9</v>
      </c>
      <c r="K1628" s="6">
        <v>240966</v>
      </c>
      <c r="L1628" s="6">
        <f t="shared" si="75"/>
        <v>168676.19999999998</v>
      </c>
      <c r="M1628" s="6">
        <v>72289.800000000017</v>
      </c>
      <c r="N1628" s="5" t="str">
        <f t="shared" si="76"/>
        <v>May</v>
      </c>
      <c r="O1628" s="5" t="str">
        <f t="shared" si="77"/>
        <v xml:space="preserve"> 2023</v>
      </c>
    </row>
    <row r="1629" spans="1:15" x14ac:dyDescent="0.35">
      <c r="A1629" t="s">
        <v>2337</v>
      </c>
      <c r="B1629" s="5" t="s">
        <v>1055</v>
      </c>
      <c r="C1629" s="4" t="s">
        <v>22</v>
      </c>
      <c r="D1629" s="4" t="s">
        <v>90</v>
      </c>
      <c r="E1629" s="4" t="s">
        <v>91</v>
      </c>
      <c r="F1629" s="4" t="s">
        <v>67</v>
      </c>
      <c r="G1629" s="4" t="s">
        <v>134</v>
      </c>
      <c r="H1629" s="4" t="s">
        <v>72</v>
      </c>
      <c r="I1629" s="4" t="s">
        <v>19</v>
      </c>
      <c r="J1629" s="3">
        <v>5</v>
      </c>
      <c r="K1629" s="6">
        <v>147610</v>
      </c>
      <c r="L1629" s="6">
        <f t="shared" si="75"/>
        <v>103327</v>
      </c>
      <c r="M1629" s="6">
        <v>44283</v>
      </c>
      <c r="N1629" s="5" t="str">
        <f t="shared" si="76"/>
        <v>Nov</v>
      </c>
      <c r="O1629" s="5" t="str">
        <f t="shared" si="77"/>
        <v xml:space="preserve"> 2023</v>
      </c>
    </row>
    <row r="1630" spans="1:15" x14ac:dyDescent="0.35">
      <c r="A1630" t="s">
        <v>2338</v>
      </c>
      <c r="B1630" s="5" t="s">
        <v>1563</v>
      </c>
      <c r="C1630" s="4" t="s">
        <v>55</v>
      </c>
      <c r="D1630" s="4" t="s">
        <v>63</v>
      </c>
      <c r="E1630" s="4" t="s">
        <v>64</v>
      </c>
      <c r="F1630" s="4" t="s">
        <v>16</v>
      </c>
      <c r="G1630" s="4" t="s">
        <v>122</v>
      </c>
      <c r="H1630" s="4" t="s">
        <v>72</v>
      </c>
      <c r="I1630" s="4" t="s">
        <v>19</v>
      </c>
      <c r="J1630" s="3">
        <v>5</v>
      </c>
      <c r="K1630" s="6">
        <v>14975</v>
      </c>
      <c r="L1630" s="6">
        <f t="shared" si="75"/>
        <v>10482.5</v>
      </c>
      <c r="M1630" s="6">
        <v>4492.5</v>
      </c>
      <c r="N1630" s="5" t="str">
        <f t="shared" si="76"/>
        <v>Jun</v>
      </c>
      <c r="O1630" s="5" t="str">
        <f t="shared" si="77"/>
        <v xml:space="preserve"> 2024</v>
      </c>
    </row>
    <row r="1631" spans="1:15" x14ac:dyDescent="0.35">
      <c r="A1631" t="s">
        <v>2339</v>
      </c>
      <c r="B1631" s="5" t="s">
        <v>1318</v>
      </c>
      <c r="C1631" s="4" t="s">
        <v>31</v>
      </c>
      <c r="D1631" s="4" t="s">
        <v>45</v>
      </c>
      <c r="E1631" s="4" t="s">
        <v>46</v>
      </c>
      <c r="F1631" s="4" t="s">
        <v>37</v>
      </c>
      <c r="G1631" s="4" t="s">
        <v>183</v>
      </c>
      <c r="H1631" s="4" t="s">
        <v>72</v>
      </c>
      <c r="I1631" s="4" t="s">
        <v>39</v>
      </c>
      <c r="J1631" s="3">
        <v>4</v>
      </c>
      <c r="K1631" s="6">
        <v>123004</v>
      </c>
      <c r="L1631" s="6">
        <f t="shared" si="75"/>
        <v>86102.799999999988</v>
      </c>
      <c r="M1631" s="6">
        <v>36901.200000000012</v>
      </c>
      <c r="N1631" s="5" t="str">
        <f t="shared" si="76"/>
        <v>Nov</v>
      </c>
      <c r="O1631" s="5" t="str">
        <f t="shared" si="77"/>
        <v xml:space="preserve"> 2023</v>
      </c>
    </row>
    <row r="1632" spans="1:15" x14ac:dyDescent="0.35">
      <c r="A1632" t="s">
        <v>2340</v>
      </c>
      <c r="B1632" s="5" t="s">
        <v>658</v>
      </c>
      <c r="C1632" s="4" t="s">
        <v>31</v>
      </c>
      <c r="D1632" s="4" t="s">
        <v>50</v>
      </c>
      <c r="E1632" s="4" t="s">
        <v>51</v>
      </c>
      <c r="F1632" s="4" t="s">
        <v>16</v>
      </c>
      <c r="G1632" s="4" t="s">
        <v>42</v>
      </c>
      <c r="H1632" s="4" t="s">
        <v>72</v>
      </c>
      <c r="I1632" s="4" t="s">
        <v>60</v>
      </c>
      <c r="J1632" s="3">
        <v>3</v>
      </c>
      <c r="K1632" s="6">
        <v>23346</v>
      </c>
      <c r="L1632" s="6">
        <f t="shared" si="75"/>
        <v>16342.199999999999</v>
      </c>
      <c r="M1632" s="6">
        <v>7003.8000000000011</v>
      </c>
      <c r="N1632" s="5" t="str">
        <f t="shared" si="76"/>
        <v>Jan</v>
      </c>
      <c r="O1632" s="5" t="str">
        <f t="shared" si="77"/>
        <v xml:space="preserve"> 2023</v>
      </c>
    </row>
    <row r="1633" spans="1:15" x14ac:dyDescent="0.35">
      <c r="A1633" t="s">
        <v>2341</v>
      </c>
      <c r="B1633" s="5" t="s">
        <v>727</v>
      </c>
      <c r="C1633" s="4" t="s">
        <v>13</v>
      </c>
      <c r="D1633" s="4" t="s">
        <v>125</v>
      </c>
      <c r="E1633" s="4" t="s">
        <v>126</v>
      </c>
      <c r="F1633" s="4" t="s">
        <v>16</v>
      </c>
      <c r="G1633" s="4" t="s">
        <v>42</v>
      </c>
      <c r="H1633" s="4" t="s">
        <v>27</v>
      </c>
      <c r="I1633" s="4" t="s">
        <v>19</v>
      </c>
      <c r="J1633" s="3">
        <v>7</v>
      </c>
      <c r="K1633" s="6">
        <v>150801</v>
      </c>
      <c r="L1633" s="6">
        <f t="shared" si="75"/>
        <v>105560.7</v>
      </c>
      <c r="M1633" s="6">
        <v>45240.3</v>
      </c>
      <c r="N1633" s="5" t="str">
        <f t="shared" si="76"/>
        <v>Apr</v>
      </c>
      <c r="O1633" s="5" t="str">
        <f t="shared" si="77"/>
        <v xml:space="preserve"> 2023</v>
      </c>
    </row>
    <row r="1634" spans="1:15" x14ac:dyDescent="0.35">
      <c r="A1634" t="s">
        <v>2342</v>
      </c>
      <c r="B1634" s="5" t="s">
        <v>197</v>
      </c>
      <c r="C1634" s="4" t="s">
        <v>55</v>
      </c>
      <c r="D1634" s="4" t="s">
        <v>63</v>
      </c>
      <c r="E1634" s="4" t="s">
        <v>64</v>
      </c>
      <c r="F1634" s="4" t="s">
        <v>37</v>
      </c>
      <c r="G1634" s="4" t="s">
        <v>38</v>
      </c>
      <c r="H1634" s="4" t="s">
        <v>18</v>
      </c>
      <c r="I1634" s="4" t="s">
        <v>47</v>
      </c>
      <c r="J1634" s="3">
        <v>5</v>
      </c>
      <c r="K1634" s="6">
        <v>172595</v>
      </c>
      <c r="L1634" s="6">
        <f t="shared" si="75"/>
        <v>120816.49999999999</v>
      </c>
      <c r="M1634" s="6">
        <v>51778.500000000015</v>
      </c>
      <c r="N1634" s="5" t="str">
        <f t="shared" si="76"/>
        <v>Apr</v>
      </c>
      <c r="O1634" s="5" t="str">
        <f t="shared" si="77"/>
        <v xml:space="preserve"> 2024</v>
      </c>
    </row>
    <row r="1635" spans="1:15" x14ac:dyDescent="0.35">
      <c r="A1635" t="s">
        <v>2343</v>
      </c>
      <c r="B1635" s="5" t="s">
        <v>748</v>
      </c>
      <c r="C1635" s="4" t="s">
        <v>31</v>
      </c>
      <c r="D1635" s="4" t="s">
        <v>104</v>
      </c>
      <c r="E1635" s="4" t="s">
        <v>105</v>
      </c>
      <c r="F1635" s="4" t="s">
        <v>25</v>
      </c>
      <c r="G1635" s="4" t="s">
        <v>77</v>
      </c>
      <c r="H1635" s="4" t="s">
        <v>72</v>
      </c>
      <c r="I1635" s="4" t="s">
        <v>47</v>
      </c>
      <c r="J1635" s="3">
        <v>2</v>
      </c>
      <c r="K1635" s="6">
        <v>62320</v>
      </c>
      <c r="L1635" s="6">
        <f t="shared" si="75"/>
        <v>43624</v>
      </c>
      <c r="M1635" s="6">
        <v>18696</v>
      </c>
      <c r="N1635" s="5" t="str">
        <f t="shared" si="76"/>
        <v>Jun</v>
      </c>
      <c r="O1635" s="5" t="str">
        <f t="shared" si="77"/>
        <v xml:space="preserve"> 2023</v>
      </c>
    </row>
    <row r="1636" spans="1:15" x14ac:dyDescent="0.35">
      <c r="A1636" t="s">
        <v>2344</v>
      </c>
      <c r="B1636" s="5" t="s">
        <v>583</v>
      </c>
      <c r="C1636" s="4" t="s">
        <v>31</v>
      </c>
      <c r="D1636" s="4" t="s">
        <v>50</v>
      </c>
      <c r="E1636" s="4" t="s">
        <v>51</v>
      </c>
      <c r="F1636" s="4" t="s">
        <v>16</v>
      </c>
      <c r="G1636" s="4" t="s">
        <v>42</v>
      </c>
      <c r="H1636" s="4" t="s">
        <v>27</v>
      </c>
      <c r="I1636" s="4" t="s">
        <v>28</v>
      </c>
      <c r="J1636" s="3">
        <v>2</v>
      </c>
      <c r="K1636" s="6">
        <v>16220</v>
      </c>
      <c r="L1636" s="6">
        <f t="shared" si="75"/>
        <v>11354</v>
      </c>
      <c r="M1636" s="6">
        <v>4866</v>
      </c>
      <c r="N1636" s="5" t="str">
        <f t="shared" si="76"/>
        <v>Mar</v>
      </c>
      <c r="O1636" s="5" t="str">
        <f t="shared" si="77"/>
        <v xml:space="preserve"> 2023</v>
      </c>
    </row>
    <row r="1637" spans="1:15" x14ac:dyDescent="0.35">
      <c r="A1637" t="s">
        <v>2345</v>
      </c>
      <c r="B1637" s="5" t="s">
        <v>2346</v>
      </c>
      <c r="C1637" s="4" t="s">
        <v>55</v>
      </c>
      <c r="D1637" s="4" t="s">
        <v>56</v>
      </c>
      <c r="E1637" s="4" t="s">
        <v>57</v>
      </c>
      <c r="F1637" s="4" t="s">
        <v>25</v>
      </c>
      <c r="G1637" s="4" t="s">
        <v>26</v>
      </c>
      <c r="H1637" s="4" t="s">
        <v>72</v>
      </c>
      <c r="I1637" s="4" t="s">
        <v>60</v>
      </c>
      <c r="J1637" s="3">
        <v>8</v>
      </c>
      <c r="K1637" s="6">
        <v>295544</v>
      </c>
      <c r="L1637" s="6">
        <f t="shared" si="75"/>
        <v>206880.8</v>
      </c>
      <c r="M1637" s="6">
        <v>88663.200000000012</v>
      </c>
      <c r="N1637" s="5" t="str">
        <f t="shared" si="76"/>
        <v>Nov</v>
      </c>
      <c r="O1637" s="5" t="str">
        <f t="shared" si="77"/>
        <v xml:space="preserve"> 2024</v>
      </c>
    </row>
    <row r="1638" spans="1:15" x14ac:dyDescent="0.35">
      <c r="A1638" t="s">
        <v>2347</v>
      </c>
      <c r="B1638" s="5" t="s">
        <v>1404</v>
      </c>
      <c r="C1638" s="4" t="s">
        <v>55</v>
      </c>
      <c r="D1638" s="4" t="s">
        <v>98</v>
      </c>
      <c r="E1638" s="4" t="s">
        <v>99</v>
      </c>
      <c r="F1638" s="4" t="s">
        <v>67</v>
      </c>
      <c r="G1638" s="4" t="s">
        <v>113</v>
      </c>
      <c r="H1638" s="4" t="s">
        <v>27</v>
      </c>
      <c r="I1638" s="4" t="s">
        <v>60</v>
      </c>
      <c r="J1638" s="3">
        <v>2</v>
      </c>
      <c r="K1638" s="6">
        <v>28440</v>
      </c>
      <c r="L1638" s="6">
        <f t="shared" si="75"/>
        <v>19908</v>
      </c>
      <c r="M1638" s="6">
        <v>8532</v>
      </c>
      <c r="N1638" s="5" t="str">
        <f t="shared" si="76"/>
        <v>Jan</v>
      </c>
      <c r="O1638" s="5" t="str">
        <f t="shared" si="77"/>
        <v xml:space="preserve"> 2023</v>
      </c>
    </row>
    <row r="1639" spans="1:15" x14ac:dyDescent="0.35">
      <c r="A1639" t="s">
        <v>2348</v>
      </c>
      <c r="B1639" s="5" t="s">
        <v>880</v>
      </c>
      <c r="C1639" s="4" t="s">
        <v>31</v>
      </c>
      <c r="D1639" s="4" t="s">
        <v>32</v>
      </c>
      <c r="E1639" s="4" t="s">
        <v>33</v>
      </c>
      <c r="F1639" s="4" t="s">
        <v>25</v>
      </c>
      <c r="G1639" s="4" t="s">
        <v>71</v>
      </c>
      <c r="H1639" s="4" t="s">
        <v>18</v>
      </c>
      <c r="I1639" s="4" t="s">
        <v>60</v>
      </c>
      <c r="J1639" s="3">
        <v>9</v>
      </c>
      <c r="K1639" s="6">
        <v>355977</v>
      </c>
      <c r="L1639" s="6">
        <f t="shared" si="75"/>
        <v>249183.9</v>
      </c>
      <c r="M1639" s="6">
        <v>106793.1</v>
      </c>
      <c r="N1639" s="5" t="str">
        <f t="shared" si="76"/>
        <v>Oct</v>
      </c>
      <c r="O1639" s="5" t="str">
        <f t="shared" si="77"/>
        <v xml:space="preserve"> 2024</v>
      </c>
    </row>
    <row r="1640" spans="1:15" x14ac:dyDescent="0.35">
      <c r="A1640" t="s">
        <v>2349</v>
      </c>
      <c r="B1640" s="5" t="s">
        <v>454</v>
      </c>
      <c r="C1640" s="4" t="s">
        <v>13</v>
      </c>
      <c r="D1640" s="4" t="s">
        <v>125</v>
      </c>
      <c r="E1640" s="4" t="s">
        <v>126</v>
      </c>
      <c r="F1640" s="4" t="s">
        <v>67</v>
      </c>
      <c r="G1640" s="4" t="s">
        <v>68</v>
      </c>
      <c r="H1640" s="4" t="s">
        <v>18</v>
      </c>
      <c r="I1640" s="4" t="s">
        <v>28</v>
      </c>
      <c r="J1640" s="3">
        <v>3</v>
      </c>
      <c r="K1640" s="6">
        <v>45015</v>
      </c>
      <c r="L1640" s="6">
        <f t="shared" si="75"/>
        <v>31510.499999999996</v>
      </c>
      <c r="M1640" s="6">
        <v>13504.500000000004</v>
      </c>
      <c r="N1640" s="5" t="str">
        <f t="shared" si="76"/>
        <v>Aug</v>
      </c>
      <c r="O1640" s="5" t="str">
        <f t="shared" si="77"/>
        <v xml:space="preserve"> 2023</v>
      </c>
    </row>
    <row r="1641" spans="1:15" x14ac:dyDescent="0.35">
      <c r="A1641" t="s">
        <v>2350</v>
      </c>
      <c r="B1641" s="5" t="s">
        <v>877</v>
      </c>
      <c r="C1641" s="4" t="s">
        <v>55</v>
      </c>
      <c r="D1641" s="4" t="s">
        <v>63</v>
      </c>
      <c r="E1641" s="4" t="s">
        <v>64</v>
      </c>
      <c r="F1641" s="4" t="s">
        <v>16</v>
      </c>
      <c r="G1641" s="4" t="s">
        <v>34</v>
      </c>
      <c r="H1641" s="4" t="s">
        <v>72</v>
      </c>
      <c r="I1641" s="4" t="s">
        <v>47</v>
      </c>
      <c r="J1641" s="3">
        <v>10</v>
      </c>
      <c r="K1641" s="6">
        <v>466340</v>
      </c>
      <c r="L1641" s="6">
        <f t="shared" si="75"/>
        <v>326438</v>
      </c>
      <c r="M1641" s="6">
        <v>139902</v>
      </c>
      <c r="N1641" s="5" t="str">
        <f t="shared" si="76"/>
        <v>Sep</v>
      </c>
      <c r="O1641" s="5" t="str">
        <f t="shared" si="77"/>
        <v xml:space="preserve"> 2023</v>
      </c>
    </row>
    <row r="1642" spans="1:15" x14ac:dyDescent="0.35">
      <c r="A1642" t="s">
        <v>2351</v>
      </c>
      <c r="B1642" s="5" t="s">
        <v>692</v>
      </c>
      <c r="C1642" s="4" t="s">
        <v>31</v>
      </c>
      <c r="D1642" s="4" t="s">
        <v>32</v>
      </c>
      <c r="E1642" s="4" t="s">
        <v>33</v>
      </c>
      <c r="F1642" s="4" t="s">
        <v>25</v>
      </c>
      <c r="G1642" s="4" t="s">
        <v>77</v>
      </c>
      <c r="H1642" s="4" t="s">
        <v>27</v>
      </c>
      <c r="I1642" s="4" t="s">
        <v>28</v>
      </c>
      <c r="J1642" s="3">
        <v>6</v>
      </c>
      <c r="K1642" s="6">
        <v>91266</v>
      </c>
      <c r="L1642" s="6">
        <f t="shared" si="75"/>
        <v>63886.2</v>
      </c>
      <c r="M1642" s="6">
        <v>27379.800000000003</v>
      </c>
      <c r="N1642" s="5" t="str">
        <f t="shared" si="76"/>
        <v>Mar</v>
      </c>
      <c r="O1642" s="5" t="str">
        <f t="shared" si="77"/>
        <v xml:space="preserve"> 2024</v>
      </c>
    </row>
    <row r="1643" spans="1:15" x14ac:dyDescent="0.35">
      <c r="A1643" t="s">
        <v>2352</v>
      </c>
      <c r="B1643" s="5" t="s">
        <v>2353</v>
      </c>
      <c r="C1643" s="4" t="s">
        <v>22</v>
      </c>
      <c r="D1643" s="4" t="s">
        <v>86</v>
      </c>
      <c r="E1643" s="4" t="s">
        <v>87</v>
      </c>
      <c r="F1643" s="4" t="s">
        <v>37</v>
      </c>
      <c r="G1643" s="4" t="s">
        <v>186</v>
      </c>
      <c r="H1643" s="4" t="s">
        <v>72</v>
      </c>
      <c r="I1643" s="4" t="s">
        <v>19</v>
      </c>
      <c r="J1643" s="3">
        <v>2</v>
      </c>
      <c r="K1643" s="6">
        <v>12142</v>
      </c>
      <c r="L1643" s="6">
        <f t="shared" si="75"/>
        <v>8499.4</v>
      </c>
      <c r="M1643" s="6">
        <v>3642.6000000000004</v>
      </c>
      <c r="N1643" s="5" t="str">
        <f t="shared" si="76"/>
        <v>Jun</v>
      </c>
      <c r="O1643" s="5" t="str">
        <f t="shared" si="77"/>
        <v xml:space="preserve"> 2024</v>
      </c>
    </row>
    <row r="1644" spans="1:15" x14ac:dyDescent="0.35">
      <c r="A1644" t="s">
        <v>2354</v>
      </c>
      <c r="B1644" s="5" t="s">
        <v>1229</v>
      </c>
      <c r="C1644" s="4" t="s">
        <v>55</v>
      </c>
      <c r="D1644" s="4" t="s">
        <v>82</v>
      </c>
      <c r="E1644" s="4" t="s">
        <v>83</v>
      </c>
      <c r="F1644" s="4" t="s">
        <v>16</v>
      </c>
      <c r="G1644" s="4" t="s">
        <v>34</v>
      </c>
      <c r="H1644" s="4" t="s">
        <v>72</v>
      </c>
      <c r="I1644" s="4" t="s">
        <v>47</v>
      </c>
      <c r="J1644" s="3">
        <v>7</v>
      </c>
      <c r="K1644" s="6">
        <v>222670</v>
      </c>
      <c r="L1644" s="6">
        <f t="shared" si="75"/>
        <v>155869</v>
      </c>
      <c r="M1644" s="6">
        <v>66801</v>
      </c>
      <c r="N1644" s="5" t="str">
        <f t="shared" si="76"/>
        <v>May</v>
      </c>
      <c r="O1644" s="5" t="str">
        <f t="shared" si="77"/>
        <v xml:space="preserve"> 2023</v>
      </c>
    </row>
    <row r="1645" spans="1:15" x14ac:dyDescent="0.35">
      <c r="A1645" t="s">
        <v>2355</v>
      </c>
      <c r="B1645" s="5" t="s">
        <v>2356</v>
      </c>
      <c r="C1645" s="4" t="s">
        <v>22</v>
      </c>
      <c r="D1645" s="4" t="s">
        <v>86</v>
      </c>
      <c r="E1645" s="4" t="s">
        <v>87</v>
      </c>
      <c r="F1645" s="4" t="s">
        <v>37</v>
      </c>
      <c r="G1645" s="4" t="s">
        <v>183</v>
      </c>
      <c r="H1645" s="4" t="s">
        <v>72</v>
      </c>
      <c r="I1645" s="4" t="s">
        <v>28</v>
      </c>
      <c r="J1645" s="3">
        <v>7</v>
      </c>
      <c r="K1645" s="6">
        <v>80696</v>
      </c>
      <c r="L1645" s="6">
        <f t="shared" si="75"/>
        <v>56487.199999999997</v>
      </c>
      <c r="M1645" s="6">
        <v>24208.800000000003</v>
      </c>
      <c r="N1645" s="5" t="str">
        <f t="shared" si="76"/>
        <v>Mar</v>
      </c>
      <c r="O1645" s="5" t="str">
        <f t="shared" si="77"/>
        <v xml:space="preserve"> 2024</v>
      </c>
    </row>
    <row r="1646" spans="1:15" x14ac:dyDescent="0.35">
      <c r="A1646" t="s">
        <v>2357</v>
      </c>
      <c r="B1646" s="5" t="s">
        <v>2358</v>
      </c>
      <c r="C1646" s="4" t="s">
        <v>13</v>
      </c>
      <c r="D1646" s="4" t="s">
        <v>125</v>
      </c>
      <c r="E1646" s="4" t="s">
        <v>126</v>
      </c>
      <c r="F1646" s="4" t="s">
        <v>25</v>
      </c>
      <c r="G1646" s="4" t="s">
        <v>77</v>
      </c>
      <c r="H1646" s="4" t="s">
        <v>27</v>
      </c>
      <c r="I1646" s="4" t="s">
        <v>28</v>
      </c>
      <c r="J1646" s="3">
        <v>1</v>
      </c>
      <c r="K1646" s="6">
        <v>30078</v>
      </c>
      <c r="L1646" s="6">
        <f t="shared" si="75"/>
        <v>21054.6</v>
      </c>
      <c r="M1646" s="6">
        <v>9023.4000000000015</v>
      </c>
      <c r="N1646" s="5" t="str">
        <f t="shared" si="76"/>
        <v>Aug</v>
      </c>
      <c r="O1646" s="5" t="str">
        <f t="shared" si="77"/>
        <v xml:space="preserve"> 2024</v>
      </c>
    </row>
    <row r="1647" spans="1:15" x14ac:dyDescent="0.35">
      <c r="A1647" t="s">
        <v>2359</v>
      </c>
      <c r="B1647" s="5" t="s">
        <v>192</v>
      </c>
      <c r="C1647" s="4" t="s">
        <v>22</v>
      </c>
      <c r="D1647" s="4" t="s">
        <v>23</v>
      </c>
      <c r="E1647" s="4" t="s">
        <v>24</v>
      </c>
      <c r="F1647" s="4" t="s">
        <v>25</v>
      </c>
      <c r="G1647" s="4" t="s">
        <v>71</v>
      </c>
      <c r="H1647" s="4" t="s">
        <v>18</v>
      </c>
      <c r="I1647" s="4" t="s">
        <v>60</v>
      </c>
      <c r="J1647" s="3">
        <v>2</v>
      </c>
      <c r="K1647" s="6">
        <v>6742</v>
      </c>
      <c r="L1647" s="6">
        <f t="shared" si="75"/>
        <v>4719.3999999999996</v>
      </c>
      <c r="M1647" s="6">
        <v>2022.6000000000004</v>
      </c>
      <c r="N1647" s="5" t="str">
        <f t="shared" si="76"/>
        <v>Sep</v>
      </c>
      <c r="O1647" s="5" t="str">
        <f t="shared" si="77"/>
        <v xml:space="preserve"> 2024</v>
      </c>
    </row>
    <row r="1648" spans="1:15" x14ac:dyDescent="0.35">
      <c r="A1648" t="s">
        <v>2360</v>
      </c>
      <c r="B1648" s="5" t="s">
        <v>1200</v>
      </c>
      <c r="C1648" s="4" t="s">
        <v>22</v>
      </c>
      <c r="D1648" s="4" t="s">
        <v>90</v>
      </c>
      <c r="E1648" s="4" t="s">
        <v>91</v>
      </c>
      <c r="F1648" s="4" t="s">
        <v>16</v>
      </c>
      <c r="G1648" s="4" t="s">
        <v>17</v>
      </c>
      <c r="H1648" s="4" t="s">
        <v>18</v>
      </c>
      <c r="I1648" s="4" t="s">
        <v>39</v>
      </c>
      <c r="J1648" s="3">
        <v>5</v>
      </c>
      <c r="K1648" s="6">
        <v>165390</v>
      </c>
      <c r="L1648" s="6">
        <f t="shared" si="75"/>
        <v>115772.99999999999</v>
      </c>
      <c r="M1648" s="6">
        <v>49617.000000000015</v>
      </c>
      <c r="N1648" s="5" t="str">
        <f t="shared" si="76"/>
        <v>Jul</v>
      </c>
      <c r="O1648" s="5" t="str">
        <f t="shared" si="77"/>
        <v xml:space="preserve"> 2024</v>
      </c>
    </row>
    <row r="1649" spans="1:15" x14ac:dyDescent="0.35">
      <c r="A1649" t="s">
        <v>2361</v>
      </c>
      <c r="B1649" s="5" t="s">
        <v>2358</v>
      </c>
      <c r="C1649" s="4" t="s">
        <v>31</v>
      </c>
      <c r="D1649" s="4" t="s">
        <v>50</v>
      </c>
      <c r="E1649" s="4" t="s">
        <v>51</v>
      </c>
      <c r="F1649" s="4" t="s">
        <v>25</v>
      </c>
      <c r="G1649" s="4" t="s">
        <v>26</v>
      </c>
      <c r="H1649" s="4" t="s">
        <v>18</v>
      </c>
      <c r="I1649" s="4" t="s">
        <v>39</v>
      </c>
      <c r="J1649" s="3">
        <v>5</v>
      </c>
      <c r="K1649" s="6">
        <v>151505</v>
      </c>
      <c r="L1649" s="6">
        <f t="shared" si="75"/>
        <v>106053.5</v>
      </c>
      <c r="M1649" s="6">
        <v>45451.5</v>
      </c>
      <c r="N1649" s="5" t="str">
        <f t="shared" si="76"/>
        <v>Aug</v>
      </c>
      <c r="O1649" s="5" t="str">
        <f t="shared" si="77"/>
        <v xml:space="preserve"> 2024</v>
      </c>
    </row>
    <row r="1650" spans="1:15" x14ac:dyDescent="0.35">
      <c r="A1650" t="s">
        <v>2362</v>
      </c>
      <c r="B1650" s="5" t="s">
        <v>2363</v>
      </c>
      <c r="C1650" s="4" t="s">
        <v>22</v>
      </c>
      <c r="D1650" s="4" t="s">
        <v>90</v>
      </c>
      <c r="E1650" s="4" t="s">
        <v>91</v>
      </c>
      <c r="F1650" s="4" t="s">
        <v>16</v>
      </c>
      <c r="G1650" s="4" t="s">
        <v>122</v>
      </c>
      <c r="H1650" s="4" t="s">
        <v>27</v>
      </c>
      <c r="I1650" s="4" t="s">
        <v>60</v>
      </c>
      <c r="J1650" s="3">
        <v>4</v>
      </c>
      <c r="K1650" s="6">
        <v>192844</v>
      </c>
      <c r="L1650" s="6">
        <f t="shared" si="75"/>
        <v>134990.79999999999</v>
      </c>
      <c r="M1650" s="6">
        <v>57853.200000000012</v>
      </c>
      <c r="N1650" s="5" t="str">
        <f t="shared" si="76"/>
        <v>Sep</v>
      </c>
      <c r="O1650" s="5" t="str">
        <f t="shared" si="77"/>
        <v xml:space="preserve"> 2023</v>
      </c>
    </row>
    <row r="1651" spans="1:15" x14ac:dyDescent="0.35">
      <c r="A1651" t="s">
        <v>2364</v>
      </c>
      <c r="B1651" s="5" t="s">
        <v>813</v>
      </c>
      <c r="C1651" s="4" t="s">
        <v>13</v>
      </c>
      <c r="D1651" s="4" t="s">
        <v>118</v>
      </c>
      <c r="E1651" s="4" t="s">
        <v>119</v>
      </c>
      <c r="F1651" s="4" t="s">
        <v>37</v>
      </c>
      <c r="G1651" s="4" t="s">
        <v>186</v>
      </c>
      <c r="H1651" s="4" t="s">
        <v>72</v>
      </c>
      <c r="I1651" s="4" t="s">
        <v>60</v>
      </c>
      <c r="J1651" s="3">
        <v>8</v>
      </c>
      <c r="K1651" s="6">
        <v>334776</v>
      </c>
      <c r="L1651" s="6">
        <f t="shared" si="75"/>
        <v>234343.19999999998</v>
      </c>
      <c r="M1651" s="6">
        <v>100432.80000000002</v>
      </c>
      <c r="N1651" s="5" t="str">
        <f t="shared" si="76"/>
        <v>Feb</v>
      </c>
      <c r="O1651" s="5" t="str">
        <f t="shared" si="77"/>
        <v xml:space="preserve"> 2024</v>
      </c>
    </row>
    <row r="1652" spans="1:15" x14ac:dyDescent="0.35">
      <c r="A1652" t="s">
        <v>2365</v>
      </c>
      <c r="B1652" s="5" t="s">
        <v>846</v>
      </c>
      <c r="C1652" s="4" t="s">
        <v>13</v>
      </c>
      <c r="D1652" s="4" t="s">
        <v>162</v>
      </c>
      <c r="E1652" s="4" t="s">
        <v>163</v>
      </c>
      <c r="F1652" s="4" t="s">
        <v>25</v>
      </c>
      <c r="G1652" s="4" t="s">
        <v>71</v>
      </c>
      <c r="H1652" s="4" t="s">
        <v>18</v>
      </c>
      <c r="I1652" s="4" t="s">
        <v>28</v>
      </c>
      <c r="J1652" s="3">
        <v>8</v>
      </c>
      <c r="K1652" s="6">
        <v>299832</v>
      </c>
      <c r="L1652" s="6">
        <f t="shared" si="75"/>
        <v>209882.4</v>
      </c>
      <c r="M1652" s="6">
        <v>89949.6</v>
      </c>
      <c r="N1652" s="5" t="str">
        <f t="shared" si="76"/>
        <v>Oct</v>
      </c>
      <c r="O1652" s="5" t="str">
        <f t="shared" si="77"/>
        <v xml:space="preserve"> 2024</v>
      </c>
    </row>
    <row r="1653" spans="1:15" x14ac:dyDescent="0.35">
      <c r="A1653" t="s">
        <v>2366</v>
      </c>
      <c r="B1653" s="5" t="s">
        <v>1563</v>
      </c>
      <c r="C1653" s="4" t="s">
        <v>31</v>
      </c>
      <c r="D1653" s="4" t="s">
        <v>45</v>
      </c>
      <c r="E1653" s="4" t="s">
        <v>46</v>
      </c>
      <c r="F1653" s="4" t="s">
        <v>37</v>
      </c>
      <c r="G1653" s="4" t="s">
        <v>186</v>
      </c>
      <c r="H1653" s="4" t="s">
        <v>18</v>
      </c>
      <c r="I1653" s="4" t="s">
        <v>19</v>
      </c>
      <c r="J1653" s="3">
        <v>6</v>
      </c>
      <c r="K1653" s="6">
        <v>110082</v>
      </c>
      <c r="L1653" s="6">
        <f t="shared" si="75"/>
        <v>77057.399999999994</v>
      </c>
      <c r="M1653" s="6">
        <v>33024.600000000006</v>
      </c>
      <c r="N1653" s="5" t="str">
        <f t="shared" si="76"/>
        <v>Jun</v>
      </c>
      <c r="O1653" s="5" t="str">
        <f t="shared" si="77"/>
        <v xml:space="preserve"> 2024</v>
      </c>
    </row>
    <row r="1654" spans="1:15" x14ac:dyDescent="0.35">
      <c r="A1654" t="s">
        <v>2367</v>
      </c>
      <c r="B1654" s="5" t="s">
        <v>1396</v>
      </c>
      <c r="C1654" s="4" t="s">
        <v>22</v>
      </c>
      <c r="D1654" s="4" t="s">
        <v>86</v>
      </c>
      <c r="E1654" s="4" t="s">
        <v>87</v>
      </c>
      <c r="F1654" s="4" t="s">
        <v>37</v>
      </c>
      <c r="G1654" s="4" t="s">
        <v>186</v>
      </c>
      <c r="H1654" s="4" t="s">
        <v>72</v>
      </c>
      <c r="I1654" s="4" t="s">
        <v>60</v>
      </c>
      <c r="J1654" s="3">
        <v>2</v>
      </c>
      <c r="K1654" s="6">
        <v>7700</v>
      </c>
      <c r="L1654" s="6">
        <f t="shared" si="75"/>
        <v>5390</v>
      </c>
      <c r="M1654" s="6">
        <v>2310</v>
      </c>
      <c r="N1654" s="5" t="str">
        <f t="shared" si="76"/>
        <v>May</v>
      </c>
      <c r="O1654" s="5" t="str">
        <f t="shared" si="77"/>
        <v xml:space="preserve"> 2024</v>
      </c>
    </row>
    <row r="1655" spans="1:15" x14ac:dyDescent="0.35">
      <c r="A1655" t="s">
        <v>2368</v>
      </c>
      <c r="B1655" s="5" t="s">
        <v>673</v>
      </c>
      <c r="C1655" s="4" t="s">
        <v>22</v>
      </c>
      <c r="D1655" s="4" t="s">
        <v>86</v>
      </c>
      <c r="E1655" s="4" t="s">
        <v>87</v>
      </c>
      <c r="F1655" s="4" t="s">
        <v>37</v>
      </c>
      <c r="G1655" s="4" t="s">
        <v>183</v>
      </c>
      <c r="H1655" s="4" t="s">
        <v>18</v>
      </c>
      <c r="I1655" s="4" t="s">
        <v>60</v>
      </c>
      <c r="J1655" s="3">
        <v>10</v>
      </c>
      <c r="K1655" s="6">
        <v>269380</v>
      </c>
      <c r="L1655" s="6">
        <f t="shared" si="75"/>
        <v>188566</v>
      </c>
      <c r="M1655" s="6">
        <v>80814</v>
      </c>
      <c r="N1655" s="5" t="str">
        <f t="shared" si="76"/>
        <v>May</v>
      </c>
      <c r="O1655" s="5" t="str">
        <f t="shared" si="77"/>
        <v xml:space="preserve"> 2023</v>
      </c>
    </row>
    <row r="1656" spans="1:15" x14ac:dyDescent="0.35">
      <c r="A1656" t="s">
        <v>2369</v>
      </c>
      <c r="B1656" s="5" t="s">
        <v>495</v>
      </c>
      <c r="C1656" s="4" t="s">
        <v>55</v>
      </c>
      <c r="D1656" s="4" t="s">
        <v>82</v>
      </c>
      <c r="E1656" s="4" t="s">
        <v>83</v>
      </c>
      <c r="F1656" s="4" t="s">
        <v>67</v>
      </c>
      <c r="G1656" s="4" t="s">
        <v>180</v>
      </c>
      <c r="H1656" s="4" t="s">
        <v>18</v>
      </c>
      <c r="I1656" s="4" t="s">
        <v>19</v>
      </c>
      <c r="J1656" s="3">
        <v>10</v>
      </c>
      <c r="K1656" s="6">
        <v>359220</v>
      </c>
      <c r="L1656" s="6">
        <f t="shared" si="75"/>
        <v>251453.99999999997</v>
      </c>
      <c r="M1656" s="6">
        <v>107766.00000000003</v>
      </c>
      <c r="N1656" s="5" t="str">
        <f t="shared" si="76"/>
        <v>Jan</v>
      </c>
      <c r="O1656" s="5" t="str">
        <f t="shared" si="77"/>
        <v xml:space="preserve"> 2023</v>
      </c>
    </row>
    <row r="1657" spans="1:15" x14ac:dyDescent="0.35">
      <c r="A1657" t="s">
        <v>2370</v>
      </c>
      <c r="B1657" s="5" t="s">
        <v>750</v>
      </c>
      <c r="C1657" s="4" t="s">
        <v>22</v>
      </c>
      <c r="D1657" s="4" t="s">
        <v>90</v>
      </c>
      <c r="E1657" s="4" t="s">
        <v>110</v>
      </c>
      <c r="F1657" s="4" t="s">
        <v>16</v>
      </c>
      <c r="G1657" s="4" t="s">
        <v>42</v>
      </c>
      <c r="H1657" s="4" t="s">
        <v>18</v>
      </c>
      <c r="I1657" s="4" t="s">
        <v>60</v>
      </c>
      <c r="J1657" s="3">
        <v>2</v>
      </c>
      <c r="K1657" s="6">
        <v>7972</v>
      </c>
      <c r="L1657" s="6">
        <f t="shared" si="75"/>
        <v>5580.4</v>
      </c>
      <c r="M1657" s="6">
        <v>2391.6000000000004</v>
      </c>
      <c r="N1657" s="5" t="str">
        <f t="shared" si="76"/>
        <v>Nov</v>
      </c>
      <c r="O1657" s="5" t="str">
        <f t="shared" si="77"/>
        <v xml:space="preserve"> 2023</v>
      </c>
    </row>
    <row r="1658" spans="1:15" x14ac:dyDescent="0.35">
      <c r="A1658" t="s">
        <v>2371</v>
      </c>
      <c r="B1658" s="5" t="s">
        <v>2372</v>
      </c>
      <c r="C1658" s="4" t="s">
        <v>31</v>
      </c>
      <c r="D1658" s="4" t="s">
        <v>50</v>
      </c>
      <c r="E1658" s="4" t="s">
        <v>51</v>
      </c>
      <c r="F1658" s="4" t="s">
        <v>25</v>
      </c>
      <c r="G1658" s="4" t="s">
        <v>26</v>
      </c>
      <c r="H1658" s="4" t="s">
        <v>18</v>
      </c>
      <c r="I1658" s="4" t="s">
        <v>28</v>
      </c>
      <c r="J1658" s="3">
        <v>4</v>
      </c>
      <c r="K1658" s="6">
        <v>101876</v>
      </c>
      <c r="L1658" s="6">
        <f t="shared" si="75"/>
        <v>71313.2</v>
      </c>
      <c r="M1658" s="6">
        <v>30562.800000000003</v>
      </c>
      <c r="N1658" s="5" t="str">
        <f t="shared" si="76"/>
        <v>Jan</v>
      </c>
      <c r="O1658" s="5" t="str">
        <f t="shared" si="77"/>
        <v xml:space="preserve"> 2023</v>
      </c>
    </row>
    <row r="1659" spans="1:15" x14ac:dyDescent="0.35">
      <c r="A1659" t="s">
        <v>2373</v>
      </c>
      <c r="B1659" s="5" t="s">
        <v>213</v>
      </c>
      <c r="C1659" s="4" t="s">
        <v>55</v>
      </c>
      <c r="D1659" s="4" t="s">
        <v>63</v>
      </c>
      <c r="E1659" s="4" t="s">
        <v>64</v>
      </c>
      <c r="F1659" s="4" t="s">
        <v>16</v>
      </c>
      <c r="G1659" s="4" t="s">
        <v>17</v>
      </c>
      <c r="H1659" s="4" t="s">
        <v>72</v>
      </c>
      <c r="I1659" s="4" t="s">
        <v>39</v>
      </c>
      <c r="J1659" s="3">
        <v>6</v>
      </c>
      <c r="K1659" s="6">
        <v>111504</v>
      </c>
      <c r="L1659" s="6">
        <f t="shared" si="75"/>
        <v>78052.799999999988</v>
      </c>
      <c r="M1659" s="6">
        <v>33451.200000000012</v>
      </c>
      <c r="N1659" s="5" t="str">
        <f t="shared" si="76"/>
        <v>Jun</v>
      </c>
      <c r="O1659" s="5" t="str">
        <f t="shared" si="77"/>
        <v xml:space="preserve"> 2024</v>
      </c>
    </row>
    <row r="1660" spans="1:15" x14ac:dyDescent="0.35">
      <c r="A1660" t="s">
        <v>2374</v>
      </c>
      <c r="B1660" s="5" t="s">
        <v>600</v>
      </c>
      <c r="C1660" s="4" t="s">
        <v>13</v>
      </c>
      <c r="D1660" s="4" t="s">
        <v>14</v>
      </c>
      <c r="E1660" s="4" t="s">
        <v>15</v>
      </c>
      <c r="F1660" s="4" t="s">
        <v>25</v>
      </c>
      <c r="G1660" s="4" t="s">
        <v>52</v>
      </c>
      <c r="H1660" s="4" t="s">
        <v>18</v>
      </c>
      <c r="I1660" s="4" t="s">
        <v>60</v>
      </c>
      <c r="J1660" s="3">
        <v>2</v>
      </c>
      <c r="K1660" s="6">
        <v>69350</v>
      </c>
      <c r="L1660" s="6">
        <f t="shared" si="75"/>
        <v>48545</v>
      </c>
      <c r="M1660" s="6">
        <v>20805</v>
      </c>
      <c r="N1660" s="5" t="str">
        <f t="shared" si="76"/>
        <v>Nov</v>
      </c>
      <c r="O1660" s="5" t="str">
        <f t="shared" si="77"/>
        <v xml:space="preserve"> 2023</v>
      </c>
    </row>
    <row r="1661" spans="1:15" x14ac:dyDescent="0.35">
      <c r="A1661" t="s">
        <v>2375</v>
      </c>
      <c r="B1661" s="5" t="s">
        <v>267</v>
      </c>
      <c r="C1661" s="4" t="s">
        <v>31</v>
      </c>
      <c r="D1661" s="4" t="s">
        <v>50</v>
      </c>
      <c r="E1661" s="4" t="s">
        <v>51</v>
      </c>
      <c r="F1661" s="4" t="s">
        <v>25</v>
      </c>
      <c r="G1661" s="4" t="s">
        <v>77</v>
      </c>
      <c r="H1661" s="4" t="s">
        <v>27</v>
      </c>
      <c r="I1661" s="4" t="s">
        <v>60</v>
      </c>
      <c r="J1661" s="3">
        <v>4</v>
      </c>
      <c r="K1661" s="6">
        <v>162604</v>
      </c>
      <c r="L1661" s="6">
        <f t="shared" si="75"/>
        <v>113822.79999999999</v>
      </c>
      <c r="M1661" s="6">
        <v>48781.200000000012</v>
      </c>
      <c r="N1661" s="5" t="str">
        <f t="shared" si="76"/>
        <v>Aug</v>
      </c>
      <c r="O1661" s="5" t="str">
        <f t="shared" si="77"/>
        <v xml:space="preserve"> 2023</v>
      </c>
    </row>
    <row r="1662" spans="1:15" x14ac:dyDescent="0.35">
      <c r="A1662" t="s">
        <v>2376</v>
      </c>
      <c r="B1662" s="5" t="s">
        <v>1654</v>
      </c>
      <c r="C1662" s="4" t="s">
        <v>22</v>
      </c>
      <c r="D1662" s="4" t="s">
        <v>23</v>
      </c>
      <c r="E1662" s="4" t="s">
        <v>24</v>
      </c>
      <c r="F1662" s="4" t="s">
        <v>16</v>
      </c>
      <c r="G1662" s="4" t="s">
        <v>34</v>
      </c>
      <c r="H1662" s="4" t="s">
        <v>72</v>
      </c>
      <c r="I1662" s="4" t="s">
        <v>39</v>
      </c>
      <c r="J1662" s="3">
        <v>5</v>
      </c>
      <c r="K1662" s="6">
        <v>8525</v>
      </c>
      <c r="L1662" s="6">
        <f t="shared" si="75"/>
        <v>5967.5</v>
      </c>
      <c r="M1662" s="6">
        <v>2557.5</v>
      </c>
      <c r="N1662" s="5" t="str">
        <f t="shared" si="76"/>
        <v>Jul</v>
      </c>
      <c r="O1662" s="5" t="str">
        <f t="shared" si="77"/>
        <v xml:space="preserve"> 2024</v>
      </c>
    </row>
    <row r="1663" spans="1:15" x14ac:dyDescent="0.35">
      <c r="A1663" t="s">
        <v>2377</v>
      </c>
      <c r="B1663" s="5" t="s">
        <v>420</v>
      </c>
      <c r="C1663" s="4" t="s">
        <v>31</v>
      </c>
      <c r="D1663" s="4" t="s">
        <v>32</v>
      </c>
      <c r="E1663" s="4" t="s">
        <v>33</v>
      </c>
      <c r="F1663" s="4" t="s">
        <v>67</v>
      </c>
      <c r="G1663" s="4" t="s">
        <v>180</v>
      </c>
      <c r="H1663" s="4" t="s">
        <v>72</v>
      </c>
      <c r="I1663" s="4" t="s">
        <v>47</v>
      </c>
      <c r="J1663" s="3">
        <v>6</v>
      </c>
      <c r="K1663" s="6">
        <v>293436</v>
      </c>
      <c r="L1663" s="6">
        <f t="shared" si="75"/>
        <v>205405.19999999998</v>
      </c>
      <c r="M1663" s="6">
        <v>88030.800000000017</v>
      </c>
      <c r="N1663" s="5" t="str">
        <f t="shared" si="76"/>
        <v>Feb</v>
      </c>
      <c r="O1663" s="5" t="str">
        <f t="shared" si="77"/>
        <v xml:space="preserve"> 2024</v>
      </c>
    </row>
    <row r="1664" spans="1:15" x14ac:dyDescent="0.35">
      <c r="A1664" t="s">
        <v>2378</v>
      </c>
      <c r="B1664" s="5" t="s">
        <v>1412</v>
      </c>
      <c r="C1664" s="4" t="s">
        <v>55</v>
      </c>
      <c r="D1664" s="4" t="s">
        <v>56</v>
      </c>
      <c r="E1664" s="4" t="s">
        <v>57</v>
      </c>
      <c r="F1664" s="4" t="s">
        <v>67</v>
      </c>
      <c r="G1664" s="4" t="s">
        <v>68</v>
      </c>
      <c r="H1664" s="4" t="s">
        <v>18</v>
      </c>
      <c r="I1664" s="4" t="s">
        <v>39</v>
      </c>
      <c r="J1664" s="3">
        <v>3</v>
      </c>
      <c r="K1664" s="6">
        <v>138429</v>
      </c>
      <c r="L1664" s="6">
        <f t="shared" si="75"/>
        <v>96900.299999999988</v>
      </c>
      <c r="M1664" s="6">
        <v>41528.700000000012</v>
      </c>
      <c r="N1664" s="5" t="str">
        <f t="shared" si="76"/>
        <v>May</v>
      </c>
      <c r="O1664" s="5" t="str">
        <f t="shared" si="77"/>
        <v xml:space="preserve"> 2024</v>
      </c>
    </row>
    <row r="1665" spans="1:15" x14ac:dyDescent="0.35">
      <c r="A1665" t="s">
        <v>2379</v>
      </c>
      <c r="B1665" s="5" t="s">
        <v>95</v>
      </c>
      <c r="C1665" s="4" t="s">
        <v>22</v>
      </c>
      <c r="D1665" s="4" t="s">
        <v>86</v>
      </c>
      <c r="E1665" s="4" t="s">
        <v>87</v>
      </c>
      <c r="F1665" s="4" t="s">
        <v>25</v>
      </c>
      <c r="G1665" s="4" t="s">
        <v>77</v>
      </c>
      <c r="H1665" s="4" t="s">
        <v>27</v>
      </c>
      <c r="I1665" s="4" t="s">
        <v>19</v>
      </c>
      <c r="J1665" s="3">
        <v>2</v>
      </c>
      <c r="K1665" s="6">
        <v>7092</v>
      </c>
      <c r="L1665" s="6">
        <f t="shared" si="75"/>
        <v>4964.3999999999996</v>
      </c>
      <c r="M1665" s="6">
        <v>2127.6000000000004</v>
      </c>
      <c r="N1665" s="5" t="str">
        <f t="shared" si="76"/>
        <v>Jul</v>
      </c>
      <c r="O1665" s="5" t="str">
        <f t="shared" si="77"/>
        <v xml:space="preserve"> 2024</v>
      </c>
    </row>
    <row r="1666" spans="1:15" x14ac:dyDescent="0.35">
      <c r="A1666" t="s">
        <v>2380</v>
      </c>
      <c r="B1666" s="5" t="s">
        <v>870</v>
      </c>
      <c r="C1666" s="4" t="s">
        <v>31</v>
      </c>
      <c r="D1666" s="4" t="s">
        <v>45</v>
      </c>
      <c r="E1666" s="4" t="s">
        <v>46</v>
      </c>
      <c r="F1666" s="4" t="s">
        <v>37</v>
      </c>
      <c r="G1666" s="4" t="s">
        <v>186</v>
      </c>
      <c r="H1666" s="4" t="s">
        <v>27</v>
      </c>
      <c r="I1666" s="4" t="s">
        <v>19</v>
      </c>
      <c r="J1666" s="3">
        <v>2</v>
      </c>
      <c r="K1666" s="6">
        <v>37244</v>
      </c>
      <c r="L1666" s="6">
        <f t="shared" ref="L1666:L1729" si="78">K1666*0.7</f>
        <v>26070.799999999999</v>
      </c>
      <c r="M1666" s="6">
        <v>11173.2</v>
      </c>
      <c r="N1666" s="5" t="str">
        <f t="shared" ref="N1666:N1729" si="79">TEXT(B1666,"mmm")</f>
        <v>Jan</v>
      </c>
      <c r="O1666" s="5" t="str">
        <f t="shared" ref="O1666:O1729" si="80">TEXT(B1666," yyyy")</f>
        <v xml:space="preserve"> 2023</v>
      </c>
    </row>
    <row r="1667" spans="1:15" x14ac:dyDescent="0.35">
      <c r="A1667" t="s">
        <v>2381</v>
      </c>
      <c r="B1667" s="5" t="s">
        <v>2023</v>
      </c>
      <c r="C1667" s="4" t="s">
        <v>13</v>
      </c>
      <c r="D1667" s="4" t="s">
        <v>118</v>
      </c>
      <c r="E1667" s="4" t="s">
        <v>119</v>
      </c>
      <c r="F1667" s="4" t="s">
        <v>16</v>
      </c>
      <c r="G1667" s="4" t="s">
        <v>34</v>
      </c>
      <c r="H1667" s="4" t="s">
        <v>18</v>
      </c>
      <c r="I1667" s="4" t="s">
        <v>28</v>
      </c>
      <c r="J1667" s="3">
        <v>1</v>
      </c>
      <c r="K1667" s="6">
        <v>19047</v>
      </c>
      <c r="L1667" s="6">
        <f t="shared" si="78"/>
        <v>13332.9</v>
      </c>
      <c r="M1667" s="6">
        <v>5714.1</v>
      </c>
      <c r="N1667" s="5" t="str">
        <f t="shared" si="79"/>
        <v>Dec</v>
      </c>
      <c r="O1667" s="5" t="str">
        <f t="shared" si="80"/>
        <v xml:space="preserve"> 2023</v>
      </c>
    </row>
    <row r="1668" spans="1:15" x14ac:dyDescent="0.35">
      <c r="A1668" t="s">
        <v>2382</v>
      </c>
      <c r="B1668" s="5" t="s">
        <v>335</v>
      </c>
      <c r="C1668" s="4" t="s">
        <v>31</v>
      </c>
      <c r="D1668" s="4" t="s">
        <v>104</v>
      </c>
      <c r="E1668" s="4" t="s">
        <v>105</v>
      </c>
      <c r="F1668" s="4" t="s">
        <v>25</v>
      </c>
      <c r="G1668" s="4" t="s">
        <v>26</v>
      </c>
      <c r="H1668" s="4" t="s">
        <v>72</v>
      </c>
      <c r="I1668" s="4" t="s">
        <v>19</v>
      </c>
      <c r="J1668" s="3">
        <v>7</v>
      </c>
      <c r="K1668" s="6">
        <v>178115</v>
      </c>
      <c r="L1668" s="6">
        <f t="shared" si="78"/>
        <v>124680.49999999999</v>
      </c>
      <c r="M1668" s="6">
        <v>53434.500000000015</v>
      </c>
      <c r="N1668" s="5" t="str">
        <f t="shared" si="79"/>
        <v>Jun</v>
      </c>
      <c r="O1668" s="5" t="str">
        <f t="shared" si="80"/>
        <v xml:space="preserve"> 2024</v>
      </c>
    </row>
    <row r="1669" spans="1:15" x14ac:dyDescent="0.35">
      <c r="A1669" t="s">
        <v>2383</v>
      </c>
      <c r="B1669" s="5" t="s">
        <v>267</v>
      </c>
      <c r="C1669" s="4" t="s">
        <v>55</v>
      </c>
      <c r="D1669" s="4" t="s">
        <v>56</v>
      </c>
      <c r="E1669" s="4" t="s">
        <v>57</v>
      </c>
      <c r="F1669" s="4" t="s">
        <v>16</v>
      </c>
      <c r="G1669" s="4" t="s">
        <v>17</v>
      </c>
      <c r="H1669" s="4" t="s">
        <v>72</v>
      </c>
      <c r="I1669" s="4" t="s">
        <v>39</v>
      </c>
      <c r="J1669" s="3">
        <v>9</v>
      </c>
      <c r="K1669" s="6">
        <v>273933</v>
      </c>
      <c r="L1669" s="6">
        <f t="shared" si="78"/>
        <v>191753.09999999998</v>
      </c>
      <c r="M1669" s="6">
        <v>82179.900000000023</v>
      </c>
      <c r="N1669" s="5" t="str">
        <f t="shared" si="79"/>
        <v>Aug</v>
      </c>
      <c r="O1669" s="5" t="str">
        <f t="shared" si="80"/>
        <v xml:space="preserve"> 2023</v>
      </c>
    </row>
    <row r="1670" spans="1:15" x14ac:dyDescent="0.35">
      <c r="A1670" t="s">
        <v>2384</v>
      </c>
      <c r="B1670" s="5" t="s">
        <v>988</v>
      </c>
      <c r="C1670" s="4" t="s">
        <v>13</v>
      </c>
      <c r="D1670" s="4" t="s">
        <v>118</v>
      </c>
      <c r="E1670" s="4" t="s">
        <v>119</v>
      </c>
      <c r="F1670" s="4" t="s">
        <v>16</v>
      </c>
      <c r="G1670" s="4" t="s">
        <v>122</v>
      </c>
      <c r="H1670" s="4" t="s">
        <v>18</v>
      </c>
      <c r="I1670" s="4" t="s">
        <v>19</v>
      </c>
      <c r="J1670" s="3">
        <v>9</v>
      </c>
      <c r="K1670" s="6">
        <v>381222</v>
      </c>
      <c r="L1670" s="6">
        <f t="shared" si="78"/>
        <v>266855.39999999997</v>
      </c>
      <c r="M1670" s="6">
        <v>114366.60000000003</v>
      </c>
      <c r="N1670" s="5" t="str">
        <f t="shared" si="79"/>
        <v>Apr</v>
      </c>
      <c r="O1670" s="5" t="str">
        <f t="shared" si="80"/>
        <v xml:space="preserve"> 2023</v>
      </c>
    </row>
    <row r="1671" spans="1:15" x14ac:dyDescent="0.35">
      <c r="A1671" t="s">
        <v>2385</v>
      </c>
      <c r="B1671" s="5" t="s">
        <v>514</v>
      </c>
      <c r="C1671" s="4" t="s">
        <v>22</v>
      </c>
      <c r="D1671" s="4" t="s">
        <v>90</v>
      </c>
      <c r="E1671" s="4" t="s">
        <v>91</v>
      </c>
      <c r="F1671" s="4" t="s">
        <v>37</v>
      </c>
      <c r="G1671" s="4" t="s">
        <v>186</v>
      </c>
      <c r="H1671" s="4" t="s">
        <v>27</v>
      </c>
      <c r="I1671" s="4" t="s">
        <v>39</v>
      </c>
      <c r="J1671" s="3">
        <v>7</v>
      </c>
      <c r="K1671" s="6">
        <v>334390</v>
      </c>
      <c r="L1671" s="6">
        <f t="shared" si="78"/>
        <v>234072.99999999997</v>
      </c>
      <c r="M1671" s="6">
        <v>100317.00000000003</v>
      </c>
      <c r="N1671" s="5" t="str">
        <f t="shared" si="79"/>
        <v>Nov</v>
      </c>
      <c r="O1671" s="5" t="str">
        <f t="shared" si="80"/>
        <v xml:space="preserve"> 2023</v>
      </c>
    </row>
    <row r="1672" spans="1:15" x14ac:dyDescent="0.35">
      <c r="A1672" t="s">
        <v>2386</v>
      </c>
      <c r="B1672" s="5" t="s">
        <v>370</v>
      </c>
      <c r="C1672" s="4" t="s">
        <v>22</v>
      </c>
      <c r="D1672" s="4" t="s">
        <v>90</v>
      </c>
      <c r="E1672" s="4" t="s">
        <v>91</v>
      </c>
      <c r="F1672" s="4" t="s">
        <v>16</v>
      </c>
      <c r="G1672" s="4" t="s">
        <v>34</v>
      </c>
      <c r="H1672" s="4" t="s">
        <v>72</v>
      </c>
      <c r="I1672" s="4" t="s">
        <v>60</v>
      </c>
      <c r="J1672" s="3">
        <v>6</v>
      </c>
      <c r="K1672" s="6">
        <v>253494</v>
      </c>
      <c r="L1672" s="6">
        <f t="shared" si="78"/>
        <v>177445.8</v>
      </c>
      <c r="M1672" s="6">
        <v>76048.200000000012</v>
      </c>
      <c r="N1672" s="5" t="str">
        <f t="shared" si="79"/>
        <v>Sep</v>
      </c>
      <c r="O1672" s="5" t="str">
        <f t="shared" si="80"/>
        <v xml:space="preserve"> 2024</v>
      </c>
    </row>
    <row r="1673" spans="1:15" x14ac:dyDescent="0.35">
      <c r="A1673" t="s">
        <v>2387</v>
      </c>
      <c r="B1673" s="5" t="s">
        <v>1155</v>
      </c>
      <c r="C1673" s="4" t="s">
        <v>31</v>
      </c>
      <c r="D1673" s="4" t="s">
        <v>50</v>
      </c>
      <c r="E1673" s="4" t="s">
        <v>51</v>
      </c>
      <c r="F1673" s="4" t="s">
        <v>25</v>
      </c>
      <c r="G1673" s="4" t="s">
        <v>71</v>
      </c>
      <c r="H1673" s="4" t="s">
        <v>18</v>
      </c>
      <c r="I1673" s="4" t="s">
        <v>39</v>
      </c>
      <c r="J1673" s="3">
        <v>2</v>
      </c>
      <c r="K1673" s="6">
        <v>3696</v>
      </c>
      <c r="L1673" s="6">
        <f t="shared" si="78"/>
        <v>2587.1999999999998</v>
      </c>
      <c r="M1673" s="6">
        <v>1108.8000000000002</v>
      </c>
      <c r="N1673" s="5" t="str">
        <f t="shared" si="79"/>
        <v>Mar</v>
      </c>
      <c r="O1673" s="5" t="str">
        <f t="shared" si="80"/>
        <v xml:space="preserve"> 2023</v>
      </c>
    </row>
    <row r="1674" spans="1:15" x14ac:dyDescent="0.35">
      <c r="A1674" t="s">
        <v>2388</v>
      </c>
      <c r="B1674" s="5" t="s">
        <v>1700</v>
      </c>
      <c r="C1674" s="4" t="s">
        <v>55</v>
      </c>
      <c r="D1674" s="4" t="s">
        <v>63</v>
      </c>
      <c r="E1674" s="4" t="s">
        <v>64</v>
      </c>
      <c r="F1674" s="4" t="s">
        <v>16</v>
      </c>
      <c r="G1674" s="4" t="s">
        <v>42</v>
      </c>
      <c r="H1674" s="4" t="s">
        <v>18</v>
      </c>
      <c r="I1674" s="4" t="s">
        <v>39</v>
      </c>
      <c r="J1674" s="3">
        <v>2</v>
      </c>
      <c r="K1674" s="6">
        <v>95966</v>
      </c>
      <c r="L1674" s="6">
        <f t="shared" si="78"/>
        <v>67176.2</v>
      </c>
      <c r="M1674" s="6">
        <v>28789.800000000003</v>
      </c>
      <c r="N1674" s="5" t="str">
        <f t="shared" si="79"/>
        <v>Sep</v>
      </c>
      <c r="O1674" s="5" t="str">
        <f t="shared" si="80"/>
        <v xml:space="preserve"> 2023</v>
      </c>
    </row>
    <row r="1675" spans="1:15" x14ac:dyDescent="0.35">
      <c r="A1675" t="s">
        <v>2389</v>
      </c>
      <c r="B1675" s="5" t="s">
        <v>508</v>
      </c>
      <c r="C1675" s="4" t="s">
        <v>22</v>
      </c>
      <c r="D1675" s="4" t="s">
        <v>23</v>
      </c>
      <c r="E1675" s="4" t="s">
        <v>24</v>
      </c>
      <c r="F1675" s="4" t="s">
        <v>25</v>
      </c>
      <c r="G1675" s="4" t="s">
        <v>71</v>
      </c>
      <c r="H1675" s="4" t="s">
        <v>27</v>
      </c>
      <c r="I1675" s="4" t="s">
        <v>28</v>
      </c>
      <c r="J1675" s="3">
        <v>2</v>
      </c>
      <c r="K1675" s="6">
        <v>40094</v>
      </c>
      <c r="L1675" s="6">
        <f t="shared" si="78"/>
        <v>28065.8</v>
      </c>
      <c r="M1675" s="6">
        <v>12028.2</v>
      </c>
      <c r="N1675" s="5" t="str">
        <f t="shared" si="79"/>
        <v>Feb</v>
      </c>
      <c r="O1675" s="5" t="str">
        <f t="shared" si="80"/>
        <v xml:space="preserve"> 2024</v>
      </c>
    </row>
    <row r="1676" spans="1:15" x14ac:dyDescent="0.35">
      <c r="A1676" t="s">
        <v>2390</v>
      </c>
      <c r="B1676" s="5" t="s">
        <v>2283</v>
      </c>
      <c r="C1676" s="4" t="s">
        <v>13</v>
      </c>
      <c r="D1676" s="4" t="s">
        <v>14</v>
      </c>
      <c r="E1676" s="4" t="s">
        <v>15</v>
      </c>
      <c r="F1676" s="4" t="s">
        <v>25</v>
      </c>
      <c r="G1676" s="4" t="s">
        <v>71</v>
      </c>
      <c r="H1676" s="4" t="s">
        <v>27</v>
      </c>
      <c r="I1676" s="4" t="s">
        <v>28</v>
      </c>
      <c r="J1676" s="3">
        <v>1</v>
      </c>
      <c r="K1676" s="6">
        <v>6787</v>
      </c>
      <c r="L1676" s="6">
        <f t="shared" si="78"/>
        <v>4750.8999999999996</v>
      </c>
      <c r="M1676" s="6">
        <v>2036.1000000000004</v>
      </c>
      <c r="N1676" s="5" t="str">
        <f t="shared" si="79"/>
        <v>May</v>
      </c>
      <c r="O1676" s="5" t="str">
        <f t="shared" si="80"/>
        <v xml:space="preserve"> 2024</v>
      </c>
    </row>
    <row r="1677" spans="1:15" x14ac:dyDescent="0.35">
      <c r="A1677" t="s">
        <v>2391</v>
      </c>
      <c r="B1677" s="5" t="s">
        <v>1194</v>
      </c>
      <c r="C1677" s="4" t="s">
        <v>13</v>
      </c>
      <c r="D1677" s="4" t="s">
        <v>14</v>
      </c>
      <c r="E1677" s="4" t="s">
        <v>15</v>
      </c>
      <c r="F1677" s="4" t="s">
        <v>37</v>
      </c>
      <c r="G1677" s="4" t="s">
        <v>148</v>
      </c>
      <c r="H1677" s="4" t="s">
        <v>18</v>
      </c>
      <c r="I1677" s="4" t="s">
        <v>39</v>
      </c>
      <c r="J1677" s="3">
        <v>1</v>
      </c>
      <c r="K1677" s="6">
        <v>44432</v>
      </c>
      <c r="L1677" s="6">
        <f t="shared" si="78"/>
        <v>31102.399999999998</v>
      </c>
      <c r="M1677" s="6">
        <v>13329.600000000002</v>
      </c>
      <c r="N1677" s="5" t="str">
        <f t="shared" si="79"/>
        <v>May</v>
      </c>
      <c r="O1677" s="5" t="str">
        <f t="shared" si="80"/>
        <v xml:space="preserve"> 2024</v>
      </c>
    </row>
    <row r="1678" spans="1:15" x14ac:dyDescent="0.35">
      <c r="A1678" t="s">
        <v>2392</v>
      </c>
      <c r="B1678" s="5" t="s">
        <v>2393</v>
      </c>
      <c r="C1678" s="4" t="s">
        <v>13</v>
      </c>
      <c r="D1678" s="4" t="s">
        <v>125</v>
      </c>
      <c r="E1678" s="4" t="s">
        <v>126</v>
      </c>
      <c r="F1678" s="4" t="s">
        <v>16</v>
      </c>
      <c r="G1678" s="4" t="s">
        <v>17</v>
      </c>
      <c r="H1678" s="4" t="s">
        <v>27</v>
      </c>
      <c r="I1678" s="4" t="s">
        <v>60</v>
      </c>
      <c r="J1678" s="3">
        <v>9</v>
      </c>
      <c r="K1678" s="6">
        <v>337059</v>
      </c>
      <c r="L1678" s="6">
        <f t="shared" si="78"/>
        <v>235941.3</v>
      </c>
      <c r="M1678" s="6">
        <v>101117.70000000001</v>
      </c>
      <c r="N1678" s="5" t="str">
        <f t="shared" si="79"/>
        <v>Nov</v>
      </c>
      <c r="O1678" s="5" t="str">
        <f t="shared" si="80"/>
        <v xml:space="preserve"> 2024</v>
      </c>
    </row>
    <row r="1679" spans="1:15" x14ac:dyDescent="0.35">
      <c r="A1679" t="s">
        <v>2394</v>
      </c>
      <c r="B1679" s="5" t="s">
        <v>863</v>
      </c>
      <c r="C1679" s="4" t="s">
        <v>22</v>
      </c>
      <c r="D1679" s="4" t="s">
        <v>23</v>
      </c>
      <c r="E1679" s="4" t="s">
        <v>24</v>
      </c>
      <c r="F1679" s="4" t="s">
        <v>37</v>
      </c>
      <c r="G1679" s="4" t="s">
        <v>38</v>
      </c>
      <c r="H1679" s="4" t="s">
        <v>27</v>
      </c>
      <c r="I1679" s="4" t="s">
        <v>28</v>
      </c>
      <c r="J1679" s="3">
        <v>9</v>
      </c>
      <c r="K1679" s="6">
        <v>252054</v>
      </c>
      <c r="L1679" s="6">
        <f t="shared" si="78"/>
        <v>176437.8</v>
      </c>
      <c r="M1679" s="6">
        <v>75616.200000000012</v>
      </c>
      <c r="N1679" s="5" t="str">
        <f t="shared" si="79"/>
        <v>Aug</v>
      </c>
      <c r="O1679" s="5" t="str">
        <f t="shared" si="80"/>
        <v xml:space="preserve"> 2023</v>
      </c>
    </row>
    <row r="1680" spans="1:15" x14ac:dyDescent="0.35">
      <c r="A1680" t="s">
        <v>2395</v>
      </c>
      <c r="B1680" s="5" t="s">
        <v>1080</v>
      </c>
      <c r="C1680" s="4" t="s">
        <v>13</v>
      </c>
      <c r="D1680" s="4" t="s">
        <v>125</v>
      </c>
      <c r="E1680" s="4" t="s">
        <v>126</v>
      </c>
      <c r="F1680" s="4" t="s">
        <v>37</v>
      </c>
      <c r="G1680" s="4" t="s">
        <v>183</v>
      </c>
      <c r="H1680" s="4" t="s">
        <v>27</v>
      </c>
      <c r="I1680" s="4" t="s">
        <v>39</v>
      </c>
      <c r="J1680" s="3">
        <v>6</v>
      </c>
      <c r="K1680" s="6">
        <v>225162</v>
      </c>
      <c r="L1680" s="6">
        <f t="shared" si="78"/>
        <v>157613.4</v>
      </c>
      <c r="M1680" s="6">
        <v>67548.600000000006</v>
      </c>
      <c r="N1680" s="5" t="str">
        <f t="shared" si="79"/>
        <v>Nov</v>
      </c>
      <c r="O1680" s="5" t="str">
        <f t="shared" si="80"/>
        <v xml:space="preserve"> 2023</v>
      </c>
    </row>
    <row r="1681" spans="1:15" x14ac:dyDescent="0.35">
      <c r="A1681" t="s">
        <v>2396</v>
      </c>
      <c r="B1681" s="5" t="s">
        <v>537</v>
      </c>
      <c r="C1681" s="4" t="s">
        <v>55</v>
      </c>
      <c r="D1681" s="4" t="s">
        <v>56</v>
      </c>
      <c r="E1681" s="4" t="s">
        <v>57</v>
      </c>
      <c r="F1681" s="4" t="s">
        <v>37</v>
      </c>
      <c r="G1681" s="4" t="s">
        <v>38</v>
      </c>
      <c r="H1681" s="4" t="s">
        <v>27</v>
      </c>
      <c r="I1681" s="4" t="s">
        <v>47</v>
      </c>
      <c r="J1681" s="3">
        <v>3</v>
      </c>
      <c r="K1681" s="6">
        <v>140166</v>
      </c>
      <c r="L1681" s="6">
        <f t="shared" si="78"/>
        <v>98116.2</v>
      </c>
      <c r="M1681" s="6">
        <v>42049.8</v>
      </c>
      <c r="N1681" s="5" t="str">
        <f t="shared" si="79"/>
        <v>Oct</v>
      </c>
      <c r="O1681" s="5" t="str">
        <f t="shared" si="80"/>
        <v xml:space="preserve"> 2024</v>
      </c>
    </row>
    <row r="1682" spans="1:15" x14ac:dyDescent="0.35">
      <c r="A1682" t="s">
        <v>2397</v>
      </c>
      <c r="B1682" s="5" t="s">
        <v>619</v>
      </c>
      <c r="C1682" s="4" t="s">
        <v>55</v>
      </c>
      <c r="D1682" s="4" t="s">
        <v>98</v>
      </c>
      <c r="E1682" s="4" t="s">
        <v>99</v>
      </c>
      <c r="F1682" s="4" t="s">
        <v>16</v>
      </c>
      <c r="G1682" s="4" t="s">
        <v>17</v>
      </c>
      <c r="H1682" s="4" t="s">
        <v>27</v>
      </c>
      <c r="I1682" s="4" t="s">
        <v>47</v>
      </c>
      <c r="J1682" s="3">
        <v>3</v>
      </c>
      <c r="K1682" s="6">
        <v>104970</v>
      </c>
      <c r="L1682" s="6">
        <f t="shared" si="78"/>
        <v>73479</v>
      </c>
      <c r="M1682" s="6">
        <v>31491</v>
      </c>
      <c r="N1682" s="5" t="str">
        <f t="shared" si="79"/>
        <v>Jul</v>
      </c>
      <c r="O1682" s="5" t="str">
        <f t="shared" si="80"/>
        <v xml:space="preserve"> 2024</v>
      </c>
    </row>
    <row r="1683" spans="1:15" x14ac:dyDescent="0.35">
      <c r="A1683" t="s">
        <v>2398</v>
      </c>
      <c r="B1683" s="5" t="s">
        <v>291</v>
      </c>
      <c r="C1683" s="4" t="s">
        <v>31</v>
      </c>
      <c r="D1683" s="4" t="s">
        <v>32</v>
      </c>
      <c r="E1683" s="4" t="s">
        <v>33</v>
      </c>
      <c r="F1683" s="4" t="s">
        <v>25</v>
      </c>
      <c r="G1683" s="4" t="s">
        <v>26</v>
      </c>
      <c r="H1683" s="4" t="s">
        <v>27</v>
      </c>
      <c r="I1683" s="4" t="s">
        <v>28</v>
      </c>
      <c r="J1683" s="3">
        <v>9</v>
      </c>
      <c r="K1683" s="6">
        <v>129627</v>
      </c>
      <c r="L1683" s="6">
        <f t="shared" si="78"/>
        <v>90738.9</v>
      </c>
      <c r="M1683" s="6">
        <v>38888.100000000006</v>
      </c>
      <c r="N1683" s="5" t="str">
        <f t="shared" si="79"/>
        <v>Jul</v>
      </c>
      <c r="O1683" s="5" t="str">
        <f t="shared" si="80"/>
        <v xml:space="preserve"> 2023</v>
      </c>
    </row>
    <row r="1684" spans="1:15" x14ac:dyDescent="0.35">
      <c r="A1684" t="s">
        <v>2399</v>
      </c>
      <c r="B1684" s="5" t="s">
        <v>946</v>
      </c>
      <c r="C1684" s="4" t="s">
        <v>22</v>
      </c>
      <c r="D1684" s="4" t="s">
        <v>23</v>
      </c>
      <c r="E1684" s="4" t="s">
        <v>24</v>
      </c>
      <c r="F1684" s="4" t="s">
        <v>37</v>
      </c>
      <c r="G1684" s="4" t="s">
        <v>183</v>
      </c>
      <c r="H1684" s="4" t="s">
        <v>18</v>
      </c>
      <c r="I1684" s="4" t="s">
        <v>19</v>
      </c>
      <c r="J1684" s="3">
        <v>2</v>
      </c>
      <c r="K1684" s="6">
        <v>87078</v>
      </c>
      <c r="L1684" s="6">
        <f t="shared" si="78"/>
        <v>60954.6</v>
      </c>
      <c r="M1684" s="6">
        <v>26123.4</v>
      </c>
      <c r="N1684" s="5" t="str">
        <f t="shared" si="79"/>
        <v>Jan</v>
      </c>
      <c r="O1684" s="5" t="str">
        <f t="shared" si="80"/>
        <v xml:space="preserve"> 2023</v>
      </c>
    </row>
    <row r="1685" spans="1:15" x14ac:dyDescent="0.35">
      <c r="A1685" t="s">
        <v>2400</v>
      </c>
      <c r="B1685" s="5" t="s">
        <v>287</v>
      </c>
      <c r="C1685" s="4" t="s">
        <v>13</v>
      </c>
      <c r="D1685" s="4" t="s">
        <v>162</v>
      </c>
      <c r="E1685" s="4" t="s">
        <v>163</v>
      </c>
      <c r="F1685" s="4" t="s">
        <v>25</v>
      </c>
      <c r="G1685" s="4" t="s">
        <v>52</v>
      </c>
      <c r="H1685" s="4" t="s">
        <v>27</v>
      </c>
      <c r="I1685" s="4" t="s">
        <v>28</v>
      </c>
      <c r="J1685" s="3">
        <v>8</v>
      </c>
      <c r="K1685" s="6">
        <v>394984</v>
      </c>
      <c r="L1685" s="6">
        <f t="shared" si="78"/>
        <v>276488.8</v>
      </c>
      <c r="M1685" s="6">
        <v>118495.20000000001</v>
      </c>
      <c r="N1685" s="5" t="str">
        <f t="shared" si="79"/>
        <v>May</v>
      </c>
      <c r="O1685" s="5" t="str">
        <f t="shared" si="80"/>
        <v xml:space="preserve"> 2023</v>
      </c>
    </row>
    <row r="1686" spans="1:15" x14ac:dyDescent="0.35">
      <c r="A1686" t="s">
        <v>2401</v>
      </c>
      <c r="B1686" s="5" t="s">
        <v>641</v>
      </c>
      <c r="C1686" s="4" t="s">
        <v>22</v>
      </c>
      <c r="D1686" s="4" t="s">
        <v>86</v>
      </c>
      <c r="E1686" s="4" t="s">
        <v>87</v>
      </c>
      <c r="F1686" s="4" t="s">
        <v>67</v>
      </c>
      <c r="G1686" s="4" t="s">
        <v>113</v>
      </c>
      <c r="H1686" s="4" t="s">
        <v>27</v>
      </c>
      <c r="I1686" s="4" t="s">
        <v>39</v>
      </c>
      <c r="J1686" s="3">
        <v>7</v>
      </c>
      <c r="K1686" s="6">
        <v>44499</v>
      </c>
      <c r="L1686" s="6">
        <f t="shared" si="78"/>
        <v>31149.3</v>
      </c>
      <c r="M1686" s="6">
        <v>13349.7</v>
      </c>
      <c r="N1686" s="5" t="str">
        <f t="shared" si="79"/>
        <v>May</v>
      </c>
      <c r="O1686" s="5" t="str">
        <f t="shared" si="80"/>
        <v xml:space="preserve"> 2024</v>
      </c>
    </row>
    <row r="1687" spans="1:15" x14ac:dyDescent="0.35">
      <c r="A1687" t="s">
        <v>2402</v>
      </c>
      <c r="B1687" s="5" t="s">
        <v>1038</v>
      </c>
      <c r="C1687" s="4" t="s">
        <v>13</v>
      </c>
      <c r="D1687" s="4" t="s">
        <v>14</v>
      </c>
      <c r="E1687" s="4" t="s">
        <v>15</v>
      </c>
      <c r="F1687" s="4" t="s">
        <v>67</v>
      </c>
      <c r="G1687" s="4" t="s">
        <v>180</v>
      </c>
      <c r="H1687" s="4" t="s">
        <v>18</v>
      </c>
      <c r="I1687" s="4" t="s">
        <v>47</v>
      </c>
      <c r="J1687" s="3">
        <v>10</v>
      </c>
      <c r="K1687" s="6">
        <v>236910</v>
      </c>
      <c r="L1687" s="6">
        <f t="shared" si="78"/>
        <v>165837</v>
      </c>
      <c r="M1687" s="6">
        <v>71073</v>
      </c>
      <c r="N1687" s="5" t="str">
        <f t="shared" si="79"/>
        <v>Sep</v>
      </c>
      <c r="O1687" s="5" t="str">
        <f t="shared" si="80"/>
        <v xml:space="preserve"> 2023</v>
      </c>
    </row>
    <row r="1688" spans="1:15" x14ac:dyDescent="0.35">
      <c r="A1688" t="s">
        <v>2403</v>
      </c>
      <c r="B1688" s="5" t="s">
        <v>498</v>
      </c>
      <c r="C1688" s="4" t="s">
        <v>22</v>
      </c>
      <c r="D1688" s="4" t="s">
        <v>86</v>
      </c>
      <c r="E1688" s="4" t="s">
        <v>87</v>
      </c>
      <c r="F1688" s="4" t="s">
        <v>67</v>
      </c>
      <c r="G1688" s="4" t="s">
        <v>113</v>
      </c>
      <c r="H1688" s="4" t="s">
        <v>72</v>
      </c>
      <c r="I1688" s="4" t="s">
        <v>47</v>
      </c>
      <c r="J1688" s="3">
        <v>2</v>
      </c>
      <c r="K1688" s="6">
        <v>47494</v>
      </c>
      <c r="L1688" s="6">
        <f t="shared" si="78"/>
        <v>33245.799999999996</v>
      </c>
      <c r="M1688" s="6">
        <v>14248.200000000004</v>
      </c>
      <c r="N1688" s="5" t="str">
        <f t="shared" si="79"/>
        <v>Jun</v>
      </c>
      <c r="O1688" s="5" t="str">
        <f t="shared" si="80"/>
        <v xml:space="preserve"> 2024</v>
      </c>
    </row>
    <row r="1689" spans="1:15" x14ac:dyDescent="0.35">
      <c r="A1689" t="s">
        <v>2404</v>
      </c>
      <c r="B1689" s="5" t="s">
        <v>1715</v>
      </c>
      <c r="C1689" s="4" t="s">
        <v>22</v>
      </c>
      <c r="D1689" s="4" t="s">
        <v>90</v>
      </c>
      <c r="E1689" s="4" t="s">
        <v>110</v>
      </c>
      <c r="F1689" s="4" t="s">
        <v>37</v>
      </c>
      <c r="G1689" s="4" t="s">
        <v>183</v>
      </c>
      <c r="H1689" s="4" t="s">
        <v>27</v>
      </c>
      <c r="I1689" s="4" t="s">
        <v>28</v>
      </c>
      <c r="J1689" s="3">
        <v>3</v>
      </c>
      <c r="K1689" s="6">
        <v>101820</v>
      </c>
      <c r="L1689" s="6">
        <f t="shared" si="78"/>
        <v>71274</v>
      </c>
      <c r="M1689" s="6">
        <v>30546</v>
      </c>
      <c r="N1689" s="5" t="str">
        <f t="shared" si="79"/>
        <v>Jun</v>
      </c>
      <c r="O1689" s="5" t="str">
        <f t="shared" si="80"/>
        <v xml:space="preserve"> 2023</v>
      </c>
    </row>
    <row r="1690" spans="1:15" x14ac:dyDescent="0.35">
      <c r="A1690" t="s">
        <v>2405</v>
      </c>
      <c r="B1690" s="5" t="s">
        <v>2123</v>
      </c>
      <c r="C1690" s="4" t="s">
        <v>22</v>
      </c>
      <c r="D1690" s="4" t="s">
        <v>90</v>
      </c>
      <c r="E1690" s="4" t="s">
        <v>110</v>
      </c>
      <c r="F1690" s="4" t="s">
        <v>67</v>
      </c>
      <c r="G1690" s="4" t="s">
        <v>134</v>
      </c>
      <c r="H1690" s="4" t="s">
        <v>18</v>
      </c>
      <c r="I1690" s="4" t="s">
        <v>28</v>
      </c>
      <c r="J1690" s="3">
        <v>4</v>
      </c>
      <c r="K1690" s="6">
        <v>36272</v>
      </c>
      <c r="L1690" s="6">
        <f t="shared" si="78"/>
        <v>25390.399999999998</v>
      </c>
      <c r="M1690" s="6">
        <v>10881.600000000002</v>
      </c>
      <c r="N1690" s="5" t="str">
        <f t="shared" si="79"/>
        <v>Jun</v>
      </c>
      <c r="O1690" s="5" t="str">
        <f t="shared" si="80"/>
        <v xml:space="preserve"> 2023</v>
      </c>
    </row>
    <row r="1691" spans="1:15" x14ac:dyDescent="0.35">
      <c r="A1691" t="s">
        <v>2406</v>
      </c>
      <c r="B1691" s="5" t="s">
        <v>121</v>
      </c>
      <c r="C1691" s="4" t="s">
        <v>22</v>
      </c>
      <c r="D1691" s="4" t="s">
        <v>90</v>
      </c>
      <c r="E1691" s="4" t="s">
        <v>91</v>
      </c>
      <c r="F1691" s="4" t="s">
        <v>67</v>
      </c>
      <c r="G1691" s="4" t="s">
        <v>68</v>
      </c>
      <c r="H1691" s="4" t="s">
        <v>27</v>
      </c>
      <c r="I1691" s="4" t="s">
        <v>28</v>
      </c>
      <c r="J1691" s="3">
        <v>2</v>
      </c>
      <c r="K1691" s="6">
        <v>38390</v>
      </c>
      <c r="L1691" s="6">
        <f t="shared" si="78"/>
        <v>26873</v>
      </c>
      <c r="M1691" s="6">
        <v>11517</v>
      </c>
      <c r="N1691" s="5" t="str">
        <f t="shared" si="79"/>
        <v>Oct</v>
      </c>
      <c r="O1691" s="5" t="str">
        <f t="shared" si="80"/>
        <v xml:space="preserve"> 2023</v>
      </c>
    </row>
    <row r="1692" spans="1:15" x14ac:dyDescent="0.35">
      <c r="A1692" t="s">
        <v>2407</v>
      </c>
      <c r="B1692" s="5" t="s">
        <v>872</v>
      </c>
      <c r="C1692" s="4" t="s">
        <v>31</v>
      </c>
      <c r="D1692" s="4" t="s">
        <v>50</v>
      </c>
      <c r="E1692" s="4" t="s">
        <v>51</v>
      </c>
      <c r="F1692" s="4" t="s">
        <v>37</v>
      </c>
      <c r="G1692" s="4" t="s">
        <v>186</v>
      </c>
      <c r="H1692" s="4" t="s">
        <v>27</v>
      </c>
      <c r="I1692" s="4" t="s">
        <v>47</v>
      </c>
      <c r="J1692" s="3">
        <v>2</v>
      </c>
      <c r="K1692" s="6">
        <v>77718</v>
      </c>
      <c r="L1692" s="6">
        <f t="shared" si="78"/>
        <v>54402.6</v>
      </c>
      <c r="M1692" s="6">
        <v>23315.4</v>
      </c>
      <c r="N1692" s="5" t="str">
        <f t="shared" si="79"/>
        <v>Jul</v>
      </c>
      <c r="O1692" s="5" t="str">
        <f t="shared" si="80"/>
        <v xml:space="preserve"> 2024</v>
      </c>
    </row>
    <row r="1693" spans="1:15" x14ac:dyDescent="0.35">
      <c r="A1693" t="s">
        <v>2408</v>
      </c>
      <c r="B1693" s="5" t="s">
        <v>1090</v>
      </c>
      <c r="C1693" s="4" t="s">
        <v>55</v>
      </c>
      <c r="D1693" s="4" t="s">
        <v>82</v>
      </c>
      <c r="E1693" s="4" t="s">
        <v>83</v>
      </c>
      <c r="F1693" s="4" t="s">
        <v>67</v>
      </c>
      <c r="G1693" s="4" t="s">
        <v>68</v>
      </c>
      <c r="H1693" s="4" t="s">
        <v>18</v>
      </c>
      <c r="I1693" s="4" t="s">
        <v>47</v>
      </c>
      <c r="J1693" s="3">
        <v>10</v>
      </c>
      <c r="K1693" s="6">
        <v>300720</v>
      </c>
      <c r="L1693" s="6">
        <f t="shared" si="78"/>
        <v>210504</v>
      </c>
      <c r="M1693" s="6">
        <v>90216</v>
      </c>
      <c r="N1693" s="5" t="str">
        <f t="shared" si="79"/>
        <v>Oct</v>
      </c>
      <c r="O1693" s="5" t="str">
        <f t="shared" si="80"/>
        <v xml:space="preserve"> 2024</v>
      </c>
    </row>
    <row r="1694" spans="1:15" x14ac:dyDescent="0.35">
      <c r="A1694" t="s">
        <v>2409</v>
      </c>
      <c r="B1694" s="5" t="s">
        <v>1213</v>
      </c>
      <c r="C1694" s="4" t="s">
        <v>13</v>
      </c>
      <c r="D1694" s="4" t="s">
        <v>162</v>
      </c>
      <c r="E1694" s="4" t="s">
        <v>163</v>
      </c>
      <c r="F1694" s="4" t="s">
        <v>67</v>
      </c>
      <c r="G1694" s="4" t="s">
        <v>68</v>
      </c>
      <c r="H1694" s="4" t="s">
        <v>27</v>
      </c>
      <c r="I1694" s="4" t="s">
        <v>47</v>
      </c>
      <c r="J1694" s="3">
        <v>8</v>
      </c>
      <c r="K1694" s="6">
        <v>189232</v>
      </c>
      <c r="L1694" s="6">
        <f t="shared" si="78"/>
        <v>132462.39999999999</v>
      </c>
      <c r="M1694" s="6">
        <v>56769.600000000006</v>
      </c>
      <c r="N1694" s="5" t="str">
        <f t="shared" si="79"/>
        <v>Jan</v>
      </c>
      <c r="O1694" s="5" t="str">
        <f t="shared" si="80"/>
        <v xml:space="preserve"> 2024</v>
      </c>
    </row>
    <row r="1695" spans="1:15" x14ac:dyDescent="0.35">
      <c r="A1695" t="s">
        <v>2410</v>
      </c>
      <c r="B1695" s="5" t="s">
        <v>253</v>
      </c>
      <c r="C1695" s="4" t="s">
        <v>22</v>
      </c>
      <c r="D1695" s="4" t="s">
        <v>90</v>
      </c>
      <c r="E1695" s="4" t="s">
        <v>91</v>
      </c>
      <c r="F1695" s="4" t="s">
        <v>37</v>
      </c>
      <c r="G1695" s="4" t="s">
        <v>148</v>
      </c>
      <c r="H1695" s="4" t="s">
        <v>18</v>
      </c>
      <c r="I1695" s="4" t="s">
        <v>28</v>
      </c>
      <c r="J1695" s="3">
        <v>2</v>
      </c>
      <c r="K1695" s="6">
        <v>33704</v>
      </c>
      <c r="L1695" s="6">
        <f t="shared" si="78"/>
        <v>23592.799999999999</v>
      </c>
      <c r="M1695" s="6">
        <v>10111.200000000001</v>
      </c>
      <c r="N1695" s="5" t="str">
        <f t="shared" si="79"/>
        <v>Sep</v>
      </c>
      <c r="O1695" s="5" t="str">
        <f t="shared" si="80"/>
        <v xml:space="preserve"> 2024</v>
      </c>
    </row>
    <row r="1696" spans="1:15" x14ac:dyDescent="0.35">
      <c r="A1696" t="s">
        <v>2411</v>
      </c>
      <c r="B1696" s="5" t="s">
        <v>1742</v>
      </c>
      <c r="C1696" s="4" t="s">
        <v>13</v>
      </c>
      <c r="D1696" s="4" t="s">
        <v>118</v>
      </c>
      <c r="E1696" s="4" t="s">
        <v>119</v>
      </c>
      <c r="F1696" s="4" t="s">
        <v>37</v>
      </c>
      <c r="G1696" s="4" t="s">
        <v>148</v>
      </c>
      <c r="H1696" s="4" t="s">
        <v>18</v>
      </c>
      <c r="I1696" s="4" t="s">
        <v>19</v>
      </c>
      <c r="J1696" s="3">
        <v>4</v>
      </c>
      <c r="K1696" s="6">
        <v>164384</v>
      </c>
      <c r="L1696" s="6">
        <f t="shared" si="78"/>
        <v>115068.79999999999</v>
      </c>
      <c r="M1696" s="6">
        <v>49315.200000000012</v>
      </c>
      <c r="N1696" s="5" t="str">
        <f t="shared" si="79"/>
        <v>Oct</v>
      </c>
      <c r="O1696" s="5" t="str">
        <f t="shared" si="80"/>
        <v xml:space="preserve"> 2023</v>
      </c>
    </row>
    <row r="1697" spans="1:15" x14ac:dyDescent="0.35">
      <c r="A1697" t="s">
        <v>2412</v>
      </c>
      <c r="B1697" s="5" t="s">
        <v>783</v>
      </c>
      <c r="C1697" s="4" t="s">
        <v>31</v>
      </c>
      <c r="D1697" s="4" t="s">
        <v>104</v>
      </c>
      <c r="E1697" s="4" t="s">
        <v>105</v>
      </c>
      <c r="F1697" s="4" t="s">
        <v>67</v>
      </c>
      <c r="G1697" s="4" t="s">
        <v>113</v>
      </c>
      <c r="H1697" s="4" t="s">
        <v>27</v>
      </c>
      <c r="I1697" s="4" t="s">
        <v>28</v>
      </c>
      <c r="J1697" s="3">
        <v>4</v>
      </c>
      <c r="K1697" s="6">
        <v>97472</v>
      </c>
      <c r="L1697" s="6">
        <f t="shared" si="78"/>
        <v>68230.399999999994</v>
      </c>
      <c r="M1697" s="6">
        <v>29241.600000000006</v>
      </c>
      <c r="N1697" s="5" t="str">
        <f t="shared" si="79"/>
        <v>Dec</v>
      </c>
      <c r="O1697" s="5" t="str">
        <f t="shared" si="80"/>
        <v xml:space="preserve"> 2023</v>
      </c>
    </row>
    <row r="1698" spans="1:15" x14ac:dyDescent="0.35">
      <c r="A1698" t="s">
        <v>2413</v>
      </c>
      <c r="B1698" s="5" t="s">
        <v>1710</v>
      </c>
      <c r="C1698" s="4" t="s">
        <v>31</v>
      </c>
      <c r="D1698" s="4" t="s">
        <v>104</v>
      </c>
      <c r="E1698" s="4" t="s">
        <v>105</v>
      </c>
      <c r="F1698" s="4" t="s">
        <v>37</v>
      </c>
      <c r="G1698" s="4" t="s">
        <v>148</v>
      </c>
      <c r="H1698" s="4" t="s">
        <v>18</v>
      </c>
      <c r="I1698" s="4" t="s">
        <v>39</v>
      </c>
      <c r="J1698" s="3">
        <v>3</v>
      </c>
      <c r="K1698" s="6">
        <v>55059</v>
      </c>
      <c r="L1698" s="6">
        <f t="shared" si="78"/>
        <v>38541.299999999996</v>
      </c>
      <c r="M1698" s="6">
        <v>16517.700000000004</v>
      </c>
      <c r="N1698" s="5" t="str">
        <f t="shared" si="79"/>
        <v>Dec</v>
      </c>
      <c r="O1698" s="5" t="str">
        <f t="shared" si="80"/>
        <v xml:space="preserve"> 2023</v>
      </c>
    </row>
    <row r="1699" spans="1:15" x14ac:dyDescent="0.35">
      <c r="A1699" t="s">
        <v>2414</v>
      </c>
      <c r="B1699" s="5" t="s">
        <v>1658</v>
      </c>
      <c r="C1699" s="4" t="s">
        <v>13</v>
      </c>
      <c r="D1699" s="4" t="s">
        <v>162</v>
      </c>
      <c r="E1699" s="4" t="s">
        <v>163</v>
      </c>
      <c r="F1699" s="4" t="s">
        <v>25</v>
      </c>
      <c r="G1699" s="4" t="s">
        <v>71</v>
      </c>
      <c r="H1699" s="4" t="s">
        <v>27</v>
      </c>
      <c r="I1699" s="4" t="s">
        <v>19</v>
      </c>
      <c r="J1699" s="3">
        <v>6</v>
      </c>
      <c r="K1699" s="6">
        <v>160674</v>
      </c>
      <c r="L1699" s="6">
        <f t="shared" si="78"/>
        <v>112471.79999999999</v>
      </c>
      <c r="M1699" s="6">
        <v>48202.200000000012</v>
      </c>
      <c r="N1699" s="5" t="str">
        <f t="shared" si="79"/>
        <v>Oct</v>
      </c>
      <c r="O1699" s="5" t="str">
        <f t="shared" si="80"/>
        <v xml:space="preserve"> 2023</v>
      </c>
    </row>
    <row r="1700" spans="1:15" x14ac:dyDescent="0.35">
      <c r="A1700" t="s">
        <v>2415</v>
      </c>
      <c r="B1700" s="5" t="s">
        <v>285</v>
      </c>
      <c r="C1700" s="4" t="s">
        <v>31</v>
      </c>
      <c r="D1700" s="4" t="s">
        <v>50</v>
      </c>
      <c r="E1700" s="4" t="s">
        <v>51</v>
      </c>
      <c r="F1700" s="4" t="s">
        <v>67</v>
      </c>
      <c r="G1700" s="4" t="s">
        <v>180</v>
      </c>
      <c r="H1700" s="4" t="s">
        <v>18</v>
      </c>
      <c r="I1700" s="4" t="s">
        <v>19</v>
      </c>
      <c r="J1700" s="3">
        <v>4</v>
      </c>
      <c r="K1700" s="6">
        <v>143812</v>
      </c>
      <c r="L1700" s="6">
        <f t="shared" si="78"/>
        <v>100668.4</v>
      </c>
      <c r="M1700" s="6">
        <v>43143.600000000006</v>
      </c>
      <c r="N1700" s="5" t="str">
        <f t="shared" si="79"/>
        <v>May</v>
      </c>
      <c r="O1700" s="5" t="str">
        <f t="shared" si="80"/>
        <v xml:space="preserve"> 2023</v>
      </c>
    </row>
    <row r="1701" spans="1:15" x14ac:dyDescent="0.35">
      <c r="A1701" t="s">
        <v>2416</v>
      </c>
      <c r="B1701" s="5" t="s">
        <v>2417</v>
      </c>
      <c r="C1701" s="4" t="s">
        <v>22</v>
      </c>
      <c r="D1701" s="4" t="s">
        <v>23</v>
      </c>
      <c r="E1701" s="4" t="s">
        <v>24</v>
      </c>
      <c r="F1701" s="4" t="s">
        <v>16</v>
      </c>
      <c r="G1701" s="4" t="s">
        <v>34</v>
      </c>
      <c r="H1701" s="4" t="s">
        <v>18</v>
      </c>
      <c r="I1701" s="4" t="s">
        <v>60</v>
      </c>
      <c r="J1701" s="3">
        <v>10</v>
      </c>
      <c r="K1701" s="6">
        <v>208980</v>
      </c>
      <c r="L1701" s="6">
        <f t="shared" si="78"/>
        <v>146286</v>
      </c>
      <c r="M1701" s="6">
        <v>62694</v>
      </c>
      <c r="N1701" s="5" t="str">
        <f t="shared" si="79"/>
        <v>Apr</v>
      </c>
      <c r="O1701" s="5" t="str">
        <f t="shared" si="80"/>
        <v xml:space="preserve"> 2024</v>
      </c>
    </row>
    <row r="1702" spans="1:15" x14ac:dyDescent="0.35">
      <c r="A1702" t="s">
        <v>2418</v>
      </c>
      <c r="B1702" s="5" t="s">
        <v>1173</v>
      </c>
      <c r="C1702" s="4" t="s">
        <v>22</v>
      </c>
      <c r="D1702" s="4" t="s">
        <v>90</v>
      </c>
      <c r="E1702" s="4" t="s">
        <v>110</v>
      </c>
      <c r="F1702" s="4" t="s">
        <v>67</v>
      </c>
      <c r="G1702" s="4" t="s">
        <v>134</v>
      </c>
      <c r="H1702" s="4" t="s">
        <v>18</v>
      </c>
      <c r="I1702" s="4" t="s">
        <v>47</v>
      </c>
      <c r="J1702" s="3">
        <v>6</v>
      </c>
      <c r="K1702" s="6">
        <v>96024</v>
      </c>
      <c r="L1702" s="6">
        <f t="shared" si="78"/>
        <v>67216.800000000003</v>
      </c>
      <c r="M1702" s="6">
        <v>28807.199999999997</v>
      </c>
      <c r="N1702" s="5" t="str">
        <f t="shared" si="79"/>
        <v>Apr</v>
      </c>
      <c r="O1702" s="5" t="str">
        <f t="shared" si="80"/>
        <v xml:space="preserve"> 2024</v>
      </c>
    </row>
    <row r="1703" spans="1:15" x14ac:dyDescent="0.35">
      <c r="A1703" t="s">
        <v>2419</v>
      </c>
      <c r="B1703" s="5" t="s">
        <v>1468</v>
      </c>
      <c r="C1703" s="4" t="s">
        <v>13</v>
      </c>
      <c r="D1703" s="4" t="s">
        <v>125</v>
      </c>
      <c r="E1703" s="4" t="s">
        <v>126</v>
      </c>
      <c r="F1703" s="4" t="s">
        <v>37</v>
      </c>
      <c r="G1703" s="4" t="s">
        <v>186</v>
      </c>
      <c r="H1703" s="4" t="s">
        <v>27</v>
      </c>
      <c r="I1703" s="4" t="s">
        <v>47</v>
      </c>
      <c r="J1703" s="3">
        <v>1</v>
      </c>
      <c r="K1703" s="6">
        <v>36424</v>
      </c>
      <c r="L1703" s="6">
        <f t="shared" si="78"/>
        <v>25496.799999999999</v>
      </c>
      <c r="M1703" s="6">
        <v>10927.2</v>
      </c>
      <c r="N1703" s="5" t="str">
        <f t="shared" si="79"/>
        <v>Sep</v>
      </c>
      <c r="O1703" s="5" t="str">
        <f t="shared" si="80"/>
        <v xml:space="preserve"> 2024</v>
      </c>
    </row>
    <row r="1704" spans="1:15" x14ac:dyDescent="0.35">
      <c r="A1704" t="s">
        <v>2420</v>
      </c>
      <c r="B1704" s="5" t="s">
        <v>2353</v>
      </c>
      <c r="C1704" s="4" t="s">
        <v>31</v>
      </c>
      <c r="D1704" s="4" t="s">
        <v>104</v>
      </c>
      <c r="E1704" s="4" t="s">
        <v>105</v>
      </c>
      <c r="F1704" s="4" t="s">
        <v>37</v>
      </c>
      <c r="G1704" s="4" t="s">
        <v>38</v>
      </c>
      <c r="H1704" s="4" t="s">
        <v>27</v>
      </c>
      <c r="I1704" s="4" t="s">
        <v>19</v>
      </c>
      <c r="J1704" s="3">
        <v>1</v>
      </c>
      <c r="K1704" s="6">
        <v>23453</v>
      </c>
      <c r="L1704" s="6">
        <f t="shared" si="78"/>
        <v>16417.099999999999</v>
      </c>
      <c r="M1704" s="6">
        <v>7035.9000000000015</v>
      </c>
      <c r="N1704" s="5" t="str">
        <f t="shared" si="79"/>
        <v>Jun</v>
      </c>
      <c r="O1704" s="5" t="str">
        <f t="shared" si="80"/>
        <v xml:space="preserve"> 2024</v>
      </c>
    </row>
    <row r="1705" spans="1:15" x14ac:dyDescent="0.35">
      <c r="A1705" t="s">
        <v>2421</v>
      </c>
      <c r="B1705" s="5" t="s">
        <v>1618</v>
      </c>
      <c r="C1705" s="4" t="s">
        <v>31</v>
      </c>
      <c r="D1705" s="4" t="s">
        <v>32</v>
      </c>
      <c r="E1705" s="4" t="s">
        <v>33</v>
      </c>
      <c r="F1705" s="4" t="s">
        <v>16</v>
      </c>
      <c r="G1705" s="4" t="s">
        <v>17</v>
      </c>
      <c r="H1705" s="4" t="s">
        <v>18</v>
      </c>
      <c r="I1705" s="4" t="s">
        <v>60</v>
      </c>
      <c r="J1705" s="3">
        <v>7</v>
      </c>
      <c r="K1705" s="6">
        <v>245105</v>
      </c>
      <c r="L1705" s="6">
        <f t="shared" si="78"/>
        <v>171573.5</v>
      </c>
      <c r="M1705" s="6">
        <v>73531.5</v>
      </c>
      <c r="N1705" s="5" t="str">
        <f t="shared" si="79"/>
        <v>Apr</v>
      </c>
      <c r="O1705" s="5" t="str">
        <f t="shared" si="80"/>
        <v xml:space="preserve"> 2024</v>
      </c>
    </row>
    <row r="1706" spans="1:15" x14ac:dyDescent="0.35">
      <c r="A1706" t="s">
        <v>2422</v>
      </c>
      <c r="B1706" s="5" t="s">
        <v>1404</v>
      </c>
      <c r="C1706" s="4" t="s">
        <v>22</v>
      </c>
      <c r="D1706" s="4" t="s">
        <v>90</v>
      </c>
      <c r="E1706" s="4" t="s">
        <v>110</v>
      </c>
      <c r="F1706" s="4" t="s">
        <v>67</v>
      </c>
      <c r="G1706" s="4" t="s">
        <v>180</v>
      </c>
      <c r="H1706" s="4" t="s">
        <v>27</v>
      </c>
      <c r="I1706" s="4" t="s">
        <v>19</v>
      </c>
      <c r="J1706" s="3">
        <v>9</v>
      </c>
      <c r="K1706" s="6">
        <v>213840</v>
      </c>
      <c r="L1706" s="6">
        <f t="shared" si="78"/>
        <v>149688</v>
      </c>
      <c r="M1706" s="6">
        <v>64152</v>
      </c>
      <c r="N1706" s="5" t="str">
        <f t="shared" si="79"/>
        <v>Jan</v>
      </c>
      <c r="O1706" s="5" t="str">
        <f t="shared" si="80"/>
        <v xml:space="preserve"> 2023</v>
      </c>
    </row>
    <row r="1707" spans="1:15" x14ac:dyDescent="0.35">
      <c r="A1707" t="s">
        <v>2423</v>
      </c>
      <c r="B1707" s="5" t="s">
        <v>1069</v>
      </c>
      <c r="C1707" s="4" t="s">
        <v>31</v>
      </c>
      <c r="D1707" s="4" t="s">
        <v>32</v>
      </c>
      <c r="E1707" s="4" t="s">
        <v>33</v>
      </c>
      <c r="F1707" s="4" t="s">
        <v>16</v>
      </c>
      <c r="G1707" s="4" t="s">
        <v>34</v>
      </c>
      <c r="H1707" s="4" t="s">
        <v>72</v>
      </c>
      <c r="I1707" s="4" t="s">
        <v>47</v>
      </c>
      <c r="J1707" s="3">
        <v>7</v>
      </c>
      <c r="K1707" s="6">
        <v>333865</v>
      </c>
      <c r="L1707" s="6">
        <f t="shared" si="78"/>
        <v>233705.49999999997</v>
      </c>
      <c r="M1707" s="6">
        <v>100159.50000000003</v>
      </c>
      <c r="N1707" s="5" t="str">
        <f t="shared" si="79"/>
        <v>Feb</v>
      </c>
      <c r="O1707" s="5" t="str">
        <f t="shared" si="80"/>
        <v xml:space="preserve"> 2024</v>
      </c>
    </row>
    <row r="1708" spans="1:15" x14ac:dyDescent="0.35">
      <c r="A1708" t="s">
        <v>2424</v>
      </c>
      <c r="B1708" s="5" t="s">
        <v>1535</v>
      </c>
      <c r="C1708" s="4" t="s">
        <v>13</v>
      </c>
      <c r="D1708" s="4" t="s">
        <v>14</v>
      </c>
      <c r="E1708" s="4" t="s">
        <v>15</v>
      </c>
      <c r="F1708" s="4" t="s">
        <v>25</v>
      </c>
      <c r="G1708" s="4" t="s">
        <v>77</v>
      </c>
      <c r="H1708" s="4" t="s">
        <v>18</v>
      </c>
      <c r="I1708" s="4" t="s">
        <v>28</v>
      </c>
      <c r="J1708" s="3">
        <v>1</v>
      </c>
      <c r="K1708" s="6">
        <v>18819</v>
      </c>
      <c r="L1708" s="6">
        <f t="shared" si="78"/>
        <v>13173.3</v>
      </c>
      <c r="M1708" s="6">
        <v>5645.7000000000007</v>
      </c>
      <c r="N1708" s="5" t="str">
        <f t="shared" si="79"/>
        <v>Aug</v>
      </c>
      <c r="O1708" s="5" t="str">
        <f t="shared" si="80"/>
        <v xml:space="preserve"> 2023</v>
      </c>
    </row>
    <row r="1709" spans="1:15" x14ac:dyDescent="0.35">
      <c r="A1709" t="s">
        <v>2425</v>
      </c>
      <c r="B1709" s="5" t="s">
        <v>758</v>
      </c>
      <c r="C1709" s="4" t="s">
        <v>31</v>
      </c>
      <c r="D1709" s="4" t="s">
        <v>45</v>
      </c>
      <c r="E1709" s="4" t="s">
        <v>46</v>
      </c>
      <c r="F1709" s="4" t="s">
        <v>25</v>
      </c>
      <c r="G1709" s="4" t="s">
        <v>71</v>
      </c>
      <c r="H1709" s="4" t="s">
        <v>27</v>
      </c>
      <c r="I1709" s="4" t="s">
        <v>39</v>
      </c>
      <c r="J1709" s="3">
        <v>7</v>
      </c>
      <c r="K1709" s="6">
        <v>53984</v>
      </c>
      <c r="L1709" s="6">
        <f t="shared" si="78"/>
        <v>37788.799999999996</v>
      </c>
      <c r="M1709" s="6">
        <v>16195.200000000004</v>
      </c>
      <c r="N1709" s="5" t="str">
        <f t="shared" si="79"/>
        <v>Jul</v>
      </c>
      <c r="O1709" s="5" t="str">
        <f t="shared" si="80"/>
        <v xml:space="preserve"> 2023</v>
      </c>
    </row>
    <row r="1710" spans="1:15" x14ac:dyDescent="0.35">
      <c r="A1710" t="s">
        <v>2426</v>
      </c>
      <c r="B1710" s="5" t="s">
        <v>359</v>
      </c>
      <c r="C1710" s="4" t="s">
        <v>31</v>
      </c>
      <c r="D1710" s="4" t="s">
        <v>104</v>
      </c>
      <c r="E1710" s="4" t="s">
        <v>105</v>
      </c>
      <c r="F1710" s="4" t="s">
        <v>16</v>
      </c>
      <c r="G1710" s="4" t="s">
        <v>17</v>
      </c>
      <c r="H1710" s="4" t="s">
        <v>72</v>
      </c>
      <c r="I1710" s="4" t="s">
        <v>28</v>
      </c>
      <c r="J1710" s="3">
        <v>3</v>
      </c>
      <c r="K1710" s="6">
        <v>20550</v>
      </c>
      <c r="L1710" s="6">
        <f t="shared" si="78"/>
        <v>14384.999999999998</v>
      </c>
      <c r="M1710" s="6">
        <v>6165.0000000000018</v>
      </c>
      <c r="N1710" s="5" t="str">
        <f t="shared" si="79"/>
        <v>Feb</v>
      </c>
      <c r="O1710" s="5" t="str">
        <f t="shared" si="80"/>
        <v xml:space="preserve"> 2023</v>
      </c>
    </row>
    <row r="1711" spans="1:15" x14ac:dyDescent="0.35">
      <c r="A1711" t="s">
        <v>2427</v>
      </c>
      <c r="B1711" s="5" t="s">
        <v>2428</v>
      </c>
      <c r="C1711" s="4" t="s">
        <v>31</v>
      </c>
      <c r="D1711" s="4" t="s">
        <v>45</v>
      </c>
      <c r="E1711" s="4" t="s">
        <v>46</v>
      </c>
      <c r="F1711" s="4" t="s">
        <v>67</v>
      </c>
      <c r="G1711" s="4" t="s">
        <v>113</v>
      </c>
      <c r="H1711" s="4" t="s">
        <v>72</v>
      </c>
      <c r="I1711" s="4" t="s">
        <v>19</v>
      </c>
      <c r="J1711" s="3">
        <v>3</v>
      </c>
      <c r="K1711" s="6">
        <v>82761</v>
      </c>
      <c r="L1711" s="6">
        <f t="shared" si="78"/>
        <v>57932.7</v>
      </c>
      <c r="M1711" s="6">
        <v>24828.300000000003</v>
      </c>
      <c r="N1711" s="5" t="str">
        <f t="shared" si="79"/>
        <v>Apr</v>
      </c>
      <c r="O1711" s="5" t="str">
        <f t="shared" si="80"/>
        <v xml:space="preserve"> 2024</v>
      </c>
    </row>
    <row r="1712" spans="1:15" x14ac:dyDescent="0.35">
      <c r="A1712" t="s">
        <v>2429</v>
      </c>
      <c r="B1712" s="5" t="s">
        <v>692</v>
      </c>
      <c r="C1712" s="4" t="s">
        <v>31</v>
      </c>
      <c r="D1712" s="4" t="s">
        <v>104</v>
      </c>
      <c r="E1712" s="4" t="s">
        <v>105</v>
      </c>
      <c r="F1712" s="4" t="s">
        <v>16</v>
      </c>
      <c r="G1712" s="4" t="s">
        <v>34</v>
      </c>
      <c r="H1712" s="4" t="s">
        <v>72</v>
      </c>
      <c r="I1712" s="4" t="s">
        <v>28</v>
      </c>
      <c r="J1712" s="3">
        <v>9</v>
      </c>
      <c r="K1712" s="6">
        <v>300348</v>
      </c>
      <c r="L1712" s="6">
        <f t="shared" si="78"/>
        <v>210243.59999999998</v>
      </c>
      <c r="M1712" s="6">
        <v>90104.400000000023</v>
      </c>
      <c r="N1712" s="5" t="str">
        <f t="shared" si="79"/>
        <v>Mar</v>
      </c>
      <c r="O1712" s="5" t="str">
        <f t="shared" si="80"/>
        <v xml:space="preserve"> 2024</v>
      </c>
    </row>
    <row r="1713" spans="1:15" x14ac:dyDescent="0.35">
      <c r="A1713" t="s">
        <v>2430</v>
      </c>
      <c r="B1713" s="5" t="s">
        <v>361</v>
      </c>
      <c r="C1713" s="4" t="s">
        <v>22</v>
      </c>
      <c r="D1713" s="4" t="s">
        <v>23</v>
      </c>
      <c r="E1713" s="4" t="s">
        <v>24</v>
      </c>
      <c r="F1713" s="4" t="s">
        <v>37</v>
      </c>
      <c r="G1713" s="4" t="s">
        <v>148</v>
      </c>
      <c r="H1713" s="4" t="s">
        <v>72</v>
      </c>
      <c r="I1713" s="4" t="s">
        <v>47</v>
      </c>
      <c r="J1713" s="3">
        <v>5</v>
      </c>
      <c r="K1713" s="6">
        <v>92315</v>
      </c>
      <c r="L1713" s="6">
        <f t="shared" si="78"/>
        <v>64620.499999999993</v>
      </c>
      <c r="M1713" s="6">
        <v>27694.500000000007</v>
      </c>
      <c r="N1713" s="5" t="str">
        <f t="shared" si="79"/>
        <v>Apr</v>
      </c>
      <c r="O1713" s="5" t="str">
        <f t="shared" si="80"/>
        <v xml:space="preserve"> 2023</v>
      </c>
    </row>
    <row r="1714" spans="1:15" x14ac:dyDescent="0.35">
      <c r="A1714" t="s">
        <v>2431</v>
      </c>
      <c r="B1714" s="5" t="s">
        <v>1596</v>
      </c>
      <c r="C1714" s="4" t="s">
        <v>13</v>
      </c>
      <c r="D1714" s="4" t="s">
        <v>162</v>
      </c>
      <c r="E1714" s="4" t="s">
        <v>163</v>
      </c>
      <c r="F1714" s="4" t="s">
        <v>67</v>
      </c>
      <c r="G1714" s="4" t="s">
        <v>68</v>
      </c>
      <c r="H1714" s="4" t="s">
        <v>27</v>
      </c>
      <c r="I1714" s="4" t="s">
        <v>60</v>
      </c>
      <c r="J1714" s="3">
        <v>3</v>
      </c>
      <c r="K1714" s="6">
        <v>18546</v>
      </c>
      <c r="L1714" s="6">
        <f t="shared" si="78"/>
        <v>12982.199999999999</v>
      </c>
      <c r="M1714" s="6">
        <v>5563.8000000000011</v>
      </c>
      <c r="N1714" s="5" t="str">
        <f t="shared" si="79"/>
        <v>Mar</v>
      </c>
      <c r="O1714" s="5" t="str">
        <f t="shared" si="80"/>
        <v xml:space="preserve"> 2024</v>
      </c>
    </row>
    <row r="1715" spans="1:15" x14ac:dyDescent="0.35">
      <c r="A1715" t="s">
        <v>2432</v>
      </c>
      <c r="B1715" s="5" t="s">
        <v>1537</v>
      </c>
      <c r="C1715" s="4" t="s">
        <v>22</v>
      </c>
      <c r="D1715" s="4" t="s">
        <v>90</v>
      </c>
      <c r="E1715" s="4" t="s">
        <v>110</v>
      </c>
      <c r="F1715" s="4" t="s">
        <v>37</v>
      </c>
      <c r="G1715" s="4" t="s">
        <v>148</v>
      </c>
      <c r="H1715" s="4" t="s">
        <v>27</v>
      </c>
      <c r="I1715" s="4" t="s">
        <v>39</v>
      </c>
      <c r="J1715" s="3">
        <v>10</v>
      </c>
      <c r="K1715" s="6">
        <v>42880</v>
      </c>
      <c r="L1715" s="6">
        <f t="shared" si="78"/>
        <v>30015.999999999996</v>
      </c>
      <c r="M1715" s="6">
        <v>12864.000000000004</v>
      </c>
      <c r="N1715" s="5" t="str">
        <f t="shared" si="79"/>
        <v>Jan</v>
      </c>
      <c r="O1715" s="5" t="str">
        <f t="shared" si="80"/>
        <v xml:space="preserve"> 2024</v>
      </c>
    </row>
    <row r="1716" spans="1:15" x14ac:dyDescent="0.35">
      <c r="A1716" t="s">
        <v>2433</v>
      </c>
      <c r="B1716" s="5" t="s">
        <v>2150</v>
      </c>
      <c r="C1716" s="4" t="s">
        <v>22</v>
      </c>
      <c r="D1716" s="4" t="s">
        <v>23</v>
      </c>
      <c r="E1716" s="4" t="s">
        <v>24</v>
      </c>
      <c r="F1716" s="4" t="s">
        <v>16</v>
      </c>
      <c r="G1716" s="4" t="s">
        <v>34</v>
      </c>
      <c r="H1716" s="4" t="s">
        <v>72</v>
      </c>
      <c r="I1716" s="4" t="s">
        <v>19</v>
      </c>
      <c r="J1716" s="3">
        <v>7</v>
      </c>
      <c r="K1716" s="6">
        <v>220948</v>
      </c>
      <c r="L1716" s="6">
        <f t="shared" si="78"/>
        <v>154663.59999999998</v>
      </c>
      <c r="M1716" s="6">
        <v>66284.400000000023</v>
      </c>
      <c r="N1716" s="5" t="str">
        <f t="shared" si="79"/>
        <v>Aug</v>
      </c>
      <c r="O1716" s="5" t="str">
        <f t="shared" si="80"/>
        <v xml:space="preserve"> 2023</v>
      </c>
    </row>
    <row r="1717" spans="1:15" x14ac:dyDescent="0.35">
      <c r="A1717" t="s">
        <v>2434</v>
      </c>
      <c r="B1717" s="5" t="s">
        <v>322</v>
      </c>
      <c r="C1717" s="4" t="s">
        <v>31</v>
      </c>
      <c r="D1717" s="4" t="s">
        <v>50</v>
      </c>
      <c r="E1717" s="4" t="s">
        <v>51</v>
      </c>
      <c r="F1717" s="4" t="s">
        <v>37</v>
      </c>
      <c r="G1717" s="4" t="s">
        <v>38</v>
      </c>
      <c r="H1717" s="4" t="s">
        <v>72</v>
      </c>
      <c r="I1717" s="4" t="s">
        <v>47</v>
      </c>
      <c r="J1717" s="3">
        <v>7</v>
      </c>
      <c r="K1717" s="6">
        <v>283843</v>
      </c>
      <c r="L1717" s="6">
        <f t="shared" si="78"/>
        <v>198690.09999999998</v>
      </c>
      <c r="M1717" s="6">
        <v>85152.900000000023</v>
      </c>
      <c r="N1717" s="5" t="str">
        <f t="shared" si="79"/>
        <v>Apr</v>
      </c>
      <c r="O1717" s="5" t="str">
        <f t="shared" si="80"/>
        <v xml:space="preserve"> 2024</v>
      </c>
    </row>
    <row r="1718" spans="1:15" x14ac:dyDescent="0.35">
      <c r="A1718" t="s">
        <v>2435</v>
      </c>
      <c r="B1718" s="5" t="s">
        <v>537</v>
      </c>
      <c r="C1718" s="4" t="s">
        <v>31</v>
      </c>
      <c r="D1718" s="4" t="s">
        <v>104</v>
      </c>
      <c r="E1718" s="4" t="s">
        <v>105</v>
      </c>
      <c r="F1718" s="4" t="s">
        <v>25</v>
      </c>
      <c r="G1718" s="4" t="s">
        <v>26</v>
      </c>
      <c r="H1718" s="4" t="s">
        <v>27</v>
      </c>
      <c r="I1718" s="4" t="s">
        <v>28</v>
      </c>
      <c r="J1718" s="3">
        <v>10</v>
      </c>
      <c r="K1718" s="6">
        <v>296740</v>
      </c>
      <c r="L1718" s="6">
        <f t="shared" si="78"/>
        <v>207718</v>
      </c>
      <c r="M1718" s="6">
        <v>89022</v>
      </c>
      <c r="N1718" s="5" t="str">
        <f t="shared" si="79"/>
        <v>Oct</v>
      </c>
      <c r="O1718" s="5" t="str">
        <f t="shared" si="80"/>
        <v xml:space="preserve"> 2024</v>
      </c>
    </row>
    <row r="1719" spans="1:15" x14ac:dyDescent="0.35">
      <c r="A1719" t="s">
        <v>2436</v>
      </c>
      <c r="B1719" s="5" t="s">
        <v>522</v>
      </c>
      <c r="C1719" s="4" t="s">
        <v>22</v>
      </c>
      <c r="D1719" s="4" t="s">
        <v>90</v>
      </c>
      <c r="E1719" s="4" t="s">
        <v>110</v>
      </c>
      <c r="F1719" s="4" t="s">
        <v>37</v>
      </c>
      <c r="G1719" s="4" t="s">
        <v>186</v>
      </c>
      <c r="H1719" s="4" t="s">
        <v>27</v>
      </c>
      <c r="I1719" s="4" t="s">
        <v>39</v>
      </c>
      <c r="J1719" s="3">
        <v>5</v>
      </c>
      <c r="K1719" s="6">
        <v>62685</v>
      </c>
      <c r="L1719" s="6">
        <f t="shared" si="78"/>
        <v>43879.5</v>
      </c>
      <c r="M1719" s="6">
        <v>18805.5</v>
      </c>
      <c r="N1719" s="5" t="str">
        <f t="shared" si="79"/>
        <v>Feb</v>
      </c>
      <c r="O1719" s="5" t="str">
        <f t="shared" si="80"/>
        <v xml:space="preserve"> 2024</v>
      </c>
    </row>
    <row r="1720" spans="1:15" x14ac:dyDescent="0.35">
      <c r="A1720" t="s">
        <v>2437</v>
      </c>
      <c r="B1720" s="5" t="s">
        <v>1221</v>
      </c>
      <c r="C1720" s="4" t="s">
        <v>22</v>
      </c>
      <c r="D1720" s="4" t="s">
        <v>90</v>
      </c>
      <c r="E1720" s="4" t="s">
        <v>110</v>
      </c>
      <c r="F1720" s="4" t="s">
        <v>37</v>
      </c>
      <c r="G1720" s="4" t="s">
        <v>186</v>
      </c>
      <c r="H1720" s="4" t="s">
        <v>27</v>
      </c>
      <c r="I1720" s="4" t="s">
        <v>39</v>
      </c>
      <c r="J1720" s="3">
        <v>5</v>
      </c>
      <c r="K1720" s="6">
        <v>107440</v>
      </c>
      <c r="L1720" s="6">
        <f t="shared" si="78"/>
        <v>75208</v>
      </c>
      <c r="M1720" s="6">
        <v>32232</v>
      </c>
      <c r="N1720" s="5" t="str">
        <f t="shared" si="79"/>
        <v>Jun</v>
      </c>
      <c r="O1720" s="5" t="str">
        <f t="shared" si="80"/>
        <v xml:space="preserve"> 2024</v>
      </c>
    </row>
    <row r="1721" spans="1:15" x14ac:dyDescent="0.35">
      <c r="A1721" t="s">
        <v>2438</v>
      </c>
      <c r="B1721" s="5" t="s">
        <v>1900</v>
      </c>
      <c r="C1721" s="4" t="s">
        <v>31</v>
      </c>
      <c r="D1721" s="4" t="s">
        <v>32</v>
      </c>
      <c r="E1721" s="4" t="s">
        <v>33</v>
      </c>
      <c r="F1721" s="4" t="s">
        <v>67</v>
      </c>
      <c r="G1721" s="4" t="s">
        <v>68</v>
      </c>
      <c r="H1721" s="4" t="s">
        <v>27</v>
      </c>
      <c r="I1721" s="4" t="s">
        <v>39</v>
      </c>
      <c r="J1721" s="3">
        <v>8</v>
      </c>
      <c r="K1721" s="6">
        <v>25496</v>
      </c>
      <c r="L1721" s="6">
        <f t="shared" si="78"/>
        <v>17847.199999999997</v>
      </c>
      <c r="M1721" s="6">
        <v>7648.8000000000029</v>
      </c>
      <c r="N1721" s="5" t="str">
        <f t="shared" si="79"/>
        <v>Jul</v>
      </c>
      <c r="O1721" s="5" t="str">
        <f t="shared" si="80"/>
        <v xml:space="preserve"> 2023</v>
      </c>
    </row>
    <row r="1722" spans="1:15" x14ac:dyDescent="0.35">
      <c r="A1722" t="s">
        <v>2439</v>
      </c>
      <c r="B1722" s="5" t="s">
        <v>913</v>
      </c>
      <c r="C1722" s="4" t="s">
        <v>13</v>
      </c>
      <c r="D1722" s="4" t="s">
        <v>118</v>
      </c>
      <c r="E1722" s="4" t="s">
        <v>119</v>
      </c>
      <c r="F1722" s="4" t="s">
        <v>25</v>
      </c>
      <c r="G1722" s="4" t="s">
        <v>71</v>
      </c>
      <c r="H1722" s="4" t="s">
        <v>72</v>
      </c>
      <c r="I1722" s="4" t="s">
        <v>60</v>
      </c>
      <c r="J1722" s="3">
        <v>4</v>
      </c>
      <c r="K1722" s="6">
        <v>151888</v>
      </c>
      <c r="L1722" s="6">
        <f t="shared" si="78"/>
        <v>106321.59999999999</v>
      </c>
      <c r="M1722" s="6">
        <v>45566.400000000009</v>
      </c>
      <c r="N1722" s="5" t="str">
        <f t="shared" si="79"/>
        <v>Sep</v>
      </c>
      <c r="O1722" s="5" t="str">
        <f t="shared" si="80"/>
        <v xml:space="preserve"> 2023</v>
      </c>
    </row>
    <row r="1723" spans="1:15" x14ac:dyDescent="0.35">
      <c r="A1723" t="s">
        <v>2440</v>
      </c>
      <c r="B1723" s="5" t="s">
        <v>795</v>
      </c>
      <c r="C1723" s="4" t="s">
        <v>22</v>
      </c>
      <c r="D1723" s="4" t="s">
        <v>90</v>
      </c>
      <c r="E1723" s="4" t="s">
        <v>91</v>
      </c>
      <c r="F1723" s="4" t="s">
        <v>16</v>
      </c>
      <c r="G1723" s="4" t="s">
        <v>42</v>
      </c>
      <c r="H1723" s="4" t="s">
        <v>72</v>
      </c>
      <c r="I1723" s="4" t="s">
        <v>19</v>
      </c>
      <c r="J1723" s="3">
        <v>10</v>
      </c>
      <c r="K1723" s="6">
        <v>234320</v>
      </c>
      <c r="L1723" s="6">
        <f t="shared" si="78"/>
        <v>164024</v>
      </c>
      <c r="M1723" s="6">
        <v>70296</v>
      </c>
      <c r="N1723" s="5" t="str">
        <f t="shared" si="79"/>
        <v>Mar</v>
      </c>
      <c r="O1723" s="5" t="str">
        <f t="shared" si="80"/>
        <v xml:space="preserve"> 2024</v>
      </c>
    </row>
    <row r="1724" spans="1:15" x14ac:dyDescent="0.35">
      <c r="A1724" t="s">
        <v>2441</v>
      </c>
      <c r="B1724" s="5" t="s">
        <v>1128</v>
      </c>
      <c r="C1724" s="4" t="s">
        <v>31</v>
      </c>
      <c r="D1724" s="4" t="s">
        <v>45</v>
      </c>
      <c r="E1724" s="4" t="s">
        <v>46</v>
      </c>
      <c r="F1724" s="4" t="s">
        <v>25</v>
      </c>
      <c r="G1724" s="4" t="s">
        <v>71</v>
      </c>
      <c r="H1724" s="4" t="s">
        <v>72</v>
      </c>
      <c r="I1724" s="4" t="s">
        <v>19</v>
      </c>
      <c r="J1724" s="3">
        <v>8</v>
      </c>
      <c r="K1724" s="6">
        <v>61168</v>
      </c>
      <c r="L1724" s="6">
        <f t="shared" si="78"/>
        <v>42817.599999999999</v>
      </c>
      <c r="M1724" s="6">
        <v>18350.400000000001</v>
      </c>
      <c r="N1724" s="5" t="str">
        <f t="shared" si="79"/>
        <v>Feb</v>
      </c>
      <c r="O1724" s="5" t="str">
        <f t="shared" si="80"/>
        <v xml:space="preserve"> 2023</v>
      </c>
    </row>
    <row r="1725" spans="1:15" x14ac:dyDescent="0.35">
      <c r="A1725" t="s">
        <v>2442</v>
      </c>
      <c r="B1725" s="5" t="s">
        <v>579</v>
      </c>
      <c r="C1725" s="4" t="s">
        <v>55</v>
      </c>
      <c r="D1725" s="4" t="s">
        <v>63</v>
      </c>
      <c r="E1725" s="4" t="s">
        <v>64</v>
      </c>
      <c r="F1725" s="4" t="s">
        <v>67</v>
      </c>
      <c r="G1725" s="4" t="s">
        <v>134</v>
      </c>
      <c r="H1725" s="4" t="s">
        <v>18</v>
      </c>
      <c r="I1725" s="4" t="s">
        <v>60</v>
      </c>
      <c r="J1725" s="3">
        <v>3</v>
      </c>
      <c r="K1725" s="6">
        <v>122409</v>
      </c>
      <c r="L1725" s="6">
        <f t="shared" si="78"/>
        <v>85686.299999999988</v>
      </c>
      <c r="M1725" s="6">
        <v>36722.700000000012</v>
      </c>
      <c r="N1725" s="5" t="str">
        <f t="shared" si="79"/>
        <v>Oct</v>
      </c>
      <c r="O1725" s="5" t="str">
        <f t="shared" si="80"/>
        <v xml:space="preserve"> 2024</v>
      </c>
    </row>
    <row r="1726" spans="1:15" x14ac:dyDescent="0.35">
      <c r="A1726" t="s">
        <v>2443</v>
      </c>
      <c r="B1726" s="5" t="s">
        <v>994</v>
      </c>
      <c r="C1726" s="4" t="s">
        <v>22</v>
      </c>
      <c r="D1726" s="4" t="s">
        <v>90</v>
      </c>
      <c r="E1726" s="4" t="s">
        <v>110</v>
      </c>
      <c r="F1726" s="4" t="s">
        <v>25</v>
      </c>
      <c r="G1726" s="4" t="s">
        <v>77</v>
      </c>
      <c r="H1726" s="4" t="s">
        <v>27</v>
      </c>
      <c r="I1726" s="4" t="s">
        <v>47</v>
      </c>
      <c r="J1726" s="3">
        <v>3</v>
      </c>
      <c r="K1726" s="6">
        <v>44277</v>
      </c>
      <c r="L1726" s="6">
        <f t="shared" si="78"/>
        <v>30993.899999999998</v>
      </c>
      <c r="M1726" s="6">
        <v>13283.100000000002</v>
      </c>
      <c r="N1726" s="5" t="str">
        <f t="shared" si="79"/>
        <v>Dec</v>
      </c>
      <c r="O1726" s="5" t="str">
        <f t="shared" si="80"/>
        <v xml:space="preserve"> 2023</v>
      </c>
    </row>
    <row r="1727" spans="1:15" x14ac:dyDescent="0.35">
      <c r="A1727" t="s">
        <v>2444</v>
      </c>
      <c r="B1727" s="5" t="s">
        <v>2281</v>
      </c>
      <c r="C1727" s="4" t="s">
        <v>31</v>
      </c>
      <c r="D1727" s="4" t="s">
        <v>32</v>
      </c>
      <c r="E1727" s="4" t="s">
        <v>33</v>
      </c>
      <c r="F1727" s="4" t="s">
        <v>67</v>
      </c>
      <c r="G1727" s="4" t="s">
        <v>68</v>
      </c>
      <c r="H1727" s="4" t="s">
        <v>18</v>
      </c>
      <c r="I1727" s="4" t="s">
        <v>60</v>
      </c>
      <c r="J1727" s="3">
        <v>7</v>
      </c>
      <c r="K1727" s="6">
        <v>70413</v>
      </c>
      <c r="L1727" s="6">
        <f t="shared" si="78"/>
        <v>49289.1</v>
      </c>
      <c r="M1727" s="6">
        <v>21123.9</v>
      </c>
      <c r="N1727" s="5" t="str">
        <f t="shared" si="79"/>
        <v>Mar</v>
      </c>
      <c r="O1727" s="5" t="str">
        <f t="shared" si="80"/>
        <v xml:space="preserve"> 2023</v>
      </c>
    </row>
    <row r="1728" spans="1:15" x14ac:dyDescent="0.35">
      <c r="A1728" t="s">
        <v>2445</v>
      </c>
      <c r="B1728" s="5" t="s">
        <v>209</v>
      </c>
      <c r="C1728" s="4" t="s">
        <v>31</v>
      </c>
      <c r="D1728" s="4" t="s">
        <v>32</v>
      </c>
      <c r="E1728" s="4" t="s">
        <v>33</v>
      </c>
      <c r="F1728" s="4" t="s">
        <v>37</v>
      </c>
      <c r="G1728" s="4" t="s">
        <v>38</v>
      </c>
      <c r="H1728" s="4" t="s">
        <v>72</v>
      </c>
      <c r="I1728" s="4" t="s">
        <v>39</v>
      </c>
      <c r="J1728" s="3">
        <v>3</v>
      </c>
      <c r="K1728" s="6">
        <v>85311</v>
      </c>
      <c r="L1728" s="6">
        <f t="shared" si="78"/>
        <v>59717.7</v>
      </c>
      <c r="M1728" s="6">
        <v>25593.300000000003</v>
      </c>
      <c r="N1728" s="5" t="str">
        <f t="shared" si="79"/>
        <v>Oct</v>
      </c>
      <c r="O1728" s="5" t="str">
        <f t="shared" si="80"/>
        <v xml:space="preserve"> 2024</v>
      </c>
    </row>
    <row r="1729" spans="1:15" x14ac:dyDescent="0.35">
      <c r="A1729" t="s">
        <v>2446</v>
      </c>
      <c r="B1729" s="5" t="s">
        <v>2447</v>
      </c>
      <c r="C1729" s="4" t="s">
        <v>55</v>
      </c>
      <c r="D1729" s="4" t="s">
        <v>63</v>
      </c>
      <c r="E1729" s="4" t="s">
        <v>64</v>
      </c>
      <c r="F1729" s="4" t="s">
        <v>67</v>
      </c>
      <c r="G1729" s="4" t="s">
        <v>134</v>
      </c>
      <c r="H1729" s="4" t="s">
        <v>72</v>
      </c>
      <c r="I1729" s="4" t="s">
        <v>60</v>
      </c>
      <c r="J1729" s="3">
        <v>8</v>
      </c>
      <c r="K1729" s="6">
        <v>398744</v>
      </c>
      <c r="L1729" s="6">
        <f t="shared" si="78"/>
        <v>279120.8</v>
      </c>
      <c r="M1729" s="6">
        <v>119623.20000000001</v>
      </c>
      <c r="N1729" s="5" t="str">
        <f t="shared" si="79"/>
        <v>Mar</v>
      </c>
      <c r="O1729" s="5" t="str">
        <f t="shared" si="80"/>
        <v xml:space="preserve"> 2023</v>
      </c>
    </row>
    <row r="1730" spans="1:15" x14ac:dyDescent="0.35">
      <c r="A1730" t="s">
        <v>2448</v>
      </c>
      <c r="B1730" s="5" t="s">
        <v>1839</v>
      </c>
      <c r="C1730" s="4" t="s">
        <v>13</v>
      </c>
      <c r="D1730" s="4" t="s">
        <v>125</v>
      </c>
      <c r="E1730" s="4" t="s">
        <v>126</v>
      </c>
      <c r="F1730" s="4" t="s">
        <v>67</v>
      </c>
      <c r="G1730" s="4" t="s">
        <v>113</v>
      </c>
      <c r="H1730" s="4" t="s">
        <v>18</v>
      </c>
      <c r="I1730" s="4" t="s">
        <v>39</v>
      </c>
      <c r="J1730" s="3">
        <v>8</v>
      </c>
      <c r="K1730" s="6">
        <v>319200</v>
      </c>
      <c r="L1730" s="6">
        <f t="shared" ref="L1730:L1793" si="81">K1730*0.7</f>
        <v>223440</v>
      </c>
      <c r="M1730" s="6">
        <v>95760</v>
      </c>
      <c r="N1730" s="5" t="str">
        <f t="shared" ref="N1730:N1793" si="82">TEXT(B1730,"mmm")</f>
        <v>May</v>
      </c>
      <c r="O1730" s="5" t="str">
        <f t="shared" ref="O1730:O1793" si="83">TEXT(B1730," yyyy")</f>
        <v xml:space="preserve"> 2024</v>
      </c>
    </row>
    <row r="1731" spans="1:15" x14ac:dyDescent="0.35">
      <c r="A1731" t="s">
        <v>2449</v>
      </c>
      <c r="B1731" s="5" t="s">
        <v>1311</v>
      </c>
      <c r="C1731" s="4" t="s">
        <v>55</v>
      </c>
      <c r="D1731" s="4" t="s">
        <v>56</v>
      </c>
      <c r="E1731" s="4" t="s">
        <v>57</v>
      </c>
      <c r="F1731" s="4" t="s">
        <v>37</v>
      </c>
      <c r="G1731" s="4" t="s">
        <v>38</v>
      </c>
      <c r="H1731" s="4" t="s">
        <v>27</v>
      </c>
      <c r="I1731" s="4" t="s">
        <v>28</v>
      </c>
      <c r="J1731" s="3">
        <v>8</v>
      </c>
      <c r="K1731" s="6">
        <v>333240</v>
      </c>
      <c r="L1731" s="6">
        <f t="shared" si="81"/>
        <v>233267.99999999997</v>
      </c>
      <c r="M1731" s="6">
        <v>99972.000000000029</v>
      </c>
      <c r="N1731" s="5" t="str">
        <f t="shared" si="82"/>
        <v>Aug</v>
      </c>
      <c r="O1731" s="5" t="str">
        <f t="shared" si="83"/>
        <v xml:space="preserve"> 2024</v>
      </c>
    </row>
    <row r="1732" spans="1:15" x14ac:dyDescent="0.35">
      <c r="A1732" t="s">
        <v>2450</v>
      </c>
      <c r="B1732" s="5" t="s">
        <v>883</v>
      </c>
      <c r="C1732" s="4" t="s">
        <v>13</v>
      </c>
      <c r="D1732" s="4" t="s">
        <v>118</v>
      </c>
      <c r="E1732" s="4" t="s">
        <v>119</v>
      </c>
      <c r="F1732" s="4" t="s">
        <v>25</v>
      </c>
      <c r="G1732" s="4" t="s">
        <v>52</v>
      </c>
      <c r="H1732" s="4" t="s">
        <v>18</v>
      </c>
      <c r="I1732" s="4" t="s">
        <v>47</v>
      </c>
      <c r="J1732" s="3">
        <v>3</v>
      </c>
      <c r="K1732" s="6">
        <v>13308</v>
      </c>
      <c r="L1732" s="6">
        <f t="shared" si="81"/>
        <v>9315.5999999999985</v>
      </c>
      <c r="M1732" s="6">
        <v>3992.4000000000015</v>
      </c>
      <c r="N1732" s="5" t="str">
        <f t="shared" si="82"/>
        <v>May</v>
      </c>
      <c r="O1732" s="5" t="str">
        <f t="shared" si="83"/>
        <v xml:space="preserve"> 2024</v>
      </c>
    </row>
    <row r="1733" spans="1:15" x14ac:dyDescent="0.35">
      <c r="A1733" t="s">
        <v>2451</v>
      </c>
      <c r="B1733" s="5" t="s">
        <v>171</v>
      </c>
      <c r="C1733" s="4" t="s">
        <v>31</v>
      </c>
      <c r="D1733" s="4" t="s">
        <v>45</v>
      </c>
      <c r="E1733" s="4" t="s">
        <v>46</v>
      </c>
      <c r="F1733" s="4" t="s">
        <v>67</v>
      </c>
      <c r="G1733" s="4" t="s">
        <v>134</v>
      </c>
      <c r="H1733" s="4" t="s">
        <v>72</v>
      </c>
      <c r="I1733" s="4" t="s">
        <v>39</v>
      </c>
      <c r="J1733" s="3">
        <v>3</v>
      </c>
      <c r="K1733" s="6">
        <v>75246</v>
      </c>
      <c r="L1733" s="6">
        <f t="shared" si="81"/>
        <v>52672.2</v>
      </c>
      <c r="M1733" s="6">
        <v>22573.800000000003</v>
      </c>
      <c r="N1733" s="5" t="str">
        <f t="shared" si="82"/>
        <v>Mar</v>
      </c>
      <c r="O1733" s="5" t="str">
        <f t="shared" si="83"/>
        <v xml:space="preserve"> 2023</v>
      </c>
    </row>
    <row r="1734" spans="1:15" x14ac:dyDescent="0.35">
      <c r="A1734" t="s">
        <v>2452</v>
      </c>
      <c r="B1734" s="5" t="s">
        <v>2447</v>
      </c>
      <c r="C1734" s="4" t="s">
        <v>55</v>
      </c>
      <c r="D1734" s="4" t="s">
        <v>82</v>
      </c>
      <c r="E1734" s="4" t="s">
        <v>83</v>
      </c>
      <c r="F1734" s="4" t="s">
        <v>67</v>
      </c>
      <c r="G1734" s="4" t="s">
        <v>113</v>
      </c>
      <c r="H1734" s="4" t="s">
        <v>18</v>
      </c>
      <c r="I1734" s="4" t="s">
        <v>28</v>
      </c>
      <c r="J1734" s="3">
        <v>3</v>
      </c>
      <c r="K1734" s="6">
        <v>18090</v>
      </c>
      <c r="L1734" s="6">
        <f t="shared" si="81"/>
        <v>12663</v>
      </c>
      <c r="M1734" s="6">
        <v>5427</v>
      </c>
      <c r="N1734" s="5" t="str">
        <f t="shared" si="82"/>
        <v>Mar</v>
      </c>
      <c r="O1734" s="5" t="str">
        <f t="shared" si="83"/>
        <v xml:space="preserve"> 2023</v>
      </c>
    </row>
    <row r="1735" spans="1:15" x14ac:dyDescent="0.35">
      <c r="A1735" t="s">
        <v>2453</v>
      </c>
      <c r="B1735" s="5" t="s">
        <v>457</v>
      </c>
      <c r="C1735" s="4" t="s">
        <v>13</v>
      </c>
      <c r="D1735" s="4" t="s">
        <v>118</v>
      </c>
      <c r="E1735" s="4" t="s">
        <v>119</v>
      </c>
      <c r="F1735" s="4" t="s">
        <v>67</v>
      </c>
      <c r="G1735" s="4" t="s">
        <v>113</v>
      </c>
      <c r="H1735" s="4" t="s">
        <v>27</v>
      </c>
      <c r="I1735" s="4" t="s">
        <v>47</v>
      </c>
      <c r="J1735" s="3">
        <v>8</v>
      </c>
      <c r="K1735" s="6">
        <v>387616</v>
      </c>
      <c r="L1735" s="6">
        <f t="shared" si="81"/>
        <v>271331.20000000001</v>
      </c>
      <c r="M1735" s="6">
        <v>116284.79999999999</v>
      </c>
      <c r="N1735" s="5" t="str">
        <f t="shared" si="82"/>
        <v>Apr</v>
      </c>
      <c r="O1735" s="5" t="str">
        <f t="shared" si="83"/>
        <v xml:space="preserve"> 2024</v>
      </c>
    </row>
    <row r="1736" spans="1:15" x14ac:dyDescent="0.35">
      <c r="A1736" t="s">
        <v>2454</v>
      </c>
      <c r="B1736" s="5" t="s">
        <v>811</v>
      </c>
      <c r="C1736" s="4" t="s">
        <v>22</v>
      </c>
      <c r="D1736" s="4" t="s">
        <v>90</v>
      </c>
      <c r="E1736" s="4" t="s">
        <v>110</v>
      </c>
      <c r="F1736" s="4" t="s">
        <v>67</v>
      </c>
      <c r="G1736" s="4" t="s">
        <v>113</v>
      </c>
      <c r="H1736" s="4" t="s">
        <v>27</v>
      </c>
      <c r="I1736" s="4" t="s">
        <v>60</v>
      </c>
      <c r="J1736" s="3">
        <v>7</v>
      </c>
      <c r="K1736" s="6">
        <v>214606</v>
      </c>
      <c r="L1736" s="6">
        <f t="shared" si="81"/>
        <v>150224.19999999998</v>
      </c>
      <c r="M1736" s="6">
        <v>64381.800000000017</v>
      </c>
      <c r="N1736" s="5" t="str">
        <f t="shared" si="82"/>
        <v>Jan</v>
      </c>
      <c r="O1736" s="5" t="str">
        <f t="shared" si="83"/>
        <v xml:space="preserve"> 2024</v>
      </c>
    </row>
    <row r="1737" spans="1:15" x14ac:dyDescent="0.35">
      <c r="A1737" t="s">
        <v>2455</v>
      </c>
      <c r="B1737" s="5" t="s">
        <v>715</v>
      </c>
      <c r="C1737" s="4" t="s">
        <v>31</v>
      </c>
      <c r="D1737" s="4" t="s">
        <v>45</v>
      </c>
      <c r="E1737" s="4" t="s">
        <v>46</v>
      </c>
      <c r="F1737" s="4" t="s">
        <v>67</v>
      </c>
      <c r="G1737" s="4" t="s">
        <v>113</v>
      </c>
      <c r="H1737" s="4" t="s">
        <v>18</v>
      </c>
      <c r="I1737" s="4" t="s">
        <v>19</v>
      </c>
      <c r="J1737" s="3">
        <v>1</v>
      </c>
      <c r="K1737" s="6">
        <v>44468</v>
      </c>
      <c r="L1737" s="6">
        <f t="shared" si="81"/>
        <v>31127.599999999999</v>
      </c>
      <c r="M1737" s="6">
        <v>13340.400000000001</v>
      </c>
      <c r="N1737" s="5" t="str">
        <f t="shared" si="82"/>
        <v>Jul</v>
      </c>
      <c r="O1737" s="5" t="str">
        <f t="shared" si="83"/>
        <v xml:space="preserve"> 2024</v>
      </c>
    </row>
    <row r="1738" spans="1:15" x14ac:dyDescent="0.35">
      <c r="A1738" t="s">
        <v>2456</v>
      </c>
      <c r="B1738" s="5" t="s">
        <v>1206</v>
      </c>
      <c r="C1738" s="4" t="s">
        <v>13</v>
      </c>
      <c r="D1738" s="4" t="s">
        <v>162</v>
      </c>
      <c r="E1738" s="4" t="s">
        <v>163</v>
      </c>
      <c r="F1738" s="4" t="s">
        <v>16</v>
      </c>
      <c r="G1738" s="4" t="s">
        <v>34</v>
      </c>
      <c r="H1738" s="4" t="s">
        <v>27</v>
      </c>
      <c r="I1738" s="4" t="s">
        <v>47</v>
      </c>
      <c r="J1738" s="3">
        <v>9</v>
      </c>
      <c r="K1738" s="6">
        <v>308565</v>
      </c>
      <c r="L1738" s="6">
        <f t="shared" si="81"/>
        <v>215995.5</v>
      </c>
      <c r="M1738" s="6">
        <v>92569.5</v>
      </c>
      <c r="N1738" s="5" t="str">
        <f t="shared" si="82"/>
        <v>Feb</v>
      </c>
      <c r="O1738" s="5" t="str">
        <f t="shared" si="83"/>
        <v xml:space="preserve"> 2024</v>
      </c>
    </row>
    <row r="1739" spans="1:15" x14ac:dyDescent="0.35">
      <c r="A1739" t="s">
        <v>2457</v>
      </c>
      <c r="B1739" s="5" t="s">
        <v>2458</v>
      </c>
      <c r="C1739" s="4" t="s">
        <v>13</v>
      </c>
      <c r="D1739" s="4" t="s">
        <v>118</v>
      </c>
      <c r="E1739" s="4" t="s">
        <v>119</v>
      </c>
      <c r="F1739" s="4" t="s">
        <v>25</v>
      </c>
      <c r="G1739" s="4" t="s">
        <v>26</v>
      </c>
      <c r="H1739" s="4" t="s">
        <v>27</v>
      </c>
      <c r="I1739" s="4" t="s">
        <v>47</v>
      </c>
      <c r="J1739" s="3">
        <v>5</v>
      </c>
      <c r="K1739" s="6">
        <v>53145</v>
      </c>
      <c r="L1739" s="6">
        <f t="shared" si="81"/>
        <v>37201.5</v>
      </c>
      <c r="M1739" s="6">
        <v>15943.5</v>
      </c>
      <c r="N1739" s="5" t="str">
        <f t="shared" si="82"/>
        <v>Sep</v>
      </c>
      <c r="O1739" s="5" t="str">
        <f t="shared" si="83"/>
        <v xml:space="preserve"> 2024</v>
      </c>
    </row>
    <row r="1740" spans="1:15" x14ac:dyDescent="0.35">
      <c r="A1740" t="s">
        <v>2459</v>
      </c>
      <c r="B1740" s="5" t="s">
        <v>2460</v>
      </c>
      <c r="C1740" s="4" t="s">
        <v>31</v>
      </c>
      <c r="D1740" s="4" t="s">
        <v>32</v>
      </c>
      <c r="E1740" s="4" t="s">
        <v>33</v>
      </c>
      <c r="F1740" s="4" t="s">
        <v>16</v>
      </c>
      <c r="G1740" s="4" t="s">
        <v>122</v>
      </c>
      <c r="H1740" s="4" t="s">
        <v>18</v>
      </c>
      <c r="I1740" s="4" t="s">
        <v>60</v>
      </c>
      <c r="J1740" s="3">
        <v>3</v>
      </c>
      <c r="K1740" s="6">
        <v>129075</v>
      </c>
      <c r="L1740" s="6">
        <f t="shared" si="81"/>
        <v>90352.5</v>
      </c>
      <c r="M1740" s="6">
        <v>38722.5</v>
      </c>
      <c r="N1740" s="5" t="str">
        <f t="shared" si="82"/>
        <v>Jan</v>
      </c>
      <c r="O1740" s="5" t="str">
        <f t="shared" si="83"/>
        <v xml:space="preserve"> 2024</v>
      </c>
    </row>
    <row r="1741" spans="1:15" x14ac:dyDescent="0.35">
      <c r="A1741" t="s">
        <v>2461</v>
      </c>
      <c r="B1741" s="5" t="s">
        <v>645</v>
      </c>
      <c r="C1741" s="4" t="s">
        <v>13</v>
      </c>
      <c r="D1741" s="4" t="s">
        <v>162</v>
      </c>
      <c r="E1741" s="4" t="s">
        <v>163</v>
      </c>
      <c r="F1741" s="4" t="s">
        <v>25</v>
      </c>
      <c r="G1741" s="4" t="s">
        <v>77</v>
      </c>
      <c r="H1741" s="4" t="s">
        <v>72</v>
      </c>
      <c r="I1741" s="4" t="s">
        <v>39</v>
      </c>
      <c r="J1741" s="3">
        <v>4</v>
      </c>
      <c r="K1741" s="6">
        <v>127624</v>
      </c>
      <c r="L1741" s="6">
        <f t="shared" si="81"/>
        <v>89336.799999999988</v>
      </c>
      <c r="M1741" s="6">
        <v>38287.200000000012</v>
      </c>
      <c r="N1741" s="5" t="str">
        <f t="shared" si="82"/>
        <v>Aug</v>
      </c>
      <c r="O1741" s="5" t="str">
        <f t="shared" si="83"/>
        <v xml:space="preserve"> 2023</v>
      </c>
    </row>
    <row r="1742" spans="1:15" x14ac:dyDescent="0.35">
      <c r="A1742" t="s">
        <v>2462</v>
      </c>
      <c r="B1742" s="5" t="s">
        <v>2463</v>
      </c>
      <c r="C1742" s="4" t="s">
        <v>22</v>
      </c>
      <c r="D1742" s="4" t="s">
        <v>90</v>
      </c>
      <c r="E1742" s="4" t="s">
        <v>91</v>
      </c>
      <c r="F1742" s="4" t="s">
        <v>37</v>
      </c>
      <c r="G1742" s="4" t="s">
        <v>186</v>
      </c>
      <c r="H1742" s="4" t="s">
        <v>72</v>
      </c>
      <c r="I1742" s="4" t="s">
        <v>19</v>
      </c>
      <c r="J1742" s="3">
        <v>3</v>
      </c>
      <c r="K1742" s="6">
        <v>130932</v>
      </c>
      <c r="L1742" s="6">
        <f t="shared" si="81"/>
        <v>91652.4</v>
      </c>
      <c r="M1742" s="6">
        <v>39279.600000000006</v>
      </c>
      <c r="N1742" s="5" t="str">
        <f t="shared" si="82"/>
        <v>Oct</v>
      </c>
      <c r="O1742" s="5" t="str">
        <f t="shared" si="83"/>
        <v xml:space="preserve"> 2023</v>
      </c>
    </row>
    <row r="1743" spans="1:15" x14ac:dyDescent="0.35">
      <c r="A1743" t="s">
        <v>2464</v>
      </c>
      <c r="B1743" s="5" t="s">
        <v>758</v>
      </c>
      <c r="C1743" s="4" t="s">
        <v>55</v>
      </c>
      <c r="D1743" s="4" t="s">
        <v>56</v>
      </c>
      <c r="E1743" s="4" t="s">
        <v>57</v>
      </c>
      <c r="F1743" s="4" t="s">
        <v>67</v>
      </c>
      <c r="G1743" s="4" t="s">
        <v>180</v>
      </c>
      <c r="H1743" s="4" t="s">
        <v>27</v>
      </c>
      <c r="I1743" s="4" t="s">
        <v>60</v>
      </c>
      <c r="J1743" s="3">
        <v>5</v>
      </c>
      <c r="K1743" s="6">
        <v>200680</v>
      </c>
      <c r="L1743" s="6">
        <f t="shared" si="81"/>
        <v>140476</v>
      </c>
      <c r="M1743" s="6">
        <v>60204</v>
      </c>
      <c r="N1743" s="5" t="str">
        <f t="shared" si="82"/>
        <v>Jul</v>
      </c>
      <c r="O1743" s="5" t="str">
        <f t="shared" si="83"/>
        <v xml:space="preserve"> 2023</v>
      </c>
    </row>
    <row r="1744" spans="1:15" x14ac:dyDescent="0.35">
      <c r="A1744" t="s">
        <v>2465</v>
      </c>
      <c r="B1744" s="5" t="s">
        <v>697</v>
      </c>
      <c r="C1744" s="4" t="s">
        <v>22</v>
      </c>
      <c r="D1744" s="4" t="s">
        <v>90</v>
      </c>
      <c r="E1744" s="4" t="s">
        <v>110</v>
      </c>
      <c r="F1744" s="4" t="s">
        <v>67</v>
      </c>
      <c r="G1744" s="4" t="s">
        <v>68</v>
      </c>
      <c r="H1744" s="4" t="s">
        <v>72</v>
      </c>
      <c r="I1744" s="4" t="s">
        <v>60</v>
      </c>
      <c r="J1744" s="3">
        <v>7</v>
      </c>
      <c r="K1744" s="6">
        <v>253253</v>
      </c>
      <c r="L1744" s="6">
        <f t="shared" si="81"/>
        <v>177277.09999999998</v>
      </c>
      <c r="M1744" s="6">
        <v>75975.900000000023</v>
      </c>
      <c r="N1744" s="5" t="str">
        <f t="shared" si="82"/>
        <v>Jun</v>
      </c>
      <c r="O1744" s="5" t="str">
        <f t="shared" si="83"/>
        <v xml:space="preserve"> 2023</v>
      </c>
    </row>
    <row r="1745" spans="1:15" x14ac:dyDescent="0.35">
      <c r="A1745" t="s">
        <v>2466</v>
      </c>
      <c r="B1745" s="5" t="s">
        <v>913</v>
      </c>
      <c r="C1745" s="4" t="s">
        <v>55</v>
      </c>
      <c r="D1745" s="4" t="s">
        <v>82</v>
      </c>
      <c r="E1745" s="4" t="s">
        <v>83</v>
      </c>
      <c r="F1745" s="4" t="s">
        <v>37</v>
      </c>
      <c r="G1745" s="4" t="s">
        <v>38</v>
      </c>
      <c r="H1745" s="4" t="s">
        <v>27</v>
      </c>
      <c r="I1745" s="4" t="s">
        <v>28</v>
      </c>
      <c r="J1745" s="3">
        <v>9</v>
      </c>
      <c r="K1745" s="6">
        <v>142236</v>
      </c>
      <c r="L1745" s="6">
        <f t="shared" si="81"/>
        <v>99565.2</v>
      </c>
      <c r="M1745" s="6">
        <v>42670.8</v>
      </c>
      <c r="N1745" s="5" t="str">
        <f t="shared" si="82"/>
        <v>Sep</v>
      </c>
      <c r="O1745" s="5" t="str">
        <f t="shared" si="83"/>
        <v xml:space="preserve"> 2023</v>
      </c>
    </row>
    <row r="1746" spans="1:15" x14ac:dyDescent="0.35">
      <c r="A1746" t="s">
        <v>2467</v>
      </c>
      <c r="B1746" s="5" t="s">
        <v>2283</v>
      </c>
      <c r="C1746" s="4" t="s">
        <v>22</v>
      </c>
      <c r="D1746" s="4" t="s">
        <v>23</v>
      </c>
      <c r="E1746" s="4" t="s">
        <v>24</v>
      </c>
      <c r="F1746" s="4" t="s">
        <v>37</v>
      </c>
      <c r="G1746" s="4" t="s">
        <v>148</v>
      </c>
      <c r="H1746" s="4" t="s">
        <v>18</v>
      </c>
      <c r="I1746" s="4" t="s">
        <v>47</v>
      </c>
      <c r="J1746" s="3">
        <v>6</v>
      </c>
      <c r="K1746" s="6">
        <v>113478</v>
      </c>
      <c r="L1746" s="6">
        <f t="shared" si="81"/>
        <v>79434.599999999991</v>
      </c>
      <c r="M1746" s="6">
        <v>34043.400000000009</v>
      </c>
      <c r="N1746" s="5" t="str">
        <f t="shared" si="82"/>
        <v>May</v>
      </c>
      <c r="O1746" s="5" t="str">
        <f t="shared" si="83"/>
        <v xml:space="preserve"> 2024</v>
      </c>
    </row>
    <row r="1747" spans="1:15" x14ac:dyDescent="0.35">
      <c r="A1747" t="s">
        <v>2468</v>
      </c>
      <c r="B1747" s="5" t="s">
        <v>2417</v>
      </c>
      <c r="C1747" s="4" t="s">
        <v>13</v>
      </c>
      <c r="D1747" s="4" t="s">
        <v>125</v>
      </c>
      <c r="E1747" s="4" t="s">
        <v>126</v>
      </c>
      <c r="F1747" s="4" t="s">
        <v>67</v>
      </c>
      <c r="G1747" s="4" t="s">
        <v>180</v>
      </c>
      <c r="H1747" s="4" t="s">
        <v>72</v>
      </c>
      <c r="I1747" s="4" t="s">
        <v>47</v>
      </c>
      <c r="J1747" s="3">
        <v>6</v>
      </c>
      <c r="K1747" s="6">
        <v>286656</v>
      </c>
      <c r="L1747" s="6">
        <f t="shared" si="81"/>
        <v>200659.19999999998</v>
      </c>
      <c r="M1747" s="6">
        <v>85996.800000000017</v>
      </c>
      <c r="N1747" s="5" t="str">
        <f t="shared" si="82"/>
        <v>Apr</v>
      </c>
      <c r="O1747" s="5" t="str">
        <f t="shared" si="83"/>
        <v xml:space="preserve"> 2024</v>
      </c>
    </row>
    <row r="1748" spans="1:15" x14ac:dyDescent="0.35">
      <c r="A1748" t="s">
        <v>2469</v>
      </c>
      <c r="B1748" s="5" t="s">
        <v>560</v>
      </c>
      <c r="C1748" s="4" t="s">
        <v>55</v>
      </c>
      <c r="D1748" s="4" t="s">
        <v>98</v>
      </c>
      <c r="E1748" s="4" t="s">
        <v>99</v>
      </c>
      <c r="F1748" s="4" t="s">
        <v>16</v>
      </c>
      <c r="G1748" s="4" t="s">
        <v>17</v>
      </c>
      <c r="H1748" s="4" t="s">
        <v>72</v>
      </c>
      <c r="I1748" s="4" t="s">
        <v>39</v>
      </c>
      <c r="J1748" s="3">
        <v>7</v>
      </c>
      <c r="K1748" s="6">
        <v>209181</v>
      </c>
      <c r="L1748" s="6">
        <f t="shared" si="81"/>
        <v>146426.69999999998</v>
      </c>
      <c r="M1748" s="6">
        <v>62754.300000000017</v>
      </c>
      <c r="N1748" s="5" t="str">
        <f t="shared" si="82"/>
        <v>Nov</v>
      </c>
      <c r="O1748" s="5" t="str">
        <f t="shared" si="83"/>
        <v xml:space="preserve"> 2023</v>
      </c>
    </row>
    <row r="1749" spans="1:15" x14ac:dyDescent="0.35">
      <c r="A1749" t="s">
        <v>2470</v>
      </c>
      <c r="B1749" s="5" t="s">
        <v>223</v>
      </c>
      <c r="C1749" s="4" t="s">
        <v>55</v>
      </c>
      <c r="D1749" s="4" t="s">
        <v>56</v>
      </c>
      <c r="E1749" s="4" t="s">
        <v>57</v>
      </c>
      <c r="F1749" s="4" t="s">
        <v>25</v>
      </c>
      <c r="G1749" s="4" t="s">
        <v>52</v>
      </c>
      <c r="H1749" s="4" t="s">
        <v>18</v>
      </c>
      <c r="I1749" s="4" t="s">
        <v>39</v>
      </c>
      <c r="J1749" s="3">
        <v>2</v>
      </c>
      <c r="K1749" s="6">
        <v>70470</v>
      </c>
      <c r="L1749" s="6">
        <f t="shared" si="81"/>
        <v>49329</v>
      </c>
      <c r="M1749" s="6">
        <v>21141</v>
      </c>
      <c r="N1749" s="5" t="str">
        <f t="shared" si="82"/>
        <v>Nov</v>
      </c>
      <c r="O1749" s="5" t="str">
        <f t="shared" si="83"/>
        <v xml:space="preserve"> 2024</v>
      </c>
    </row>
    <row r="1750" spans="1:15" x14ac:dyDescent="0.35">
      <c r="A1750" t="s">
        <v>2471</v>
      </c>
      <c r="B1750" s="5" t="s">
        <v>632</v>
      </c>
      <c r="C1750" s="4" t="s">
        <v>22</v>
      </c>
      <c r="D1750" s="4" t="s">
        <v>90</v>
      </c>
      <c r="E1750" s="4" t="s">
        <v>91</v>
      </c>
      <c r="F1750" s="4" t="s">
        <v>67</v>
      </c>
      <c r="G1750" s="4" t="s">
        <v>134</v>
      </c>
      <c r="H1750" s="4" t="s">
        <v>72</v>
      </c>
      <c r="I1750" s="4" t="s">
        <v>60</v>
      </c>
      <c r="J1750" s="3">
        <v>6</v>
      </c>
      <c r="K1750" s="6">
        <v>87564</v>
      </c>
      <c r="L1750" s="6">
        <f t="shared" si="81"/>
        <v>61294.799999999996</v>
      </c>
      <c r="M1750" s="6">
        <v>26269.200000000004</v>
      </c>
      <c r="N1750" s="5" t="str">
        <f t="shared" si="82"/>
        <v>Jan</v>
      </c>
      <c r="O1750" s="5" t="str">
        <f t="shared" si="83"/>
        <v xml:space="preserve"> 2024</v>
      </c>
    </row>
    <row r="1751" spans="1:15" x14ac:dyDescent="0.35">
      <c r="A1751" t="s">
        <v>2472</v>
      </c>
      <c r="B1751" s="5" t="s">
        <v>874</v>
      </c>
      <c r="C1751" s="4" t="s">
        <v>13</v>
      </c>
      <c r="D1751" s="4" t="s">
        <v>14</v>
      </c>
      <c r="E1751" s="4" t="s">
        <v>15</v>
      </c>
      <c r="F1751" s="4" t="s">
        <v>37</v>
      </c>
      <c r="G1751" s="4" t="s">
        <v>148</v>
      </c>
      <c r="H1751" s="4" t="s">
        <v>18</v>
      </c>
      <c r="I1751" s="4" t="s">
        <v>28</v>
      </c>
      <c r="J1751" s="3">
        <v>8</v>
      </c>
      <c r="K1751" s="6">
        <v>37992</v>
      </c>
      <c r="L1751" s="6">
        <f t="shared" si="81"/>
        <v>26594.399999999998</v>
      </c>
      <c r="M1751" s="6">
        <v>11397.600000000002</v>
      </c>
      <c r="N1751" s="5" t="str">
        <f t="shared" si="82"/>
        <v>Jul</v>
      </c>
      <c r="O1751" s="5" t="str">
        <f t="shared" si="83"/>
        <v xml:space="preserve"> 2024</v>
      </c>
    </row>
    <row r="1752" spans="1:15" x14ac:dyDescent="0.35">
      <c r="A1752" t="s">
        <v>2473</v>
      </c>
      <c r="B1752" s="5" t="s">
        <v>840</v>
      </c>
      <c r="C1752" s="4" t="s">
        <v>22</v>
      </c>
      <c r="D1752" s="4" t="s">
        <v>86</v>
      </c>
      <c r="E1752" s="4" t="s">
        <v>87</v>
      </c>
      <c r="F1752" s="4" t="s">
        <v>37</v>
      </c>
      <c r="G1752" s="4" t="s">
        <v>148</v>
      </c>
      <c r="H1752" s="4" t="s">
        <v>27</v>
      </c>
      <c r="I1752" s="4" t="s">
        <v>19</v>
      </c>
      <c r="J1752" s="3">
        <v>4</v>
      </c>
      <c r="K1752" s="6">
        <v>105156</v>
      </c>
      <c r="L1752" s="6">
        <f t="shared" si="81"/>
        <v>73609.2</v>
      </c>
      <c r="M1752" s="6">
        <v>31546.800000000003</v>
      </c>
      <c r="N1752" s="5" t="str">
        <f t="shared" si="82"/>
        <v>Jan</v>
      </c>
      <c r="O1752" s="5" t="str">
        <f t="shared" si="83"/>
        <v xml:space="preserve"> 2024</v>
      </c>
    </row>
    <row r="1753" spans="1:15" x14ac:dyDescent="0.35">
      <c r="A1753" t="s">
        <v>2474</v>
      </c>
      <c r="B1753" s="5" t="s">
        <v>1431</v>
      </c>
      <c r="C1753" s="4" t="s">
        <v>13</v>
      </c>
      <c r="D1753" s="4" t="s">
        <v>162</v>
      </c>
      <c r="E1753" s="4" t="s">
        <v>163</v>
      </c>
      <c r="F1753" s="4" t="s">
        <v>25</v>
      </c>
      <c r="G1753" s="4" t="s">
        <v>52</v>
      </c>
      <c r="H1753" s="4" t="s">
        <v>18</v>
      </c>
      <c r="I1753" s="4" t="s">
        <v>47</v>
      </c>
      <c r="J1753" s="3">
        <v>1</v>
      </c>
      <c r="K1753" s="6">
        <v>1475</v>
      </c>
      <c r="L1753" s="6">
        <f t="shared" si="81"/>
        <v>1032.5</v>
      </c>
      <c r="M1753" s="6">
        <v>442.5</v>
      </c>
      <c r="N1753" s="5" t="str">
        <f t="shared" si="82"/>
        <v>Jul</v>
      </c>
      <c r="O1753" s="5" t="str">
        <f t="shared" si="83"/>
        <v xml:space="preserve"> 2023</v>
      </c>
    </row>
    <row r="1754" spans="1:15" x14ac:dyDescent="0.35">
      <c r="A1754" t="s">
        <v>2475</v>
      </c>
      <c r="B1754" s="5" t="s">
        <v>533</v>
      </c>
      <c r="C1754" s="4" t="s">
        <v>31</v>
      </c>
      <c r="D1754" s="4" t="s">
        <v>32</v>
      </c>
      <c r="E1754" s="4" t="s">
        <v>33</v>
      </c>
      <c r="F1754" s="4" t="s">
        <v>67</v>
      </c>
      <c r="G1754" s="4" t="s">
        <v>180</v>
      </c>
      <c r="H1754" s="4" t="s">
        <v>18</v>
      </c>
      <c r="I1754" s="4" t="s">
        <v>28</v>
      </c>
      <c r="J1754" s="3">
        <v>10</v>
      </c>
      <c r="K1754" s="6">
        <v>263860</v>
      </c>
      <c r="L1754" s="6">
        <f t="shared" si="81"/>
        <v>184702</v>
      </c>
      <c r="M1754" s="6">
        <v>79158</v>
      </c>
      <c r="N1754" s="5" t="str">
        <f t="shared" si="82"/>
        <v>Dec</v>
      </c>
      <c r="O1754" s="5" t="str">
        <f t="shared" si="83"/>
        <v xml:space="preserve"> 2023</v>
      </c>
    </row>
    <row r="1755" spans="1:15" x14ac:dyDescent="0.35">
      <c r="A1755" t="s">
        <v>2476</v>
      </c>
      <c r="B1755" s="5" t="s">
        <v>612</v>
      </c>
      <c r="C1755" s="4" t="s">
        <v>22</v>
      </c>
      <c r="D1755" s="4" t="s">
        <v>90</v>
      </c>
      <c r="E1755" s="4" t="s">
        <v>110</v>
      </c>
      <c r="F1755" s="4" t="s">
        <v>16</v>
      </c>
      <c r="G1755" s="4" t="s">
        <v>34</v>
      </c>
      <c r="H1755" s="4" t="s">
        <v>18</v>
      </c>
      <c r="I1755" s="4" t="s">
        <v>47</v>
      </c>
      <c r="J1755" s="3">
        <v>8</v>
      </c>
      <c r="K1755" s="6">
        <v>252040</v>
      </c>
      <c r="L1755" s="6">
        <f t="shared" si="81"/>
        <v>176428</v>
      </c>
      <c r="M1755" s="6">
        <v>75612</v>
      </c>
      <c r="N1755" s="5" t="str">
        <f t="shared" si="82"/>
        <v>Oct</v>
      </c>
      <c r="O1755" s="5" t="str">
        <f t="shared" si="83"/>
        <v xml:space="preserve"> 2024</v>
      </c>
    </row>
    <row r="1756" spans="1:15" x14ac:dyDescent="0.35">
      <c r="A1756" t="s">
        <v>2477</v>
      </c>
      <c r="B1756" s="5" t="s">
        <v>30</v>
      </c>
      <c r="C1756" s="4" t="s">
        <v>55</v>
      </c>
      <c r="D1756" s="4" t="s">
        <v>63</v>
      </c>
      <c r="E1756" s="4" t="s">
        <v>64</v>
      </c>
      <c r="F1756" s="4" t="s">
        <v>16</v>
      </c>
      <c r="G1756" s="4" t="s">
        <v>34</v>
      </c>
      <c r="H1756" s="4" t="s">
        <v>27</v>
      </c>
      <c r="I1756" s="4" t="s">
        <v>39</v>
      </c>
      <c r="J1756" s="3">
        <v>4</v>
      </c>
      <c r="K1756" s="6">
        <v>130756</v>
      </c>
      <c r="L1756" s="6">
        <f t="shared" si="81"/>
        <v>91529.2</v>
      </c>
      <c r="M1756" s="6">
        <v>39226.800000000003</v>
      </c>
      <c r="N1756" s="5" t="str">
        <f t="shared" si="82"/>
        <v>Mar</v>
      </c>
      <c r="O1756" s="5" t="str">
        <f t="shared" si="83"/>
        <v xml:space="preserve"> 2023</v>
      </c>
    </row>
    <row r="1757" spans="1:15" x14ac:dyDescent="0.35">
      <c r="A1757" t="s">
        <v>2478</v>
      </c>
      <c r="B1757" s="5" t="s">
        <v>1385</v>
      </c>
      <c r="C1757" s="4" t="s">
        <v>22</v>
      </c>
      <c r="D1757" s="4" t="s">
        <v>86</v>
      </c>
      <c r="E1757" s="4" t="s">
        <v>87</v>
      </c>
      <c r="F1757" s="4" t="s">
        <v>16</v>
      </c>
      <c r="G1757" s="4" t="s">
        <v>34</v>
      </c>
      <c r="H1757" s="4" t="s">
        <v>18</v>
      </c>
      <c r="I1757" s="4" t="s">
        <v>28</v>
      </c>
      <c r="J1757" s="3">
        <v>7</v>
      </c>
      <c r="K1757" s="6">
        <v>287098</v>
      </c>
      <c r="L1757" s="6">
        <f t="shared" si="81"/>
        <v>200968.59999999998</v>
      </c>
      <c r="M1757" s="6">
        <v>86129.400000000023</v>
      </c>
      <c r="N1757" s="5" t="str">
        <f t="shared" si="82"/>
        <v>Jun</v>
      </c>
      <c r="O1757" s="5" t="str">
        <f t="shared" si="83"/>
        <v xml:space="preserve"> 2024</v>
      </c>
    </row>
    <row r="1758" spans="1:15" x14ac:dyDescent="0.35">
      <c r="A1758" t="s">
        <v>2479</v>
      </c>
      <c r="B1758" s="5" t="s">
        <v>1790</v>
      </c>
      <c r="C1758" s="4" t="s">
        <v>22</v>
      </c>
      <c r="D1758" s="4" t="s">
        <v>23</v>
      </c>
      <c r="E1758" s="4" t="s">
        <v>24</v>
      </c>
      <c r="F1758" s="4" t="s">
        <v>37</v>
      </c>
      <c r="G1758" s="4" t="s">
        <v>183</v>
      </c>
      <c r="H1758" s="4" t="s">
        <v>27</v>
      </c>
      <c r="I1758" s="4" t="s">
        <v>28</v>
      </c>
      <c r="J1758" s="3">
        <v>5</v>
      </c>
      <c r="K1758" s="6">
        <v>146740</v>
      </c>
      <c r="L1758" s="6">
        <f t="shared" si="81"/>
        <v>102718</v>
      </c>
      <c r="M1758" s="6">
        <v>44022</v>
      </c>
      <c r="N1758" s="5" t="str">
        <f t="shared" si="82"/>
        <v>Aug</v>
      </c>
      <c r="O1758" s="5" t="str">
        <f t="shared" si="83"/>
        <v xml:space="preserve"> 2024</v>
      </c>
    </row>
    <row r="1759" spans="1:15" x14ac:dyDescent="0.35">
      <c r="A1759" t="s">
        <v>2480</v>
      </c>
      <c r="B1759" s="5" t="s">
        <v>1128</v>
      </c>
      <c r="C1759" s="4" t="s">
        <v>13</v>
      </c>
      <c r="D1759" s="4" t="s">
        <v>162</v>
      </c>
      <c r="E1759" s="4" t="s">
        <v>163</v>
      </c>
      <c r="F1759" s="4" t="s">
        <v>67</v>
      </c>
      <c r="G1759" s="4" t="s">
        <v>134</v>
      </c>
      <c r="H1759" s="4" t="s">
        <v>72</v>
      </c>
      <c r="I1759" s="4" t="s">
        <v>28</v>
      </c>
      <c r="J1759" s="3">
        <v>5</v>
      </c>
      <c r="K1759" s="6">
        <v>29580</v>
      </c>
      <c r="L1759" s="6">
        <f t="shared" si="81"/>
        <v>20706</v>
      </c>
      <c r="M1759" s="6">
        <v>8874</v>
      </c>
      <c r="N1759" s="5" t="str">
        <f t="shared" si="82"/>
        <v>Feb</v>
      </c>
      <c r="O1759" s="5" t="str">
        <f t="shared" si="83"/>
        <v xml:space="preserve"> 2023</v>
      </c>
    </row>
    <row r="1760" spans="1:15" x14ac:dyDescent="0.35">
      <c r="A1760" t="s">
        <v>2481</v>
      </c>
      <c r="B1760" s="5" t="s">
        <v>209</v>
      </c>
      <c r="C1760" s="4" t="s">
        <v>22</v>
      </c>
      <c r="D1760" s="4" t="s">
        <v>86</v>
      </c>
      <c r="E1760" s="4" t="s">
        <v>87</v>
      </c>
      <c r="F1760" s="4" t="s">
        <v>25</v>
      </c>
      <c r="G1760" s="4" t="s">
        <v>52</v>
      </c>
      <c r="H1760" s="4" t="s">
        <v>72</v>
      </c>
      <c r="I1760" s="4" t="s">
        <v>47</v>
      </c>
      <c r="J1760" s="3">
        <v>4</v>
      </c>
      <c r="K1760" s="6">
        <v>95560</v>
      </c>
      <c r="L1760" s="6">
        <f t="shared" si="81"/>
        <v>66892</v>
      </c>
      <c r="M1760" s="6">
        <v>28668</v>
      </c>
      <c r="N1760" s="5" t="str">
        <f t="shared" si="82"/>
        <v>Oct</v>
      </c>
      <c r="O1760" s="5" t="str">
        <f t="shared" si="83"/>
        <v xml:space="preserve"> 2024</v>
      </c>
    </row>
    <row r="1761" spans="1:15" x14ac:dyDescent="0.35">
      <c r="A1761" t="s">
        <v>2482</v>
      </c>
      <c r="B1761" s="5" t="s">
        <v>463</v>
      </c>
      <c r="C1761" s="4" t="s">
        <v>22</v>
      </c>
      <c r="D1761" s="4" t="s">
        <v>23</v>
      </c>
      <c r="E1761" s="4" t="s">
        <v>24</v>
      </c>
      <c r="F1761" s="4" t="s">
        <v>37</v>
      </c>
      <c r="G1761" s="4" t="s">
        <v>186</v>
      </c>
      <c r="H1761" s="4" t="s">
        <v>18</v>
      </c>
      <c r="I1761" s="4" t="s">
        <v>39</v>
      </c>
      <c r="J1761" s="3">
        <v>3</v>
      </c>
      <c r="K1761" s="6">
        <v>137145</v>
      </c>
      <c r="L1761" s="6">
        <f t="shared" si="81"/>
        <v>96001.5</v>
      </c>
      <c r="M1761" s="6">
        <v>41143.5</v>
      </c>
      <c r="N1761" s="5" t="str">
        <f t="shared" si="82"/>
        <v>May</v>
      </c>
      <c r="O1761" s="5" t="str">
        <f t="shared" si="83"/>
        <v xml:space="preserve"> 2024</v>
      </c>
    </row>
    <row r="1762" spans="1:15" x14ac:dyDescent="0.35">
      <c r="A1762" t="s">
        <v>2483</v>
      </c>
      <c r="B1762" s="5" t="s">
        <v>313</v>
      </c>
      <c r="C1762" s="4" t="s">
        <v>55</v>
      </c>
      <c r="D1762" s="4" t="s">
        <v>98</v>
      </c>
      <c r="E1762" s="4" t="s">
        <v>99</v>
      </c>
      <c r="F1762" s="4" t="s">
        <v>25</v>
      </c>
      <c r="G1762" s="4" t="s">
        <v>26</v>
      </c>
      <c r="H1762" s="4" t="s">
        <v>18</v>
      </c>
      <c r="I1762" s="4" t="s">
        <v>39</v>
      </c>
      <c r="J1762" s="3">
        <v>9</v>
      </c>
      <c r="K1762" s="6">
        <v>283230</v>
      </c>
      <c r="L1762" s="6">
        <f t="shared" si="81"/>
        <v>198261</v>
      </c>
      <c r="M1762" s="6">
        <v>84969</v>
      </c>
      <c r="N1762" s="5" t="str">
        <f t="shared" si="82"/>
        <v>Dec</v>
      </c>
      <c r="O1762" s="5" t="str">
        <f t="shared" si="83"/>
        <v xml:space="preserve"> 2023</v>
      </c>
    </row>
    <row r="1763" spans="1:15" x14ac:dyDescent="0.35">
      <c r="A1763" t="s">
        <v>2484</v>
      </c>
      <c r="B1763" s="5" t="s">
        <v>243</v>
      </c>
      <c r="C1763" s="4" t="s">
        <v>13</v>
      </c>
      <c r="D1763" s="4" t="s">
        <v>118</v>
      </c>
      <c r="E1763" s="4" t="s">
        <v>119</v>
      </c>
      <c r="F1763" s="4" t="s">
        <v>37</v>
      </c>
      <c r="G1763" s="4" t="s">
        <v>38</v>
      </c>
      <c r="H1763" s="4" t="s">
        <v>27</v>
      </c>
      <c r="I1763" s="4" t="s">
        <v>19</v>
      </c>
      <c r="J1763" s="3">
        <v>10</v>
      </c>
      <c r="K1763" s="6">
        <v>184330</v>
      </c>
      <c r="L1763" s="6">
        <f t="shared" si="81"/>
        <v>129030.99999999999</v>
      </c>
      <c r="M1763" s="6">
        <v>55299.000000000015</v>
      </c>
      <c r="N1763" s="5" t="str">
        <f t="shared" si="82"/>
        <v>Jan</v>
      </c>
      <c r="O1763" s="5" t="str">
        <f t="shared" si="83"/>
        <v xml:space="preserve"> 2024</v>
      </c>
    </row>
    <row r="1764" spans="1:15" x14ac:dyDescent="0.35">
      <c r="A1764" t="s">
        <v>2485</v>
      </c>
      <c r="B1764" s="5" t="s">
        <v>1849</v>
      </c>
      <c r="C1764" s="4" t="s">
        <v>55</v>
      </c>
      <c r="D1764" s="4" t="s">
        <v>82</v>
      </c>
      <c r="E1764" s="4" t="s">
        <v>83</v>
      </c>
      <c r="F1764" s="4" t="s">
        <v>25</v>
      </c>
      <c r="G1764" s="4" t="s">
        <v>26</v>
      </c>
      <c r="H1764" s="4" t="s">
        <v>72</v>
      </c>
      <c r="I1764" s="4" t="s">
        <v>19</v>
      </c>
      <c r="J1764" s="3">
        <v>1</v>
      </c>
      <c r="K1764" s="6">
        <v>28644</v>
      </c>
      <c r="L1764" s="6">
        <f t="shared" si="81"/>
        <v>20050.8</v>
      </c>
      <c r="M1764" s="6">
        <v>8593.2000000000007</v>
      </c>
      <c r="N1764" s="5" t="str">
        <f t="shared" si="82"/>
        <v>Jul</v>
      </c>
      <c r="O1764" s="5" t="str">
        <f t="shared" si="83"/>
        <v xml:space="preserve"> 2023</v>
      </c>
    </row>
    <row r="1765" spans="1:15" x14ac:dyDescent="0.35">
      <c r="A1765" t="s">
        <v>2486</v>
      </c>
      <c r="B1765" s="5" t="s">
        <v>443</v>
      </c>
      <c r="C1765" s="4" t="s">
        <v>22</v>
      </c>
      <c r="D1765" s="4" t="s">
        <v>90</v>
      </c>
      <c r="E1765" s="4" t="s">
        <v>91</v>
      </c>
      <c r="F1765" s="4" t="s">
        <v>16</v>
      </c>
      <c r="G1765" s="4" t="s">
        <v>17</v>
      </c>
      <c r="H1765" s="4" t="s">
        <v>18</v>
      </c>
      <c r="I1765" s="4" t="s">
        <v>39</v>
      </c>
      <c r="J1765" s="3">
        <v>6</v>
      </c>
      <c r="K1765" s="6">
        <v>257748</v>
      </c>
      <c r="L1765" s="6">
        <f t="shared" si="81"/>
        <v>180423.59999999998</v>
      </c>
      <c r="M1765" s="6">
        <v>77324.400000000023</v>
      </c>
      <c r="N1765" s="5" t="str">
        <f t="shared" si="82"/>
        <v>Sep</v>
      </c>
      <c r="O1765" s="5" t="str">
        <f t="shared" si="83"/>
        <v xml:space="preserve"> 2023</v>
      </c>
    </row>
    <row r="1766" spans="1:15" x14ac:dyDescent="0.35">
      <c r="A1766" t="s">
        <v>2487</v>
      </c>
      <c r="B1766" s="5" t="s">
        <v>1549</v>
      </c>
      <c r="C1766" s="4" t="s">
        <v>55</v>
      </c>
      <c r="D1766" s="4" t="s">
        <v>82</v>
      </c>
      <c r="E1766" s="4" t="s">
        <v>83</v>
      </c>
      <c r="F1766" s="4" t="s">
        <v>16</v>
      </c>
      <c r="G1766" s="4" t="s">
        <v>122</v>
      </c>
      <c r="H1766" s="4" t="s">
        <v>18</v>
      </c>
      <c r="I1766" s="4" t="s">
        <v>39</v>
      </c>
      <c r="J1766" s="3">
        <v>2</v>
      </c>
      <c r="K1766" s="6">
        <v>80442</v>
      </c>
      <c r="L1766" s="6">
        <f t="shared" si="81"/>
        <v>56309.399999999994</v>
      </c>
      <c r="M1766" s="6">
        <v>24132.600000000006</v>
      </c>
      <c r="N1766" s="5" t="str">
        <f t="shared" si="82"/>
        <v>Jul</v>
      </c>
      <c r="O1766" s="5" t="str">
        <f t="shared" si="83"/>
        <v xml:space="preserve"> 2023</v>
      </c>
    </row>
    <row r="1767" spans="1:15" x14ac:dyDescent="0.35">
      <c r="A1767" t="s">
        <v>2488</v>
      </c>
      <c r="B1767" s="5" t="s">
        <v>234</v>
      </c>
      <c r="C1767" s="4" t="s">
        <v>55</v>
      </c>
      <c r="D1767" s="4" t="s">
        <v>56</v>
      </c>
      <c r="E1767" s="4" t="s">
        <v>57</v>
      </c>
      <c r="F1767" s="4" t="s">
        <v>25</v>
      </c>
      <c r="G1767" s="4" t="s">
        <v>77</v>
      </c>
      <c r="H1767" s="4" t="s">
        <v>18</v>
      </c>
      <c r="I1767" s="4" t="s">
        <v>60</v>
      </c>
      <c r="J1767" s="3">
        <v>4</v>
      </c>
      <c r="K1767" s="6">
        <v>99156</v>
      </c>
      <c r="L1767" s="6">
        <f t="shared" si="81"/>
        <v>69409.2</v>
      </c>
      <c r="M1767" s="6">
        <v>29746.800000000003</v>
      </c>
      <c r="N1767" s="5" t="str">
        <f t="shared" si="82"/>
        <v>May</v>
      </c>
      <c r="O1767" s="5" t="str">
        <f t="shared" si="83"/>
        <v xml:space="preserve"> 2024</v>
      </c>
    </row>
    <row r="1768" spans="1:15" x14ac:dyDescent="0.35">
      <c r="A1768" t="s">
        <v>2489</v>
      </c>
      <c r="B1768" s="5" t="s">
        <v>574</v>
      </c>
      <c r="C1768" s="4" t="s">
        <v>31</v>
      </c>
      <c r="D1768" s="4" t="s">
        <v>104</v>
      </c>
      <c r="E1768" s="4" t="s">
        <v>105</v>
      </c>
      <c r="F1768" s="4" t="s">
        <v>25</v>
      </c>
      <c r="G1768" s="4" t="s">
        <v>52</v>
      </c>
      <c r="H1768" s="4" t="s">
        <v>27</v>
      </c>
      <c r="I1768" s="4" t="s">
        <v>19</v>
      </c>
      <c r="J1768" s="3">
        <v>7</v>
      </c>
      <c r="K1768" s="6">
        <v>102270</v>
      </c>
      <c r="L1768" s="6">
        <f t="shared" si="81"/>
        <v>71589</v>
      </c>
      <c r="M1768" s="6">
        <v>30681</v>
      </c>
      <c r="N1768" s="5" t="str">
        <f t="shared" si="82"/>
        <v>Jan</v>
      </c>
      <c r="O1768" s="5" t="str">
        <f t="shared" si="83"/>
        <v xml:space="preserve"> 2023</v>
      </c>
    </row>
    <row r="1769" spans="1:15" x14ac:dyDescent="0.35">
      <c r="A1769" t="s">
        <v>2490</v>
      </c>
      <c r="B1769" s="5" t="s">
        <v>219</v>
      </c>
      <c r="C1769" s="4" t="s">
        <v>31</v>
      </c>
      <c r="D1769" s="4" t="s">
        <v>104</v>
      </c>
      <c r="E1769" s="4" t="s">
        <v>105</v>
      </c>
      <c r="F1769" s="4" t="s">
        <v>37</v>
      </c>
      <c r="G1769" s="4" t="s">
        <v>183</v>
      </c>
      <c r="H1769" s="4" t="s">
        <v>18</v>
      </c>
      <c r="I1769" s="4" t="s">
        <v>39</v>
      </c>
      <c r="J1769" s="3">
        <v>7</v>
      </c>
      <c r="K1769" s="6">
        <v>299453</v>
      </c>
      <c r="L1769" s="6">
        <f t="shared" si="81"/>
        <v>209617.09999999998</v>
      </c>
      <c r="M1769" s="6">
        <v>89835.900000000023</v>
      </c>
      <c r="N1769" s="5" t="str">
        <f t="shared" si="82"/>
        <v>Jan</v>
      </c>
      <c r="O1769" s="5" t="str">
        <f t="shared" si="83"/>
        <v xml:space="preserve"> 2023</v>
      </c>
    </row>
    <row r="1770" spans="1:15" x14ac:dyDescent="0.35">
      <c r="A1770" t="s">
        <v>2491</v>
      </c>
      <c r="B1770" s="5" t="s">
        <v>741</v>
      </c>
      <c r="C1770" s="4" t="s">
        <v>55</v>
      </c>
      <c r="D1770" s="4" t="s">
        <v>98</v>
      </c>
      <c r="E1770" s="4" t="s">
        <v>99</v>
      </c>
      <c r="F1770" s="4" t="s">
        <v>37</v>
      </c>
      <c r="G1770" s="4" t="s">
        <v>148</v>
      </c>
      <c r="H1770" s="4" t="s">
        <v>72</v>
      </c>
      <c r="I1770" s="4" t="s">
        <v>19</v>
      </c>
      <c r="J1770" s="3">
        <v>3</v>
      </c>
      <c r="K1770" s="6">
        <v>101586</v>
      </c>
      <c r="L1770" s="6">
        <f t="shared" si="81"/>
        <v>71110.2</v>
      </c>
      <c r="M1770" s="6">
        <v>30475.800000000003</v>
      </c>
      <c r="N1770" s="5" t="str">
        <f t="shared" si="82"/>
        <v>Jan</v>
      </c>
      <c r="O1770" s="5" t="str">
        <f t="shared" si="83"/>
        <v xml:space="preserve"> 2024</v>
      </c>
    </row>
    <row r="1771" spans="1:15" x14ac:dyDescent="0.35">
      <c r="A1771" t="s">
        <v>2492</v>
      </c>
      <c r="B1771" s="5" t="s">
        <v>302</v>
      </c>
      <c r="C1771" s="4" t="s">
        <v>55</v>
      </c>
      <c r="D1771" s="4" t="s">
        <v>56</v>
      </c>
      <c r="E1771" s="4" t="s">
        <v>57</v>
      </c>
      <c r="F1771" s="4" t="s">
        <v>25</v>
      </c>
      <c r="G1771" s="4" t="s">
        <v>71</v>
      </c>
      <c r="H1771" s="4" t="s">
        <v>27</v>
      </c>
      <c r="I1771" s="4" t="s">
        <v>60</v>
      </c>
      <c r="J1771" s="3">
        <v>3</v>
      </c>
      <c r="K1771" s="6">
        <v>108639</v>
      </c>
      <c r="L1771" s="6">
        <f t="shared" si="81"/>
        <v>76047.299999999988</v>
      </c>
      <c r="M1771" s="6">
        <v>32591.700000000012</v>
      </c>
      <c r="N1771" s="5" t="str">
        <f t="shared" si="82"/>
        <v>Nov</v>
      </c>
      <c r="O1771" s="5" t="str">
        <f t="shared" si="83"/>
        <v xml:space="preserve"> 2023</v>
      </c>
    </row>
    <row r="1772" spans="1:15" x14ac:dyDescent="0.35">
      <c r="A1772" t="s">
        <v>2493</v>
      </c>
      <c r="B1772" s="5" t="s">
        <v>1542</v>
      </c>
      <c r="C1772" s="4" t="s">
        <v>31</v>
      </c>
      <c r="D1772" s="4" t="s">
        <v>50</v>
      </c>
      <c r="E1772" s="4" t="s">
        <v>51</v>
      </c>
      <c r="F1772" s="4" t="s">
        <v>16</v>
      </c>
      <c r="G1772" s="4" t="s">
        <v>17</v>
      </c>
      <c r="H1772" s="4" t="s">
        <v>27</v>
      </c>
      <c r="I1772" s="4" t="s">
        <v>47</v>
      </c>
      <c r="J1772" s="3">
        <v>9</v>
      </c>
      <c r="K1772" s="6">
        <v>201510</v>
      </c>
      <c r="L1772" s="6">
        <f t="shared" si="81"/>
        <v>141057</v>
      </c>
      <c r="M1772" s="6">
        <v>60453</v>
      </c>
      <c r="N1772" s="5" t="str">
        <f t="shared" si="82"/>
        <v>Jun</v>
      </c>
      <c r="O1772" s="5" t="str">
        <f t="shared" si="83"/>
        <v xml:space="preserve"> 2024</v>
      </c>
    </row>
    <row r="1773" spans="1:15" x14ac:dyDescent="0.35">
      <c r="A1773" t="s">
        <v>2494</v>
      </c>
      <c r="B1773" s="5" t="s">
        <v>129</v>
      </c>
      <c r="C1773" s="4" t="s">
        <v>22</v>
      </c>
      <c r="D1773" s="4" t="s">
        <v>23</v>
      </c>
      <c r="E1773" s="4" t="s">
        <v>24</v>
      </c>
      <c r="F1773" s="4" t="s">
        <v>67</v>
      </c>
      <c r="G1773" s="4" t="s">
        <v>113</v>
      </c>
      <c r="H1773" s="4" t="s">
        <v>18</v>
      </c>
      <c r="I1773" s="4" t="s">
        <v>60</v>
      </c>
      <c r="J1773" s="3">
        <v>3</v>
      </c>
      <c r="K1773" s="6">
        <v>74307</v>
      </c>
      <c r="L1773" s="6">
        <f t="shared" si="81"/>
        <v>52014.899999999994</v>
      </c>
      <c r="M1773" s="6">
        <v>22292.100000000006</v>
      </c>
      <c r="N1773" s="5" t="str">
        <f t="shared" si="82"/>
        <v>Aug</v>
      </c>
      <c r="O1773" s="5" t="str">
        <f t="shared" si="83"/>
        <v xml:space="preserve"> 2023</v>
      </c>
    </row>
    <row r="1774" spans="1:15" x14ac:dyDescent="0.35">
      <c r="A1774" t="s">
        <v>2495</v>
      </c>
      <c r="B1774" s="5" t="s">
        <v>203</v>
      </c>
      <c r="C1774" s="4" t="s">
        <v>31</v>
      </c>
      <c r="D1774" s="4" t="s">
        <v>45</v>
      </c>
      <c r="E1774" s="4" t="s">
        <v>46</v>
      </c>
      <c r="F1774" s="4" t="s">
        <v>16</v>
      </c>
      <c r="G1774" s="4" t="s">
        <v>42</v>
      </c>
      <c r="H1774" s="4" t="s">
        <v>18</v>
      </c>
      <c r="I1774" s="4" t="s">
        <v>47</v>
      </c>
      <c r="J1774" s="3">
        <v>6</v>
      </c>
      <c r="K1774" s="6">
        <v>288258</v>
      </c>
      <c r="L1774" s="6">
        <f t="shared" si="81"/>
        <v>201780.59999999998</v>
      </c>
      <c r="M1774" s="6">
        <v>86477.400000000023</v>
      </c>
      <c r="N1774" s="5" t="str">
        <f t="shared" si="82"/>
        <v>Oct</v>
      </c>
      <c r="O1774" s="5" t="str">
        <f t="shared" si="83"/>
        <v xml:space="preserve"> 2023</v>
      </c>
    </row>
    <row r="1775" spans="1:15" x14ac:dyDescent="0.35">
      <c r="A1775" t="s">
        <v>2496</v>
      </c>
      <c r="B1775" s="5" t="s">
        <v>2497</v>
      </c>
      <c r="C1775" s="4" t="s">
        <v>22</v>
      </c>
      <c r="D1775" s="4" t="s">
        <v>90</v>
      </c>
      <c r="E1775" s="4" t="s">
        <v>110</v>
      </c>
      <c r="F1775" s="4" t="s">
        <v>25</v>
      </c>
      <c r="G1775" s="4" t="s">
        <v>26</v>
      </c>
      <c r="H1775" s="4" t="s">
        <v>72</v>
      </c>
      <c r="I1775" s="4" t="s">
        <v>28</v>
      </c>
      <c r="J1775" s="3">
        <v>1</v>
      </c>
      <c r="K1775" s="6">
        <v>7013</v>
      </c>
      <c r="L1775" s="6">
        <f t="shared" si="81"/>
        <v>4909.0999999999995</v>
      </c>
      <c r="M1775" s="6">
        <v>2103.9000000000005</v>
      </c>
      <c r="N1775" s="5" t="str">
        <f t="shared" si="82"/>
        <v>Nov</v>
      </c>
      <c r="O1775" s="5" t="str">
        <f t="shared" si="83"/>
        <v xml:space="preserve"> 2023</v>
      </c>
    </row>
    <row r="1776" spans="1:15" x14ac:dyDescent="0.35">
      <c r="A1776" t="s">
        <v>2498</v>
      </c>
      <c r="B1776" s="5" t="s">
        <v>568</v>
      </c>
      <c r="C1776" s="4" t="s">
        <v>55</v>
      </c>
      <c r="D1776" s="4" t="s">
        <v>82</v>
      </c>
      <c r="E1776" s="4" t="s">
        <v>83</v>
      </c>
      <c r="F1776" s="4" t="s">
        <v>67</v>
      </c>
      <c r="G1776" s="4" t="s">
        <v>113</v>
      </c>
      <c r="H1776" s="4" t="s">
        <v>72</v>
      </c>
      <c r="I1776" s="4" t="s">
        <v>60</v>
      </c>
      <c r="J1776" s="3">
        <v>3</v>
      </c>
      <c r="K1776" s="6">
        <v>37215</v>
      </c>
      <c r="L1776" s="6">
        <f t="shared" si="81"/>
        <v>26050.5</v>
      </c>
      <c r="M1776" s="6">
        <v>11164.5</v>
      </c>
      <c r="N1776" s="5" t="str">
        <f t="shared" si="82"/>
        <v>Nov</v>
      </c>
      <c r="O1776" s="5" t="str">
        <f t="shared" si="83"/>
        <v xml:space="preserve"> 2024</v>
      </c>
    </row>
    <row r="1777" spans="1:15" x14ac:dyDescent="0.35">
      <c r="A1777" t="s">
        <v>2499</v>
      </c>
      <c r="B1777" s="5" t="s">
        <v>2139</v>
      </c>
      <c r="C1777" s="4" t="s">
        <v>22</v>
      </c>
      <c r="D1777" s="4" t="s">
        <v>86</v>
      </c>
      <c r="E1777" s="4" t="s">
        <v>87</v>
      </c>
      <c r="F1777" s="4" t="s">
        <v>25</v>
      </c>
      <c r="G1777" s="4" t="s">
        <v>77</v>
      </c>
      <c r="H1777" s="4" t="s">
        <v>27</v>
      </c>
      <c r="I1777" s="4" t="s">
        <v>47</v>
      </c>
      <c r="J1777" s="3">
        <v>6</v>
      </c>
      <c r="K1777" s="6">
        <v>50610</v>
      </c>
      <c r="L1777" s="6">
        <f t="shared" si="81"/>
        <v>35427</v>
      </c>
      <c r="M1777" s="6">
        <v>15183</v>
      </c>
      <c r="N1777" s="5" t="str">
        <f t="shared" si="82"/>
        <v>May</v>
      </c>
      <c r="O1777" s="5" t="str">
        <f t="shared" si="83"/>
        <v xml:space="preserve"> 2023</v>
      </c>
    </row>
    <row r="1778" spans="1:15" x14ac:dyDescent="0.35">
      <c r="A1778" t="s">
        <v>2500</v>
      </c>
      <c r="B1778" s="5" t="s">
        <v>590</v>
      </c>
      <c r="C1778" s="4" t="s">
        <v>13</v>
      </c>
      <c r="D1778" s="4" t="s">
        <v>14</v>
      </c>
      <c r="E1778" s="4" t="s">
        <v>15</v>
      </c>
      <c r="F1778" s="4" t="s">
        <v>25</v>
      </c>
      <c r="G1778" s="4" t="s">
        <v>71</v>
      </c>
      <c r="H1778" s="4" t="s">
        <v>18</v>
      </c>
      <c r="I1778" s="4" t="s">
        <v>60</v>
      </c>
      <c r="J1778" s="3">
        <v>6</v>
      </c>
      <c r="K1778" s="6">
        <v>196794</v>
      </c>
      <c r="L1778" s="6">
        <f t="shared" si="81"/>
        <v>137755.79999999999</v>
      </c>
      <c r="M1778" s="6">
        <v>59038.200000000012</v>
      </c>
      <c r="N1778" s="5" t="str">
        <f t="shared" si="82"/>
        <v>May</v>
      </c>
      <c r="O1778" s="5" t="str">
        <f t="shared" si="83"/>
        <v xml:space="preserve"> 2023</v>
      </c>
    </row>
    <row r="1779" spans="1:15" x14ac:dyDescent="0.35">
      <c r="A1779" t="s">
        <v>2501</v>
      </c>
      <c r="B1779" s="5" t="s">
        <v>219</v>
      </c>
      <c r="C1779" s="4" t="s">
        <v>55</v>
      </c>
      <c r="D1779" s="4" t="s">
        <v>63</v>
      </c>
      <c r="E1779" s="4" t="s">
        <v>64</v>
      </c>
      <c r="F1779" s="4" t="s">
        <v>67</v>
      </c>
      <c r="G1779" s="4" t="s">
        <v>134</v>
      </c>
      <c r="H1779" s="4" t="s">
        <v>72</v>
      </c>
      <c r="I1779" s="4" t="s">
        <v>19</v>
      </c>
      <c r="J1779" s="3">
        <v>7</v>
      </c>
      <c r="K1779" s="6">
        <v>222488</v>
      </c>
      <c r="L1779" s="6">
        <f t="shared" si="81"/>
        <v>155741.59999999998</v>
      </c>
      <c r="M1779" s="6">
        <v>66746.400000000023</v>
      </c>
      <c r="N1779" s="5" t="str">
        <f t="shared" si="82"/>
        <v>Jan</v>
      </c>
      <c r="O1779" s="5" t="str">
        <f t="shared" si="83"/>
        <v xml:space="preserve"> 2023</v>
      </c>
    </row>
    <row r="1780" spans="1:15" x14ac:dyDescent="0.35">
      <c r="A1780" t="s">
        <v>2502</v>
      </c>
      <c r="B1780" s="5" t="s">
        <v>1340</v>
      </c>
      <c r="C1780" s="4" t="s">
        <v>13</v>
      </c>
      <c r="D1780" s="4" t="s">
        <v>118</v>
      </c>
      <c r="E1780" s="4" t="s">
        <v>119</v>
      </c>
      <c r="F1780" s="4" t="s">
        <v>67</v>
      </c>
      <c r="G1780" s="4" t="s">
        <v>180</v>
      </c>
      <c r="H1780" s="4" t="s">
        <v>18</v>
      </c>
      <c r="I1780" s="4" t="s">
        <v>28</v>
      </c>
      <c r="J1780" s="3">
        <v>8</v>
      </c>
      <c r="K1780" s="6">
        <v>64008</v>
      </c>
      <c r="L1780" s="6">
        <f t="shared" si="81"/>
        <v>44805.599999999999</v>
      </c>
      <c r="M1780" s="6">
        <v>19202.400000000001</v>
      </c>
      <c r="N1780" s="5" t="str">
        <f t="shared" si="82"/>
        <v>Nov</v>
      </c>
      <c r="O1780" s="5" t="str">
        <f t="shared" si="83"/>
        <v xml:space="preserve"> 2024</v>
      </c>
    </row>
    <row r="1781" spans="1:15" x14ac:dyDescent="0.35">
      <c r="A1781" t="s">
        <v>2503</v>
      </c>
      <c r="B1781" s="5" t="s">
        <v>2458</v>
      </c>
      <c r="C1781" s="4" t="s">
        <v>31</v>
      </c>
      <c r="D1781" s="4" t="s">
        <v>32</v>
      </c>
      <c r="E1781" s="4" t="s">
        <v>33</v>
      </c>
      <c r="F1781" s="4" t="s">
        <v>67</v>
      </c>
      <c r="G1781" s="4" t="s">
        <v>180</v>
      </c>
      <c r="H1781" s="4" t="s">
        <v>27</v>
      </c>
      <c r="I1781" s="4" t="s">
        <v>39</v>
      </c>
      <c r="J1781" s="3">
        <v>4</v>
      </c>
      <c r="K1781" s="6">
        <v>186828</v>
      </c>
      <c r="L1781" s="6">
        <f t="shared" si="81"/>
        <v>130779.59999999999</v>
      </c>
      <c r="M1781" s="6">
        <v>56048.400000000009</v>
      </c>
      <c r="N1781" s="5" t="str">
        <f t="shared" si="82"/>
        <v>Sep</v>
      </c>
      <c r="O1781" s="5" t="str">
        <f t="shared" si="83"/>
        <v xml:space="preserve"> 2024</v>
      </c>
    </row>
    <row r="1782" spans="1:15" x14ac:dyDescent="0.35">
      <c r="A1782" t="s">
        <v>2504</v>
      </c>
      <c r="B1782" s="5" t="s">
        <v>994</v>
      </c>
      <c r="C1782" s="4" t="s">
        <v>55</v>
      </c>
      <c r="D1782" s="4" t="s">
        <v>63</v>
      </c>
      <c r="E1782" s="4" t="s">
        <v>64</v>
      </c>
      <c r="F1782" s="4" t="s">
        <v>16</v>
      </c>
      <c r="G1782" s="4" t="s">
        <v>42</v>
      </c>
      <c r="H1782" s="4" t="s">
        <v>72</v>
      </c>
      <c r="I1782" s="4" t="s">
        <v>60</v>
      </c>
      <c r="J1782" s="3">
        <v>5</v>
      </c>
      <c r="K1782" s="6">
        <v>50520</v>
      </c>
      <c r="L1782" s="6">
        <f t="shared" si="81"/>
        <v>35364</v>
      </c>
      <c r="M1782" s="6">
        <v>15156</v>
      </c>
      <c r="N1782" s="5" t="str">
        <f t="shared" si="82"/>
        <v>Dec</v>
      </c>
      <c r="O1782" s="5" t="str">
        <f t="shared" si="83"/>
        <v xml:space="preserve"> 2023</v>
      </c>
    </row>
    <row r="1783" spans="1:15" x14ac:dyDescent="0.35">
      <c r="A1783" t="s">
        <v>2505</v>
      </c>
      <c r="B1783" s="5" t="s">
        <v>201</v>
      </c>
      <c r="C1783" s="4" t="s">
        <v>13</v>
      </c>
      <c r="D1783" s="4" t="s">
        <v>14</v>
      </c>
      <c r="E1783" s="4" t="s">
        <v>15</v>
      </c>
      <c r="F1783" s="4" t="s">
        <v>16</v>
      </c>
      <c r="G1783" s="4" t="s">
        <v>17</v>
      </c>
      <c r="H1783" s="4" t="s">
        <v>27</v>
      </c>
      <c r="I1783" s="4" t="s">
        <v>39</v>
      </c>
      <c r="J1783" s="3">
        <v>7</v>
      </c>
      <c r="K1783" s="6">
        <v>214480</v>
      </c>
      <c r="L1783" s="6">
        <f t="shared" si="81"/>
        <v>150136</v>
      </c>
      <c r="M1783" s="6">
        <v>64344</v>
      </c>
      <c r="N1783" s="5" t="str">
        <f t="shared" si="82"/>
        <v>Nov</v>
      </c>
      <c r="O1783" s="5" t="str">
        <f t="shared" si="83"/>
        <v xml:space="preserve"> 2023</v>
      </c>
    </row>
    <row r="1784" spans="1:15" x14ac:dyDescent="0.35">
      <c r="A1784" t="s">
        <v>2506</v>
      </c>
      <c r="B1784" s="5" t="s">
        <v>2216</v>
      </c>
      <c r="C1784" s="4" t="s">
        <v>13</v>
      </c>
      <c r="D1784" s="4" t="s">
        <v>14</v>
      </c>
      <c r="E1784" s="4" t="s">
        <v>15</v>
      </c>
      <c r="F1784" s="4" t="s">
        <v>25</v>
      </c>
      <c r="G1784" s="4" t="s">
        <v>77</v>
      </c>
      <c r="H1784" s="4" t="s">
        <v>72</v>
      </c>
      <c r="I1784" s="4" t="s">
        <v>28</v>
      </c>
      <c r="J1784" s="3">
        <v>5</v>
      </c>
      <c r="K1784" s="6">
        <v>119685</v>
      </c>
      <c r="L1784" s="6">
        <f t="shared" si="81"/>
        <v>83779.5</v>
      </c>
      <c r="M1784" s="6">
        <v>35905.5</v>
      </c>
      <c r="N1784" s="5" t="str">
        <f t="shared" si="82"/>
        <v>Jul</v>
      </c>
      <c r="O1784" s="5" t="str">
        <f t="shared" si="83"/>
        <v xml:space="preserve"> 2024</v>
      </c>
    </row>
    <row r="1785" spans="1:15" x14ac:dyDescent="0.35">
      <c r="A1785" t="s">
        <v>2507</v>
      </c>
      <c r="B1785" s="5" t="s">
        <v>2358</v>
      </c>
      <c r="C1785" s="4" t="s">
        <v>31</v>
      </c>
      <c r="D1785" s="4" t="s">
        <v>32</v>
      </c>
      <c r="E1785" s="4" t="s">
        <v>33</v>
      </c>
      <c r="F1785" s="4" t="s">
        <v>67</v>
      </c>
      <c r="G1785" s="4" t="s">
        <v>113</v>
      </c>
      <c r="H1785" s="4" t="s">
        <v>18</v>
      </c>
      <c r="I1785" s="4" t="s">
        <v>19</v>
      </c>
      <c r="J1785" s="3">
        <v>9</v>
      </c>
      <c r="K1785" s="6">
        <v>72486</v>
      </c>
      <c r="L1785" s="6">
        <f t="shared" si="81"/>
        <v>50740.2</v>
      </c>
      <c r="M1785" s="6">
        <v>21745.800000000003</v>
      </c>
      <c r="N1785" s="5" t="str">
        <f t="shared" si="82"/>
        <v>Aug</v>
      </c>
      <c r="O1785" s="5" t="str">
        <f t="shared" si="83"/>
        <v xml:space="preserve"> 2024</v>
      </c>
    </row>
    <row r="1786" spans="1:15" x14ac:dyDescent="0.35">
      <c r="A1786" t="s">
        <v>2508</v>
      </c>
      <c r="B1786" s="5" t="s">
        <v>1128</v>
      </c>
      <c r="C1786" s="4" t="s">
        <v>22</v>
      </c>
      <c r="D1786" s="4" t="s">
        <v>23</v>
      </c>
      <c r="E1786" s="4" t="s">
        <v>24</v>
      </c>
      <c r="F1786" s="4" t="s">
        <v>25</v>
      </c>
      <c r="G1786" s="4" t="s">
        <v>52</v>
      </c>
      <c r="H1786" s="4" t="s">
        <v>72</v>
      </c>
      <c r="I1786" s="4" t="s">
        <v>47</v>
      </c>
      <c r="J1786" s="3">
        <v>10</v>
      </c>
      <c r="K1786" s="6">
        <v>400840</v>
      </c>
      <c r="L1786" s="6">
        <f t="shared" si="81"/>
        <v>280588</v>
      </c>
      <c r="M1786" s="6">
        <v>120252</v>
      </c>
      <c r="N1786" s="5" t="str">
        <f t="shared" si="82"/>
        <v>Feb</v>
      </c>
      <c r="O1786" s="5" t="str">
        <f t="shared" si="83"/>
        <v xml:space="preserve"> 2023</v>
      </c>
    </row>
    <row r="1787" spans="1:15" x14ac:dyDescent="0.35">
      <c r="A1787" t="s">
        <v>2509</v>
      </c>
      <c r="B1787" s="5" t="s">
        <v>433</v>
      </c>
      <c r="C1787" s="4" t="s">
        <v>22</v>
      </c>
      <c r="D1787" s="4" t="s">
        <v>90</v>
      </c>
      <c r="E1787" s="4" t="s">
        <v>91</v>
      </c>
      <c r="F1787" s="4" t="s">
        <v>25</v>
      </c>
      <c r="G1787" s="4" t="s">
        <v>52</v>
      </c>
      <c r="H1787" s="4" t="s">
        <v>18</v>
      </c>
      <c r="I1787" s="4" t="s">
        <v>28</v>
      </c>
      <c r="J1787" s="3">
        <v>9</v>
      </c>
      <c r="K1787" s="6">
        <v>206946</v>
      </c>
      <c r="L1787" s="6">
        <f t="shared" si="81"/>
        <v>144862.19999999998</v>
      </c>
      <c r="M1787" s="6">
        <v>62083.800000000017</v>
      </c>
      <c r="N1787" s="5" t="str">
        <f t="shared" si="82"/>
        <v>Oct</v>
      </c>
      <c r="O1787" s="5" t="str">
        <f t="shared" si="83"/>
        <v xml:space="preserve"> 2024</v>
      </c>
    </row>
    <row r="1788" spans="1:15" x14ac:dyDescent="0.35">
      <c r="A1788" t="s">
        <v>2510</v>
      </c>
      <c r="B1788" s="5" t="s">
        <v>1132</v>
      </c>
      <c r="C1788" s="4" t="s">
        <v>55</v>
      </c>
      <c r="D1788" s="4" t="s">
        <v>63</v>
      </c>
      <c r="E1788" s="4" t="s">
        <v>64</v>
      </c>
      <c r="F1788" s="4" t="s">
        <v>25</v>
      </c>
      <c r="G1788" s="4" t="s">
        <v>77</v>
      </c>
      <c r="H1788" s="4" t="s">
        <v>72</v>
      </c>
      <c r="I1788" s="4" t="s">
        <v>28</v>
      </c>
      <c r="J1788" s="3">
        <v>3</v>
      </c>
      <c r="K1788" s="6">
        <v>34797</v>
      </c>
      <c r="L1788" s="6">
        <f t="shared" si="81"/>
        <v>24357.899999999998</v>
      </c>
      <c r="M1788" s="6">
        <v>10439.100000000002</v>
      </c>
      <c r="N1788" s="5" t="str">
        <f t="shared" si="82"/>
        <v>Aug</v>
      </c>
      <c r="O1788" s="5" t="str">
        <f t="shared" si="83"/>
        <v xml:space="preserve"> 2023</v>
      </c>
    </row>
    <row r="1789" spans="1:15" x14ac:dyDescent="0.35">
      <c r="A1789" t="s">
        <v>2511</v>
      </c>
      <c r="B1789" s="5" t="s">
        <v>1565</v>
      </c>
      <c r="C1789" s="4" t="s">
        <v>22</v>
      </c>
      <c r="D1789" s="4" t="s">
        <v>23</v>
      </c>
      <c r="E1789" s="4" t="s">
        <v>24</v>
      </c>
      <c r="F1789" s="4" t="s">
        <v>37</v>
      </c>
      <c r="G1789" s="4" t="s">
        <v>148</v>
      </c>
      <c r="H1789" s="4" t="s">
        <v>27</v>
      </c>
      <c r="I1789" s="4" t="s">
        <v>47</v>
      </c>
      <c r="J1789" s="3">
        <v>5</v>
      </c>
      <c r="K1789" s="6">
        <v>87500</v>
      </c>
      <c r="L1789" s="6">
        <f t="shared" si="81"/>
        <v>61249.999999999993</v>
      </c>
      <c r="M1789" s="6">
        <v>26250.000000000007</v>
      </c>
      <c r="N1789" s="5" t="str">
        <f t="shared" si="82"/>
        <v>Sep</v>
      </c>
      <c r="O1789" s="5" t="str">
        <f t="shared" si="83"/>
        <v xml:space="preserve"> 2024</v>
      </c>
    </row>
    <row r="1790" spans="1:15" x14ac:dyDescent="0.35">
      <c r="A1790" t="s">
        <v>2512</v>
      </c>
      <c r="B1790" s="5" t="s">
        <v>1869</v>
      </c>
      <c r="C1790" s="4" t="s">
        <v>13</v>
      </c>
      <c r="D1790" s="4" t="s">
        <v>162</v>
      </c>
      <c r="E1790" s="4" t="s">
        <v>163</v>
      </c>
      <c r="F1790" s="4" t="s">
        <v>25</v>
      </c>
      <c r="G1790" s="4" t="s">
        <v>52</v>
      </c>
      <c r="H1790" s="4" t="s">
        <v>72</v>
      </c>
      <c r="I1790" s="4" t="s">
        <v>19</v>
      </c>
      <c r="J1790" s="3">
        <v>1</v>
      </c>
      <c r="K1790" s="6">
        <v>619</v>
      </c>
      <c r="L1790" s="6">
        <f t="shared" si="81"/>
        <v>433.29999999999995</v>
      </c>
      <c r="M1790" s="6">
        <v>185.70000000000005</v>
      </c>
      <c r="N1790" s="5" t="str">
        <f t="shared" si="82"/>
        <v>Aug</v>
      </c>
      <c r="O1790" s="5" t="str">
        <f t="shared" si="83"/>
        <v xml:space="preserve"> 2023</v>
      </c>
    </row>
    <row r="1791" spans="1:15" x14ac:dyDescent="0.35">
      <c r="A1791" t="s">
        <v>2513</v>
      </c>
      <c r="B1791" s="5" t="s">
        <v>209</v>
      </c>
      <c r="C1791" s="4" t="s">
        <v>22</v>
      </c>
      <c r="D1791" s="4" t="s">
        <v>86</v>
      </c>
      <c r="E1791" s="4" t="s">
        <v>87</v>
      </c>
      <c r="F1791" s="4" t="s">
        <v>67</v>
      </c>
      <c r="G1791" s="4" t="s">
        <v>134</v>
      </c>
      <c r="H1791" s="4" t="s">
        <v>27</v>
      </c>
      <c r="I1791" s="4" t="s">
        <v>39</v>
      </c>
      <c r="J1791" s="3">
        <v>10</v>
      </c>
      <c r="K1791" s="6">
        <v>416960</v>
      </c>
      <c r="L1791" s="6">
        <f t="shared" si="81"/>
        <v>291872</v>
      </c>
      <c r="M1791" s="6">
        <v>125088</v>
      </c>
      <c r="N1791" s="5" t="str">
        <f t="shared" si="82"/>
        <v>Oct</v>
      </c>
      <c r="O1791" s="5" t="str">
        <f t="shared" si="83"/>
        <v xml:space="preserve"> 2024</v>
      </c>
    </row>
    <row r="1792" spans="1:15" x14ac:dyDescent="0.35">
      <c r="A1792" t="s">
        <v>2514</v>
      </c>
      <c r="B1792" s="5" t="s">
        <v>103</v>
      </c>
      <c r="C1792" s="4" t="s">
        <v>13</v>
      </c>
      <c r="D1792" s="4" t="s">
        <v>125</v>
      </c>
      <c r="E1792" s="4" t="s">
        <v>126</v>
      </c>
      <c r="F1792" s="4" t="s">
        <v>67</v>
      </c>
      <c r="G1792" s="4" t="s">
        <v>113</v>
      </c>
      <c r="H1792" s="4" t="s">
        <v>27</v>
      </c>
      <c r="I1792" s="4" t="s">
        <v>60</v>
      </c>
      <c r="J1792" s="3">
        <v>1</v>
      </c>
      <c r="K1792" s="6">
        <v>11348</v>
      </c>
      <c r="L1792" s="6">
        <f t="shared" si="81"/>
        <v>7943.5999999999995</v>
      </c>
      <c r="M1792" s="6">
        <v>3404.4000000000005</v>
      </c>
      <c r="N1792" s="5" t="str">
        <f t="shared" si="82"/>
        <v>Oct</v>
      </c>
      <c r="O1792" s="5" t="str">
        <f t="shared" si="83"/>
        <v xml:space="preserve"> 2024</v>
      </c>
    </row>
    <row r="1793" spans="1:15" x14ac:dyDescent="0.35">
      <c r="A1793" t="s">
        <v>2515</v>
      </c>
      <c r="B1793" s="5" t="s">
        <v>1044</v>
      </c>
      <c r="C1793" s="4" t="s">
        <v>22</v>
      </c>
      <c r="D1793" s="4" t="s">
        <v>23</v>
      </c>
      <c r="E1793" s="4" t="s">
        <v>24</v>
      </c>
      <c r="F1793" s="4" t="s">
        <v>37</v>
      </c>
      <c r="G1793" s="4" t="s">
        <v>148</v>
      </c>
      <c r="H1793" s="4" t="s">
        <v>18</v>
      </c>
      <c r="I1793" s="4" t="s">
        <v>60</v>
      </c>
      <c r="J1793" s="3">
        <v>10</v>
      </c>
      <c r="K1793" s="6">
        <v>28350</v>
      </c>
      <c r="L1793" s="6">
        <f t="shared" si="81"/>
        <v>19845</v>
      </c>
      <c r="M1793" s="6">
        <v>8505</v>
      </c>
      <c r="N1793" s="5" t="str">
        <f t="shared" si="82"/>
        <v>Jan</v>
      </c>
      <c r="O1793" s="5" t="str">
        <f t="shared" si="83"/>
        <v xml:space="preserve"> 2024</v>
      </c>
    </row>
    <row r="1794" spans="1:15" x14ac:dyDescent="0.35">
      <c r="A1794" t="s">
        <v>2516</v>
      </c>
      <c r="B1794" s="5" t="s">
        <v>145</v>
      </c>
      <c r="C1794" s="4" t="s">
        <v>22</v>
      </c>
      <c r="D1794" s="4" t="s">
        <v>90</v>
      </c>
      <c r="E1794" s="4" t="s">
        <v>110</v>
      </c>
      <c r="F1794" s="4" t="s">
        <v>67</v>
      </c>
      <c r="G1794" s="4" t="s">
        <v>134</v>
      </c>
      <c r="H1794" s="4" t="s">
        <v>18</v>
      </c>
      <c r="I1794" s="4" t="s">
        <v>39</v>
      </c>
      <c r="J1794" s="3">
        <v>1</v>
      </c>
      <c r="K1794" s="6">
        <v>33580</v>
      </c>
      <c r="L1794" s="6">
        <f t="shared" ref="L1794:L1857" si="84">K1794*0.7</f>
        <v>23506</v>
      </c>
      <c r="M1794" s="6">
        <v>10074</v>
      </c>
      <c r="N1794" s="5" t="str">
        <f t="shared" ref="N1794:N1857" si="85">TEXT(B1794,"mmm")</f>
        <v>Jun</v>
      </c>
      <c r="O1794" s="5" t="str">
        <f t="shared" ref="O1794:O1857" si="86">TEXT(B1794," yyyy")</f>
        <v xml:space="preserve"> 2024</v>
      </c>
    </row>
    <row r="1795" spans="1:15" x14ac:dyDescent="0.35">
      <c r="A1795" t="s">
        <v>2517</v>
      </c>
      <c r="B1795" s="5" t="s">
        <v>2052</v>
      </c>
      <c r="C1795" s="4" t="s">
        <v>31</v>
      </c>
      <c r="D1795" s="4" t="s">
        <v>104</v>
      </c>
      <c r="E1795" s="4" t="s">
        <v>105</v>
      </c>
      <c r="F1795" s="4" t="s">
        <v>16</v>
      </c>
      <c r="G1795" s="4" t="s">
        <v>122</v>
      </c>
      <c r="H1795" s="4" t="s">
        <v>27</v>
      </c>
      <c r="I1795" s="4" t="s">
        <v>39</v>
      </c>
      <c r="J1795" s="3">
        <v>10</v>
      </c>
      <c r="K1795" s="6">
        <v>148390</v>
      </c>
      <c r="L1795" s="6">
        <f t="shared" si="84"/>
        <v>103873</v>
      </c>
      <c r="M1795" s="6">
        <v>44517</v>
      </c>
      <c r="N1795" s="5" t="str">
        <f t="shared" si="85"/>
        <v>Sep</v>
      </c>
      <c r="O1795" s="5" t="str">
        <f t="shared" si="86"/>
        <v xml:space="preserve"> 2023</v>
      </c>
    </row>
    <row r="1796" spans="1:15" x14ac:dyDescent="0.35">
      <c r="A1796" t="s">
        <v>2518</v>
      </c>
      <c r="B1796" s="5" t="s">
        <v>811</v>
      </c>
      <c r="C1796" s="4" t="s">
        <v>55</v>
      </c>
      <c r="D1796" s="4" t="s">
        <v>82</v>
      </c>
      <c r="E1796" s="4" t="s">
        <v>83</v>
      </c>
      <c r="F1796" s="4" t="s">
        <v>16</v>
      </c>
      <c r="G1796" s="4" t="s">
        <v>122</v>
      </c>
      <c r="H1796" s="4" t="s">
        <v>72</v>
      </c>
      <c r="I1796" s="4" t="s">
        <v>39</v>
      </c>
      <c r="J1796" s="3">
        <v>10</v>
      </c>
      <c r="K1796" s="6">
        <v>343640</v>
      </c>
      <c r="L1796" s="6">
        <f t="shared" si="84"/>
        <v>240547.99999999997</v>
      </c>
      <c r="M1796" s="6">
        <v>103092.00000000003</v>
      </c>
      <c r="N1796" s="5" t="str">
        <f t="shared" si="85"/>
        <v>Jan</v>
      </c>
      <c r="O1796" s="5" t="str">
        <f t="shared" si="86"/>
        <v xml:space="preserve"> 2024</v>
      </c>
    </row>
    <row r="1797" spans="1:15" x14ac:dyDescent="0.35">
      <c r="A1797" t="s">
        <v>2519</v>
      </c>
      <c r="B1797" s="5" t="s">
        <v>417</v>
      </c>
      <c r="C1797" s="4" t="s">
        <v>55</v>
      </c>
      <c r="D1797" s="4" t="s">
        <v>63</v>
      </c>
      <c r="E1797" s="4" t="s">
        <v>64</v>
      </c>
      <c r="F1797" s="4" t="s">
        <v>67</v>
      </c>
      <c r="G1797" s="4" t="s">
        <v>113</v>
      </c>
      <c r="H1797" s="4" t="s">
        <v>27</v>
      </c>
      <c r="I1797" s="4" t="s">
        <v>60</v>
      </c>
      <c r="J1797" s="3">
        <v>7</v>
      </c>
      <c r="K1797" s="6">
        <v>299026</v>
      </c>
      <c r="L1797" s="6">
        <f t="shared" si="84"/>
        <v>209318.19999999998</v>
      </c>
      <c r="M1797" s="6">
        <v>89707.800000000017</v>
      </c>
      <c r="N1797" s="5" t="str">
        <f t="shared" si="85"/>
        <v>Mar</v>
      </c>
      <c r="O1797" s="5" t="str">
        <f t="shared" si="86"/>
        <v xml:space="preserve"> 2023</v>
      </c>
    </row>
    <row r="1798" spans="1:15" x14ac:dyDescent="0.35">
      <c r="A1798" t="s">
        <v>2520</v>
      </c>
      <c r="B1798" s="5" t="s">
        <v>1125</v>
      </c>
      <c r="C1798" s="4" t="s">
        <v>22</v>
      </c>
      <c r="D1798" s="4" t="s">
        <v>90</v>
      </c>
      <c r="E1798" s="4" t="s">
        <v>110</v>
      </c>
      <c r="F1798" s="4" t="s">
        <v>16</v>
      </c>
      <c r="G1798" s="4" t="s">
        <v>17</v>
      </c>
      <c r="H1798" s="4" t="s">
        <v>72</v>
      </c>
      <c r="I1798" s="4" t="s">
        <v>47</v>
      </c>
      <c r="J1798" s="3">
        <v>7</v>
      </c>
      <c r="K1798" s="6">
        <v>310366</v>
      </c>
      <c r="L1798" s="6">
        <f t="shared" si="84"/>
        <v>217256.19999999998</v>
      </c>
      <c r="M1798" s="6">
        <v>93109.800000000017</v>
      </c>
      <c r="N1798" s="5" t="str">
        <f t="shared" si="85"/>
        <v>Mar</v>
      </c>
      <c r="O1798" s="5" t="str">
        <f t="shared" si="86"/>
        <v xml:space="preserve"> 2023</v>
      </c>
    </row>
    <row r="1799" spans="1:15" x14ac:dyDescent="0.35">
      <c r="A1799" t="s">
        <v>2521</v>
      </c>
      <c r="B1799" s="5" t="s">
        <v>2522</v>
      </c>
      <c r="C1799" s="4" t="s">
        <v>31</v>
      </c>
      <c r="D1799" s="4" t="s">
        <v>104</v>
      </c>
      <c r="E1799" s="4" t="s">
        <v>105</v>
      </c>
      <c r="F1799" s="4" t="s">
        <v>16</v>
      </c>
      <c r="G1799" s="4" t="s">
        <v>42</v>
      </c>
      <c r="H1799" s="4" t="s">
        <v>27</v>
      </c>
      <c r="I1799" s="4" t="s">
        <v>47</v>
      </c>
      <c r="J1799" s="3">
        <v>7</v>
      </c>
      <c r="K1799" s="6">
        <v>244888</v>
      </c>
      <c r="L1799" s="6">
        <f t="shared" si="84"/>
        <v>171421.59999999998</v>
      </c>
      <c r="M1799" s="6">
        <v>73466.400000000023</v>
      </c>
      <c r="N1799" s="5" t="str">
        <f t="shared" si="85"/>
        <v>Mar</v>
      </c>
      <c r="O1799" s="5" t="str">
        <f t="shared" si="86"/>
        <v xml:space="preserve"> 2023</v>
      </c>
    </row>
    <row r="1800" spans="1:15" x14ac:dyDescent="0.35">
      <c r="A1800" t="s">
        <v>2523</v>
      </c>
      <c r="B1800" s="5" t="s">
        <v>813</v>
      </c>
      <c r="C1800" s="4" t="s">
        <v>13</v>
      </c>
      <c r="D1800" s="4" t="s">
        <v>162</v>
      </c>
      <c r="E1800" s="4" t="s">
        <v>163</v>
      </c>
      <c r="F1800" s="4" t="s">
        <v>37</v>
      </c>
      <c r="G1800" s="4" t="s">
        <v>183</v>
      </c>
      <c r="H1800" s="4" t="s">
        <v>18</v>
      </c>
      <c r="I1800" s="4" t="s">
        <v>28</v>
      </c>
      <c r="J1800" s="3">
        <v>7</v>
      </c>
      <c r="K1800" s="6">
        <v>322868</v>
      </c>
      <c r="L1800" s="6">
        <f t="shared" si="84"/>
        <v>226007.59999999998</v>
      </c>
      <c r="M1800" s="6">
        <v>96860.400000000023</v>
      </c>
      <c r="N1800" s="5" t="str">
        <f t="shared" si="85"/>
        <v>Feb</v>
      </c>
      <c r="O1800" s="5" t="str">
        <f t="shared" si="86"/>
        <v xml:space="preserve"> 2024</v>
      </c>
    </row>
    <row r="1801" spans="1:15" x14ac:dyDescent="0.35">
      <c r="A1801" t="s">
        <v>2524</v>
      </c>
      <c r="B1801" s="5" t="s">
        <v>49</v>
      </c>
      <c r="C1801" s="4" t="s">
        <v>31</v>
      </c>
      <c r="D1801" s="4" t="s">
        <v>104</v>
      </c>
      <c r="E1801" s="4" t="s">
        <v>105</v>
      </c>
      <c r="F1801" s="4" t="s">
        <v>25</v>
      </c>
      <c r="G1801" s="4" t="s">
        <v>26</v>
      </c>
      <c r="H1801" s="4" t="s">
        <v>27</v>
      </c>
      <c r="I1801" s="4" t="s">
        <v>28</v>
      </c>
      <c r="J1801" s="3">
        <v>3</v>
      </c>
      <c r="K1801" s="6">
        <v>28365</v>
      </c>
      <c r="L1801" s="6">
        <f t="shared" si="84"/>
        <v>19855.5</v>
      </c>
      <c r="M1801" s="6">
        <v>8509.5</v>
      </c>
      <c r="N1801" s="5" t="str">
        <f t="shared" si="85"/>
        <v>Feb</v>
      </c>
      <c r="O1801" s="5" t="str">
        <f t="shared" si="86"/>
        <v xml:space="preserve"> 2024</v>
      </c>
    </row>
    <row r="1802" spans="1:15" x14ac:dyDescent="0.35">
      <c r="A1802" t="s">
        <v>2525</v>
      </c>
      <c r="B1802" s="5" t="s">
        <v>142</v>
      </c>
      <c r="C1802" s="4" t="s">
        <v>31</v>
      </c>
      <c r="D1802" s="4" t="s">
        <v>104</v>
      </c>
      <c r="E1802" s="4" t="s">
        <v>105</v>
      </c>
      <c r="F1802" s="4" t="s">
        <v>37</v>
      </c>
      <c r="G1802" s="4" t="s">
        <v>186</v>
      </c>
      <c r="H1802" s="4" t="s">
        <v>18</v>
      </c>
      <c r="I1802" s="4" t="s">
        <v>39</v>
      </c>
      <c r="J1802" s="3">
        <v>8</v>
      </c>
      <c r="K1802" s="6">
        <v>182832</v>
      </c>
      <c r="L1802" s="6">
        <f t="shared" si="84"/>
        <v>127982.39999999999</v>
      </c>
      <c r="M1802" s="6">
        <v>54849.600000000006</v>
      </c>
      <c r="N1802" s="5" t="str">
        <f t="shared" si="85"/>
        <v>Apr</v>
      </c>
      <c r="O1802" s="5" t="str">
        <f t="shared" si="86"/>
        <v xml:space="preserve"> 2023</v>
      </c>
    </row>
    <row r="1803" spans="1:15" x14ac:dyDescent="0.35">
      <c r="A1803" t="s">
        <v>2526</v>
      </c>
      <c r="B1803" s="5" t="s">
        <v>1324</v>
      </c>
      <c r="C1803" s="4" t="s">
        <v>31</v>
      </c>
      <c r="D1803" s="4" t="s">
        <v>50</v>
      </c>
      <c r="E1803" s="4" t="s">
        <v>51</v>
      </c>
      <c r="F1803" s="4" t="s">
        <v>37</v>
      </c>
      <c r="G1803" s="4" t="s">
        <v>148</v>
      </c>
      <c r="H1803" s="4" t="s">
        <v>18</v>
      </c>
      <c r="I1803" s="4" t="s">
        <v>19</v>
      </c>
      <c r="J1803" s="3">
        <v>1</v>
      </c>
      <c r="K1803" s="6">
        <v>45333</v>
      </c>
      <c r="L1803" s="6">
        <f t="shared" si="84"/>
        <v>31733.1</v>
      </c>
      <c r="M1803" s="6">
        <v>13599.900000000001</v>
      </c>
      <c r="N1803" s="5" t="str">
        <f t="shared" si="85"/>
        <v>Jan</v>
      </c>
      <c r="O1803" s="5" t="str">
        <f t="shared" si="86"/>
        <v xml:space="preserve"> 2023</v>
      </c>
    </row>
    <row r="1804" spans="1:15" x14ac:dyDescent="0.35">
      <c r="A1804" t="s">
        <v>2527</v>
      </c>
      <c r="B1804" s="5" t="s">
        <v>795</v>
      </c>
      <c r="C1804" s="4" t="s">
        <v>13</v>
      </c>
      <c r="D1804" s="4" t="s">
        <v>14</v>
      </c>
      <c r="E1804" s="4" t="s">
        <v>15</v>
      </c>
      <c r="F1804" s="4" t="s">
        <v>16</v>
      </c>
      <c r="G1804" s="4" t="s">
        <v>17</v>
      </c>
      <c r="H1804" s="4" t="s">
        <v>18</v>
      </c>
      <c r="I1804" s="4" t="s">
        <v>28</v>
      </c>
      <c r="J1804" s="3">
        <v>9</v>
      </c>
      <c r="K1804" s="6">
        <v>182628</v>
      </c>
      <c r="L1804" s="6">
        <f t="shared" si="84"/>
        <v>127839.59999999999</v>
      </c>
      <c r="M1804" s="6">
        <v>54788.400000000009</v>
      </c>
      <c r="N1804" s="5" t="str">
        <f t="shared" si="85"/>
        <v>Mar</v>
      </c>
      <c r="O1804" s="5" t="str">
        <f t="shared" si="86"/>
        <v xml:space="preserve"> 2024</v>
      </c>
    </row>
    <row r="1805" spans="1:15" x14ac:dyDescent="0.35">
      <c r="A1805" t="s">
        <v>2528</v>
      </c>
      <c r="B1805" s="5" t="s">
        <v>283</v>
      </c>
      <c r="C1805" s="4" t="s">
        <v>55</v>
      </c>
      <c r="D1805" s="4" t="s">
        <v>63</v>
      </c>
      <c r="E1805" s="4" t="s">
        <v>64</v>
      </c>
      <c r="F1805" s="4" t="s">
        <v>67</v>
      </c>
      <c r="G1805" s="4" t="s">
        <v>68</v>
      </c>
      <c r="H1805" s="4" t="s">
        <v>72</v>
      </c>
      <c r="I1805" s="4" t="s">
        <v>60</v>
      </c>
      <c r="J1805" s="3">
        <v>9</v>
      </c>
      <c r="K1805" s="6">
        <v>10935</v>
      </c>
      <c r="L1805" s="6">
        <f t="shared" si="84"/>
        <v>7654.4999999999991</v>
      </c>
      <c r="M1805" s="6">
        <v>3280.5000000000009</v>
      </c>
      <c r="N1805" s="5" t="str">
        <f t="shared" si="85"/>
        <v>Jun</v>
      </c>
      <c r="O1805" s="5" t="str">
        <f t="shared" si="86"/>
        <v xml:space="preserve"> 2023</v>
      </c>
    </row>
    <row r="1806" spans="1:15" x14ac:dyDescent="0.35">
      <c r="A1806" t="s">
        <v>2529</v>
      </c>
      <c r="B1806" s="5" t="s">
        <v>2530</v>
      </c>
      <c r="C1806" s="4" t="s">
        <v>22</v>
      </c>
      <c r="D1806" s="4" t="s">
        <v>86</v>
      </c>
      <c r="E1806" s="4" t="s">
        <v>87</v>
      </c>
      <c r="F1806" s="4" t="s">
        <v>37</v>
      </c>
      <c r="G1806" s="4" t="s">
        <v>148</v>
      </c>
      <c r="H1806" s="4" t="s">
        <v>18</v>
      </c>
      <c r="I1806" s="4" t="s">
        <v>19</v>
      </c>
      <c r="J1806" s="3">
        <v>1</v>
      </c>
      <c r="K1806" s="6">
        <v>43864</v>
      </c>
      <c r="L1806" s="6">
        <f t="shared" si="84"/>
        <v>30704.799999999999</v>
      </c>
      <c r="M1806" s="6">
        <v>13159.2</v>
      </c>
      <c r="N1806" s="5" t="str">
        <f t="shared" si="85"/>
        <v>Aug</v>
      </c>
      <c r="O1806" s="5" t="str">
        <f t="shared" si="86"/>
        <v xml:space="preserve"> 2024</v>
      </c>
    </row>
    <row r="1807" spans="1:15" x14ac:dyDescent="0.35">
      <c r="A1807" t="s">
        <v>2531</v>
      </c>
      <c r="B1807" s="5" t="s">
        <v>1021</v>
      </c>
      <c r="C1807" s="4" t="s">
        <v>55</v>
      </c>
      <c r="D1807" s="4" t="s">
        <v>82</v>
      </c>
      <c r="E1807" s="4" t="s">
        <v>83</v>
      </c>
      <c r="F1807" s="4" t="s">
        <v>37</v>
      </c>
      <c r="G1807" s="4" t="s">
        <v>186</v>
      </c>
      <c r="H1807" s="4" t="s">
        <v>18</v>
      </c>
      <c r="I1807" s="4" t="s">
        <v>19</v>
      </c>
      <c r="J1807" s="3">
        <v>5</v>
      </c>
      <c r="K1807" s="6">
        <v>164655</v>
      </c>
      <c r="L1807" s="6">
        <f t="shared" si="84"/>
        <v>115258.49999999999</v>
      </c>
      <c r="M1807" s="6">
        <v>49396.500000000015</v>
      </c>
      <c r="N1807" s="5" t="str">
        <f t="shared" si="85"/>
        <v>Oct</v>
      </c>
      <c r="O1807" s="5" t="str">
        <f t="shared" si="86"/>
        <v xml:space="preserve"> 2024</v>
      </c>
    </row>
    <row r="1808" spans="1:15" x14ac:dyDescent="0.35">
      <c r="A1808" t="s">
        <v>2532</v>
      </c>
      <c r="B1808" s="5" t="s">
        <v>1092</v>
      </c>
      <c r="C1808" s="4" t="s">
        <v>22</v>
      </c>
      <c r="D1808" s="4" t="s">
        <v>90</v>
      </c>
      <c r="E1808" s="4" t="s">
        <v>91</v>
      </c>
      <c r="F1808" s="4" t="s">
        <v>16</v>
      </c>
      <c r="G1808" s="4" t="s">
        <v>17</v>
      </c>
      <c r="H1808" s="4" t="s">
        <v>72</v>
      </c>
      <c r="I1808" s="4" t="s">
        <v>47</v>
      </c>
      <c r="J1808" s="3">
        <v>9</v>
      </c>
      <c r="K1808" s="6">
        <v>175338</v>
      </c>
      <c r="L1808" s="6">
        <f t="shared" si="84"/>
        <v>122736.59999999999</v>
      </c>
      <c r="M1808" s="6">
        <v>52601.400000000009</v>
      </c>
      <c r="N1808" s="5" t="str">
        <f t="shared" si="85"/>
        <v>Aug</v>
      </c>
      <c r="O1808" s="5" t="str">
        <f t="shared" si="86"/>
        <v xml:space="preserve"> 2024</v>
      </c>
    </row>
    <row r="1809" spans="1:15" x14ac:dyDescent="0.35">
      <c r="A1809" t="s">
        <v>2533</v>
      </c>
      <c r="B1809" s="5" t="s">
        <v>596</v>
      </c>
      <c r="C1809" s="4" t="s">
        <v>22</v>
      </c>
      <c r="D1809" s="4" t="s">
        <v>86</v>
      </c>
      <c r="E1809" s="4" t="s">
        <v>87</v>
      </c>
      <c r="F1809" s="4" t="s">
        <v>37</v>
      </c>
      <c r="G1809" s="4" t="s">
        <v>38</v>
      </c>
      <c r="H1809" s="4" t="s">
        <v>72</v>
      </c>
      <c r="I1809" s="4" t="s">
        <v>39</v>
      </c>
      <c r="J1809" s="3">
        <v>8</v>
      </c>
      <c r="K1809" s="6">
        <v>69856</v>
      </c>
      <c r="L1809" s="6">
        <f t="shared" si="84"/>
        <v>48899.199999999997</v>
      </c>
      <c r="M1809" s="6">
        <v>20956.800000000003</v>
      </c>
      <c r="N1809" s="5" t="str">
        <f t="shared" si="85"/>
        <v>Jun</v>
      </c>
      <c r="O1809" s="5" t="str">
        <f t="shared" si="86"/>
        <v xml:space="preserve"> 2023</v>
      </c>
    </row>
    <row r="1810" spans="1:15" x14ac:dyDescent="0.35">
      <c r="A1810" t="s">
        <v>2534</v>
      </c>
      <c r="B1810" s="5" t="s">
        <v>946</v>
      </c>
      <c r="C1810" s="4" t="s">
        <v>31</v>
      </c>
      <c r="D1810" s="4" t="s">
        <v>104</v>
      </c>
      <c r="E1810" s="4" t="s">
        <v>105</v>
      </c>
      <c r="F1810" s="4" t="s">
        <v>67</v>
      </c>
      <c r="G1810" s="4" t="s">
        <v>180</v>
      </c>
      <c r="H1810" s="4" t="s">
        <v>72</v>
      </c>
      <c r="I1810" s="4" t="s">
        <v>28</v>
      </c>
      <c r="J1810" s="3">
        <v>3</v>
      </c>
      <c r="K1810" s="6">
        <v>54411</v>
      </c>
      <c r="L1810" s="6">
        <f t="shared" si="84"/>
        <v>38087.699999999997</v>
      </c>
      <c r="M1810" s="6">
        <v>16323.300000000003</v>
      </c>
      <c r="N1810" s="5" t="str">
        <f t="shared" si="85"/>
        <v>Jan</v>
      </c>
      <c r="O1810" s="5" t="str">
        <f t="shared" si="86"/>
        <v xml:space="preserve"> 2023</v>
      </c>
    </row>
    <row r="1811" spans="1:15" x14ac:dyDescent="0.35">
      <c r="A1811" t="s">
        <v>2535</v>
      </c>
      <c r="B1811" s="5" t="s">
        <v>2536</v>
      </c>
      <c r="C1811" s="4" t="s">
        <v>13</v>
      </c>
      <c r="D1811" s="4" t="s">
        <v>118</v>
      </c>
      <c r="E1811" s="4" t="s">
        <v>119</v>
      </c>
      <c r="F1811" s="4" t="s">
        <v>37</v>
      </c>
      <c r="G1811" s="4" t="s">
        <v>183</v>
      </c>
      <c r="H1811" s="4" t="s">
        <v>18</v>
      </c>
      <c r="I1811" s="4" t="s">
        <v>47</v>
      </c>
      <c r="J1811" s="3">
        <v>8</v>
      </c>
      <c r="K1811" s="6">
        <v>198840</v>
      </c>
      <c r="L1811" s="6">
        <f t="shared" si="84"/>
        <v>139188</v>
      </c>
      <c r="M1811" s="6">
        <v>59652</v>
      </c>
      <c r="N1811" s="5" t="str">
        <f t="shared" si="85"/>
        <v>Nov</v>
      </c>
      <c r="O1811" s="5" t="str">
        <f t="shared" si="86"/>
        <v xml:space="preserve"> 2023</v>
      </c>
    </row>
    <row r="1812" spans="1:15" x14ac:dyDescent="0.35">
      <c r="A1812" t="s">
        <v>2537</v>
      </c>
      <c r="B1812" s="5" t="s">
        <v>461</v>
      </c>
      <c r="C1812" s="4" t="s">
        <v>55</v>
      </c>
      <c r="D1812" s="4" t="s">
        <v>98</v>
      </c>
      <c r="E1812" s="4" t="s">
        <v>99</v>
      </c>
      <c r="F1812" s="4" t="s">
        <v>37</v>
      </c>
      <c r="G1812" s="4" t="s">
        <v>148</v>
      </c>
      <c r="H1812" s="4" t="s">
        <v>72</v>
      </c>
      <c r="I1812" s="4" t="s">
        <v>47</v>
      </c>
      <c r="J1812" s="3">
        <v>10</v>
      </c>
      <c r="K1812" s="6">
        <v>101770</v>
      </c>
      <c r="L1812" s="6">
        <f t="shared" si="84"/>
        <v>71239</v>
      </c>
      <c r="M1812" s="6">
        <v>30531</v>
      </c>
      <c r="N1812" s="5" t="str">
        <f t="shared" si="85"/>
        <v>Jul</v>
      </c>
      <c r="O1812" s="5" t="str">
        <f t="shared" si="86"/>
        <v xml:space="preserve"> 2023</v>
      </c>
    </row>
    <row r="1813" spans="1:15" x14ac:dyDescent="0.35">
      <c r="A1813" t="s">
        <v>2538</v>
      </c>
      <c r="B1813" s="5" t="s">
        <v>355</v>
      </c>
      <c r="C1813" s="4" t="s">
        <v>22</v>
      </c>
      <c r="D1813" s="4" t="s">
        <v>90</v>
      </c>
      <c r="E1813" s="4" t="s">
        <v>91</v>
      </c>
      <c r="F1813" s="4" t="s">
        <v>67</v>
      </c>
      <c r="G1813" s="4" t="s">
        <v>68</v>
      </c>
      <c r="H1813" s="4" t="s">
        <v>27</v>
      </c>
      <c r="I1813" s="4" t="s">
        <v>39</v>
      </c>
      <c r="J1813" s="3">
        <v>2</v>
      </c>
      <c r="K1813" s="6">
        <v>87408</v>
      </c>
      <c r="L1813" s="6">
        <f t="shared" si="84"/>
        <v>61185.599999999999</v>
      </c>
      <c r="M1813" s="6">
        <v>26222.400000000001</v>
      </c>
      <c r="N1813" s="5" t="str">
        <f t="shared" si="85"/>
        <v>Jun</v>
      </c>
      <c r="O1813" s="5" t="str">
        <f t="shared" si="86"/>
        <v xml:space="preserve"> 2023</v>
      </c>
    </row>
    <row r="1814" spans="1:15" x14ac:dyDescent="0.35">
      <c r="A1814" t="s">
        <v>2539</v>
      </c>
      <c r="B1814" s="5" t="s">
        <v>846</v>
      </c>
      <c r="C1814" s="4" t="s">
        <v>22</v>
      </c>
      <c r="D1814" s="4" t="s">
        <v>90</v>
      </c>
      <c r="E1814" s="4" t="s">
        <v>91</v>
      </c>
      <c r="F1814" s="4" t="s">
        <v>16</v>
      </c>
      <c r="G1814" s="4" t="s">
        <v>42</v>
      </c>
      <c r="H1814" s="4" t="s">
        <v>18</v>
      </c>
      <c r="I1814" s="4" t="s">
        <v>60</v>
      </c>
      <c r="J1814" s="3">
        <v>5</v>
      </c>
      <c r="K1814" s="6">
        <v>86850</v>
      </c>
      <c r="L1814" s="6">
        <f t="shared" si="84"/>
        <v>60794.999999999993</v>
      </c>
      <c r="M1814" s="6">
        <v>26055.000000000007</v>
      </c>
      <c r="N1814" s="5" t="str">
        <f t="shared" si="85"/>
        <v>Oct</v>
      </c>
      <c r="O1814" s="5" t="str">
        <f t="shared" si="86"/>
        <v xml:space="preserve"> 2024</v>
      </c>
    </row>
    <row r="1815" spans="1:15" x14ac:dyDescent="0.35">
      <c r="A1815" t="s">
        <v>2540</v>
      </c>
      <c r="B1815" s="5" t="s">
        <v>1747</v>
      </c>
      <c r="C1815" s="4" t="s">
        <v>31</v>
      </c>
      <c r="D1815" s="4" t="s">
        <v>50</v>
      </c>
      <c r="E1815" s="4" t="s">
        <v>51</v>
      </c>
      <c r="F1815" s="4" t="s">
        <v>37</v>
      </c>
      <c r="G1815" s="4" t="s">
        <v>148</v>
      </c>
      <c r="H1815" s="4" t="s">
        <v>18</v>
      </c>
      <c r="I1815" s="4" t="s">
        <v>19</v>
      </c>
      <c r="J1815" s="3">
        <v>6</v>
      </c>
      <c r="K1815" s="6">
        <v>17202</v>
      </c>
      <c r="L1815" s="6">
        <f t="shared" si="84"/>
        <v>12041.4</v>
      </c>
      <c r="M1815" s="6">
        <v>5160.6000000000004</v>
      </c>
      <c r="N1815" s="5" t="str">
        <f t="shared" si="85"/>
        <v>Oct</v>
      </c>
      <c r="O1815" s="5" t="str">
        <f t="shared" si="86"/>
        <v xml:space="preserve"> 2023</v>
      </c>
    </row>
    <row r="1816" spans="1:15" x14ac:dyDescent="0.35">
      <c r="A1816" t="s">
        <v>2541</v>
      </c>
      <c r="B1816" s="5" t="s">
        <v>1044</v>
      </c>
      <c r="C1816" s="4" t="s">
        <v>22</v>
      </c>
      <c r="D1816" s="4" t="s">
        <v>90</v>
      </c>
      <c r="E1816" s="4" t="s">
        <v>91</v>
      </c>
      <c r="F1816" s="4" t="s">
        <v>25</v>
      </c>
      <c r="G1816" s="4" t="s">
        <v>52</v>
      </c>
      <c r="H1816" s="4" t="s">
        <v>27</v>
      </c>
      <c r="I1816" s="4" t="s">
        <v>47</v>
      </c>
      <c r="J1816" s="3">
        <v>10</v>
      </c>
      <c r="K1816" s="6">
        <v>7280</v>
      </c>
      <c r="L1816" s="6">
        <f t="shared" si="84"/>
        <v>5096</v>
      </c>
      <c r="M1816" s="6">
        <v>2184</v>
      </c>
      <c r="N1816" s="5" t="str">
        <f t="shared" si="85"/>
        <v>Jan</v>
      </c>
      <c r="O1816" s="5" t="str">
        <f t="shared" si="86"/>
        <v xml:space="preserve"> 2024</v>
      </c>
    </row>
    <row r="1817" spans="1:15" x14ac:dyDescent="0.35">
      <c r="A1817" t="s">
        <v>2542</v>
      </c>
      <c r="B1817" s="5" t="s">
        <v>1324</v>
      </c>
      <c r="C1817" s="4" t="s">
        <v>22</v>
      </c>
      <c r="D1817" s="4" t="s">
        <v>90</v>
      </c>
      <c r="E1817" s="4" t="s">
        <v>110</v>
      </c>
      <c r="F1817" s="4" t="s">
        <v>16</v>
      </c>
      <c r="G1817" s="4" t="s">
        <v>122</v>
      </c>
      <c r="H1817" s="4" t="s">
        <v>27</v>
      </c>
      <c r="I1817" s="4" t="s">
        <v>28</v>
      </c>
      <c r="J1817" s="3">
        <v>4</v>
      </c>
      <c r="K1817" s="6">
        <v>10808</v>
      </c>
      <c r="L1817" s="6">
        <f t="shared" si="84"/>
        <v>7565.5999999999995</v>
      </c>
      <c r="M1817" s="6">
        <v>3242.4000000000005</v>
      </c>
      <c r="N1817" s="5" t="str">
        <f t="shared" si="85"/>
        <v>Jan</v>
      </c>
      <c r="O1817" s="5" t="str">
        <f t="shared" si="86"/>
        <v xml:space="preserve"> 2023</v>
      </c>
    </row>
    <row r="1818" spans="1:15" x14ac:dyDescent="0.35">
      <c r="A1818" t="s">
        <v>2543</v>
      </c>
      <c r="B1818" s="5" t="s">
        <v>171</v>
      </c>
      <c r="C1818" s="4" t="s">
        <v>31</v>
      </c>
      <c r="D1818" s="4" t="s">
        <v>104</v>
      </c>
      <c r="E1818" s="4" t="s">
        <v>105</v>
      </c>
      <c r="F1818" s="4" t="s">
        <v>37</v>
      </c>
      <c r="G1818" s="4" t="s">
        <v>183</v>
      </c>
      <c r="H1818" s="4" t="s">
        <v>18</v>
      </c>
      <c r="I1818" s="4" t="s">
        <v>28</v>
      </c>
      <c r="J1818" s="3">
        <v>4</v>
      </c>
      <c r="K1818" s="6">
        <v>139396</v>
      </c>
      <c r="L1818" s="6">
        <f t="shared" si="84"/>
        <v>97577.2</v>
      </c>
      <c r="M1818" s="6">
        <v>41818.800000000003</v>
      </c>
      <c r="N1818" s="5" t="str">
        <f t="shared" si="85"/>
        <v>Mar</v>
      </c>
      <c r="O1818" s="5" t="str">
        <f t="shared" si="86"/>
        <v xml:space="preserve"> 2023</v>
      </c>
    </row>
    <row r="1819" spans="1:15" x14ac:dyDescent="0.35">
      <c r="A1819" t="s">
        <v>2544</v>
      </c>
      <c r="B1819" s="5" t="s">
        <v>107</v>
      </c>
      <c r="C1819" s="4" t="s">
        <v>55</v>
      </c>
      <c r="D1819" s="4" t="s">
        <v>63</v>
      </c>
      <c r="E1819" s="4" t="s">
        <v>64</v>
      </c>
      <c r="F1819" s="4" t="s">
        <v>16</v>
      </c>
      <c r="G1819" s="4" t="s">
        <v>34</v>
      </c>
      <c r="H1819" s="4" t="s">
        <v>72</v>
      </c>
      <c r="I1819" s="4" t="s">
        <v>60</v>
      </c>
      <c r="J1819" s="3">
        <v>4</v>
      </c>
      <c r="K1819" s="6">
        <v>36872</v>
      </c>
      <c r="L1819" s="6">
        <f t="shared" si="84"/>
        <v>25810.399999999998</v>
      </c>
      <c r="M1819" s="6">
        <v>11061.600000000002</v>
      </c>
      <c r="N1819" s="5" t="str">
        <f t="shared" si="85"/>
        <v>Jan</v>
      </c>
      <c r="O1819" s="5" t="str">
        <f t="shared" si="86"/>
        <v xml:space="preserve"> 2023</v>
      </c>
    </row>
    <row r="1820" spans="1:15" x14ac:dyDescent="0.35">
      <c r="A1820" t="s">
        <v>2545</v>
      </c>
      <c r="B1820" s="5" t="s">
        <v>664</v>
      </c>
      <c r="C1820" s="4" t="s">
        <v>31</v>
      </c>
      <c r="D1820" s="4" t="s">
        <v>104</v>
      </c>
      <c r="E1820" s="4" t="s">
        <v>105</v>
      </c>
      <c r="F1820" s="4" t="s">
        <v>67</v>
      </c>
      <c r="G1820" s="4" t="s">
        <v>180</v>
      </c>
      <c r="H1820" s="4" t="s">
        <v>18</v>
      </c>
      <c r="I1820" s="4" t="s">
        <v>47</v>
      </c>
      <c r="J1820" s="3">
        <v>5</v>
      </c>
      <c r="K1820" s="6">
        <v>23230</v>
      </c>
      <c r="L1820" s="6">
        <f t="shared" si="84"/>
        <v>16260.999999999998</v>
      </c>
      <c r="M1820" s="6">
        <v>6969.0000000000018</v>
      </c>
      <c r="N1820" s="5" t="str">
        <f t="shared" si="85"/>
        <v>Jan</v>
      </c>
      <c r="O1820" s="5" t="str">
        <f t="shared" si="86"/>
        <v xml:space="preserve"> 2024</v>
      </c>
    </row>
    <row r="1821" spans="1:15" x14ac:dyDescent="0.35">
      <c r="A1821" t="s">
        <v>2546</v>
      </c>
      <c r="B1821" s="5" t="s">
        <v>725</v>
      </c>
      <c r="C1821" s="4" t="s">
        <v>13</v>
      </c>
      <c r="D1821" s="4" t="s">
        <v>125</v>
      </c>
      <c r="E1821" s="4" t="s">
        <v>126</v>
      </c>
      <c r="F1821" s="4" t="s">
        <v>16</v>
      </c>
      <c r="G1821" s="4" t="s">
        <v>34</v>
      </c>
      <c r="H1821" s="4" t="s">
        <v>27</v>
      </c>
      <c r="I1821" s="4" t="s">
        <v>47</v>
      </c>
      <c r="J1821" s="3">
        <v>5</v>
      </c>
      <c r="K1821" s="6">
        <v>121715</v>
      </c>
      <c r="L1821" s="6">
        <f t="shared" si="84"/>
        <v>85200.5</v>
      </c>
      <c r="M1821" s="6">
        <v>36514.5</v>
      </c>
      <c r="N1821" s="5" t="str">
        <f t="shared" si="85"/>
        <v>Sep</v>
      </c>
      <c r="O1821" s="5" t="str">
        <f t="shared" si="86"/>
        <v xml:space="preserve"> 2023</v>
      </c>
    </row>
    <row r="1822" spans="1:15" x14ac:dyDescent="0.35">
      <c r="A1822" t="s">
        <v>2547</v>
      </c>
      <c r="B1822" s="5" t="s">
        <v>1404</v>
      </c>
      <c r="C1822" s="4" t="s">
        <v>22</v>
      </c>
      <c r="D1822" s="4" t="s">
        <v>90</v>
      </c>
      <c r="E1822" s="4" t="s">
        <v>91</v>
      </c>
      <c r="F1822" s="4" t="s">
        <v>37</v>
      </c>
      <c r="G1822" s="4" t="s">
        <v>148</v>
      </c>
      <c r="H1822" s="4" t="s">
        <v>27</v>
      </c>
      <c r="I1822" s="4" t="s">
        <v>60</v>
      </c>
      <c r="J1822" s="3">
        <v>6</v>
      </c>
      <c r="K1822" s="6">
        <v>112554</v>
      </c>
      <c r="L1822" s="6">
        <f t="shared" si="84"/>
        <v>78787.799999999988</v>
      </c>
      <c r="M1822" s="6">
        <v>33766.200000000012</v>
      </c>
      <c r="N1822" s="5" t="str">
        <f t="shared" si="85"/>
        <v>Jan</v>
      </c>
      <c r="O1822" s="5" t="str">
        <f t="shared" si="86"/>
        <v xml:space="preserve"> 2023</v>
      </c>
    </row>
    <row r="1823" spans="1:15" x14ac:dyDescent="0.35">
      <c r="A1823" t="s">
        <v>2548</v>
      </c>
      <c r="B1823" s="5" t="s">
        <v>1250</v>
      </c>
      <c r="C1823" s="4" t="s">
        <v>22</v>
      </c>
      <c r="D1823" s="4" t="s">
        <v>86</v>
      </c>
      <c r="E1823" s="4" t="s">
        <v>87</v>
      </c>
      <c r="F1823" s="4" t="s">
        <v>25</v>
      </c>
      <c r="G1823" s="4" t="s">
        <v>52</v>
      </c>
      <c r="H1823" s="4" t="s">
        <v>18</v>
      </c>
      <c r="I1823" s="4" t="s">
        <v>19</v>
      </c>
      <c r="J1823" s="3">
        <v>6</v>
      </c>
      <c r="K1823" s="6">
        <v>76032</v>
      </c>
      <c r="L1823" s="6">
        <f t="shared" si="84"/>
        <v>53222.399999999994</v>
      </c>
      <c r="M1823" s="6">
        <v>22809.600000000006</v>
      </c>
      <c r="N1823" s="5" t="str">
        <f t="shared" si="85"/>
        <v>Sep</v>
      </c>
      <c r="O1823" s="5" t="str">
        <f t="shared" si="86"/>
        <v xml:space="preserve"> 2023</v>
      </c>
    </row>
    <row r="1824" spans="1:15" x14ac:dyDescent="0.35">
      <c r="A1824" t="s">
        <v>2549</v>
      </c>
      <c r="B1824" s="5" t="s">
        <v>1017</v>
      </c>
      <c r="C1824" s="4" t="s">
        <v>31</v>
      </c>
      <c r="D1824" s="4" t="s">
        <v>32</v>
      </c>
      <c r="E1824" s="4" t="s">
        <v>33</v>
      </c>
      <c r="F1824" s="4" t="s">
        <v>67</v>
      </c>
      <c r="G1824" s="4" t="s">
        <v>180</v>
      </c>
      <c r="H1824" s="4" t="s">
        <v>27</v>
      </c>
      <c r="I1824" s="4" t="s">
        <v>39</v>
      </c>
      <c r="J1824" s="3">
        <v>6</v>
      </c>
      <c r="K1824" s="6">
        <v>10830</v>
      </c>
      <c r="L1824" s="6">
        <f t="shared" si="84"/>
        <v>7580.9999999999991</v>
      </c>
      <c r="M1824" s="6">
        <v>3249.0000000000009</v>
      </c>
      <c r="N1824" s="5" t="str">
        <f t="shared" si="85"/>
        <v>May</v>
      </c>
      <c r="O1824" s="5" t="str">
        <f t="shared" si="86"/>
        <v xml:space="preserve"> 2024</v>
      </c>
    </row>
    <row r="1825" spans="1:15" x14ac:dyDescent="0.35">
      <c r="A1825" t="s">
        <v>2550</v>
      </c>
      <c r="B1825" s="5" t="s">
        <v>2551</v>
      </c>
      <c r="C1825" s="4" t="s">
        <v>13</v>
      </c>
      <c r="D1825" s="4" t="s">
        <v>14</v>
      </c>
      <c r="E1825" s="4" t="s">
        <v>15</v>
      </c>
      <c r="F1825" s="4" t="s">
        <v>67</v>
      </c>
      <c r="G1825" s="4" t="s">
        <v>68</v>
      </c>
      <c r="H1825" s="4" t="s">
        <v>27</v>
      </c>
      <c r="I1825" s="4" t="s">
        <v>28</v>
      </c>
      <c r="J1825" s="3">
        <v>1</v>
      </c>
      <c r="K1825" s="6">
        <v>43327</v>
      </c>
      <c r="L1825" s="6">
        <f t="shared" si="84"/>
        <v>30328.899999999998</v>
      </c>
      <c r="M1825" s="6">
        <v>12998.100000000002</v>
      </c>
      <c r="N1825" s="5" t="str">
        <f t="shared" si="85"/>
        <v>Oct</v>
      </c>
      <c r="O1825" s="5" t="str">
        <f t="shared" si="86"/>
        <v xml:space="preserve"> 2024</v>
      </c>
    </row>
    <row r="1826" spans="1:15" x14ac:dyDescent="0.35">
      <c r="A1826" t="s">
        <v>2552</v>
      </c>
      <c r="B1826" s="5" t="s">
        <v>654</v>
      </c>
      <c r="C1826" s="4" t="s">
        <v>22</v>
      </c>
      <c r="D1826" s="4" t="s">
        <v>86</v>
      </c>
      <c r="E1826" s="4" t="s">
        <v>87</v>
      </c>
      <c r="F1826" s="4" t="s">
        <v>16</v>
      </c>
      <c r="G1826" s="4" t="s">
        <v>17</v>
      </c>
      <c r="H1826" s="4" t="s">
        <v>72</v>
      </c>
      <c r="I1826" s="4" t="s">
        <v>39</v>
      </c>
      <c r="J1826" s="3">
        <v>1</v>
      </c>
      <c r="K1826" s="6">
        <v>23984</v>
      </c>
      <c r="L1826" s="6">
        <f t="shared" si="84"/>
        <v>16788.8</v>
      </c>
      <c r="M1826" s="6">
        <v>7195.2000000000007</v>
      </c>
      <c r="N1826" s="5" t="str">
        <f t="shared" si="85"/>
        <v>Sep</v>
      </c>
      <c r="O1826" s="5" t="str">
        <f t="shared" si="86"/>
        <v xml:space="preserve"> 2024</v>
      </c>
    </row>
    <row r="1827" spans="1:15" x14ac:dyDescent="0.35">
      <c r="A1827" t="s">
        <v>2553</v>
      </c>
      <c r="B1827" s="5" t="s">
        <v>2258</v>
      </c>
      <c r="C1827" s="4" t="s">
        <v>55</v>
      </c>
      <c r="D1827" s="4" t="s">
        <v>56</v>
      </c>
      <c r="E1827" s="4" t="s">
        <v>57</v>
      </c>
      <c r="F1827" s="4" t="s">
        <v>16</v>
      </c>
      <c r="G1827" s="4" t="s">
        <v>34</v>
      </c>
      <c r="H1827" s="4" t="s">
        <v>18</v>
      </c>
      <c r="I1827" s="4" t="s">
        <v>19</v>
      </c>
      <c r="J1827" s="3">
        <v>7</v>
      </c>
      <c r="K1827" s="6">
        <v>178689</v>
      </c>
      <c r="L1827" s="6">
        <f t="shared" si="84"/>
        <v>125082.29999999999</v>
      </c>
      <c r="M1827" s="6">
        <v>53606.700000000012</v>
      </c>
      <c r="N1827" s="5" t="str">
        <f t="shared" si="85"/>
        <v>Sep</v>
      </c>
      <c r="O1827" s="5" t="str">
        <f t="shared" si="86"/>
        <v xml:space="preserve"> 2024</v>
      </c>
    </row>
    <row r="1828" spans="1:15" x14ac:dyDescent="0.35">
      <c r="A1828" t="s">
        <v>2554</v>
      </c>
      <c r="B1828" s="5" t="s">
        <v>443</v>
      </c>
      <c r="C1828" s="4" t="s">
        <v>22</v>
      </c>
      <c r="D1828" s="4" t="s">
        <v>23</v>
      </c>
      <c r="E1828" s="4" t="s">
        <v>24</v>
      </c>
      <c r="F1828" s="4" t="s">
        <v>67</v>
      </c>
      <c r="G1828" s="4" t="s">
        <v>113</v>
      </c>
      <c r="H1828" s="4" t="s">
        <v>18</v>
      </c>
      <c r="I1828" s="4" t="s">
        <v>39</v>
      </c>
      <c r="J1828" s="3">
        <v>7</v>
      </c>
      <c r="K1828" s="6">
        <v>21091</v>
      </c>
      <c r="L1828" s="6">
        <f t="shared" si="84"/>
        <v>14763.699999999999</v>
      </c>
      <c r="M1828" s="6">
        <v>6327.3000000000011</v>
      </c>
      <c r="N1828" s="5" t="str">
        <f t="shared" si="85"/>
        <v>Sep</v>
      </c>
      <c r="O1828" s="5" t="str">
        <f t="shared" si="86"/>
        <v xml:space="preserve"> 2023</v>
      </c>
    </row>
    <row r="1829" spans="1:15" x14ac:dyDescent="0.35">
      <c r="A1829" t="s">
        <v>2555</v>
      </c>
      <c r="B1829" s="5" t="s">
        <v>1141</v>
      </c>
      <c r="C1829" s="4" t="s">
        <v>31</v>
      </c>
      <c r="D1829" s="4" t="s">
        <v>50</v>
      </c>
      <c r="E1829" s="4" t="s">
        <v>51</v>
      </c>
      <c r="F1829" s="4" t="s">
        <v>37</v>
      </c>
      <c r="G1829" s="4" t="s">
        <v>186</v>
      </c>
      <c r="H1829" s="4" t="s">
        <v>27</v>
      </c>
      <c r="I1829" s="4" t="s">
        <v>47</v>
      </c>
      <c r="J1829" s="3">
        <v>1</v>
      </c>
      <c r="K1829" s="6">
        <v>21545</v>
      </c>
      <c r="L1829" s="6">
        <f t="shared" si="84"/>
        <v>15081.499999999998</v>
      </c>
      <c r="M1829" s="6">
        <v>6463.5000000000018</v>
      </c>
      <c r="N1829" s="5" t="str">
        <f t="shared" si="85"/>
        <v>May</v>
      </c>
      <c r="O1829" s="5" t="str">
        <f t="shared" si="86"/>
        <v xml:space="preserve"> 2024</v>
      </c>
    </row>
    <row r="1830" spans="1:15" x14ac:dyDescent="0.35">
      <c r="A1830" t="s">
        <v>2556</v>
      </c>
      <c r="B1830" s="5" t="s">
        <v>804</v>
      </c>
      <c r="C1830" s="4" t="s">
        <v>55</v>
      </c>
      <c r="D1830" s="4" t="s">
        <v>98</v>
      </c>
      <c r="E1830" s="4" t="s">
        <v>99</v>
      </c>
      <c r="F1830" s="4" t="s">
        <v>16</v>
      </c>
      <c r="G1830" s="4" t="s">
        <v>42</v>
      </c>
      <c r="H1830" s="4" t="s">
        <v>27</v>
      </c>
      <c r="I1830" s="4" t="s">
        <v>28</v>
      </c>
      <c r="J1830" s="3">
        <v>3</v>
      </c>
      <c r="K1830" s="6">
        <v>5529</v>
      </c>
      <c r="L1830" s="6">
        <f t="shared" si="84"/>
        <v>3870.2999999999997</v>
      </c>
      <c r="M1830" s="6">
        <v>1658.7000000000003</v>
      </c>
      <c r="N1830" s="5" t="str">
        <f t="shared" si="85"/>
        <v>Dec</v>
      </c>
      <c r="O1830" s="5" t="str">
        <f t="shared" si="86"/>
        <v xml:space="preserve"> 2023</v>
      </c>
    </row>
    <row r="1831" spans="1:15" x14ac:dyDescent="0.35">
      <c r="A1831" t="s">
        <v>2557</v>
      </c>
      <c r="B1831" s="5" t="s">
        <v>610</v>
      </c>
      <c r="C1831" s="4" t="s">
        <v>22</v>
      </c>
      <c r="D1831" s="4" t="s">
        <v>90</v>
      </c>
      <c r="E1831" s="4" t="s">
        <v>110</v>
      </c>
      <c r="F1831" s="4" t="s">
        <v>25</v>
      </c>
      <c r="G1831" s="4" t="s">
        <v>26</v>
      </c>
      <c r="H1831" s="4" t="s">
        <v>72</v>
      </c>
      <c r="I1831" s="4" t="s">
        <v>28</v>
      </c>
      <c r="J1831" s="3">
        <v>8</v>
      </c>
      <c r="K1831" s="6">
        <v>39736</v>
      </c>
      <c r="L1831" s="6">
        <f t="shared" si="84"/>
        <v>27815.199999999997</v>
      </c>
      <c r="M1831" s="6">
        <v>11920.800000000003</v>
      </c>
      <c r="N1831" s="5" t="str">
        <f t="shared" si="85"/>
        <v>Sep</v>
      </c>
      <c r="O1831" s="5" t="str">
        <f t="shared" si="86"/>
        <v xml:space="preserve"> 2024</v>
      </c>
    </row>
    <row r="1832" spans="1:15" x14ac:dyDescent="0.35">
      <c r="A1832" t="s">
        <v>2558</v>
      </c>
      <c r="B1832" s="5" t="s">
        <v>251</v>
      </c>
      <c r="C1832" s="4" t="s">
        <v>13</v>
      </c>
      <c r="D1832" s="4" t="s">
        <v>125</v>
      </c>
      <c r="E1832" s="4" t="s">
        <v>126</v>
      </c>
      <c r="F1832" s="4" t="s">
        <v>25</v>
      </c>
      <c r="G1832" s="4" t="s">
        <v>77</v>
      </c>
      <c r="H1832" s="4" t="s">
        <v>18</v>
      </c>
      <c r="I1832" s="4" t="s">
        <v>60</v>
      </c>
      <c r="J1832" s="3">
        <v>2</v>
      </c>
      <c r="K1832" s="6">
        <v>67630</v>
      </c>
      <c r="L1832" s="6">
        <f t="shared" si="84"/>
        <v>47341</v>
      </c>
      <c r="M1832" s="6">
        <v>20289</v>
      </c>
      <c r="N1832" s="5" t="str">
        <f t="shared" si="85"/>
        <v>Sep</v>
      </c>
      <c r="O1832" s="5" t="str">
        <f t="shared" si="86"/>
        <v xml:space="preserve"> 2024</v>
      </c>
    </row>
    <row r="1833" spans="1:15" x14ac:dyDescent="0.35">
      <c r="A1833" t="s">
        <v>2559</v>
      </c>
      <c r="B1833" s="5" t="s">
        <v>1122</v>
      </c>
      <c r="C1833" s="4" t="s">
        <v>55</v>
      </c>
      <c r="D1833" s="4" t="s">
        <v>82</v>
      </c>
      <c r="E1833" s="4" t="s">
        <v>83</v>
      </c>
      <c r="F1833" s="4" t="s">
        <v>25</v>
      </c>
      <c r="G1833" s="4" t="s">
        <v>71</v>
      </c>
      <c r="H1833" s="4" t="s">
        <v>18</v>
      </c>
      <c r="I1833" s="4" t="s">
        <v>19</v>
      </c>
      <c r="J1833" s="3">
        <v>3</v>
      </c>
      <c r="K1833" s="6">
        <v>20478</v>
      </c>
      <c r="L1833" s="6">
        <f t="shared" si="84"/>
        <v>14334.599999999999</v>
      </c>
      <c r="M1833" s="6">
        <v>6143.4000000000015</v>
      </c>
      <c r="N1833" s="5" t="str">
        <f t="shared" si="85"/>
        <v>Mar</v>
      </c>
      <c r="O1833" s="5" t="str">
        <f t="shared" si="86"/>
        <v xml:space="preserve"> 2023</v>
      </c>
    </row>
    <row r="1834" spans="1:15" x14ac:dyDescent="0.35">
      <c r="A1834" t="s">
        <v>2560</v>
      </c>
      <c r="B1834" s="5" t="s">
        <v>1377</v>
      </c>
      <c r="C1834" s="4" t="s">
        <v>22</v>
      </c>
      <c r="D1834" s="4" t="s">
        <v>86</v>
      </c>
      <c r="E1834" s="4" t="s">
        <v>87</v>
      </c>
      <c r="F1834" s="4" t="s">
        <v>16</v>
      </c>
      <c r="G1834" s="4" t="s">
        <v>34</v>
      </c>
      <c r="H1834" s="4" t="s">
        <v>27</v>
      </c>
      <c r="I1834" s="4" t="s">
        <v>47</v>
      </c>
      <c r="J1834" s="3">
        <v>2</v>
      </c>
      <c r="K1834" s="6">
        <v>58078</v>
      </c>
      <c r="L1834" s="6">
        <f t="shared" si="84"/>
        <v>40654.6</v>
      </c>
      <c r="M1834" s="6">
        <v>17423.400000000001</v>
      </c>
      <c r="N1834" s="5" t="str">
        <f t="shared" si="85"/>
        <v>Jun</v>
      </c>
      <c r="O1834" s="5" t="str">
        <f t="shared" si="86"/>
        <v xml:space="preserve"> 2024</v>
      </c>
    </row>
    <row r="1835" spans="1:15" x14ac:dyDescent="0.35">
      <c r="A1835" t="s">
        <v>2561</v>
      </c>
      <c r="B1835" s="5" t="s">
        <v>398</v>
      </c>
      <c r="C1835" s="4" t="s">
        <v>22</v>
      </c>
      <c r="D1835" s="4" t="s">
        <v>90</v>
      </c>
      <c r="E1835" s="4" t="s">
        <v>91</v>
      </c>
      <c r="F1835" s="4" t="s">
        <v>16</v>
      </c>
      <c r="G1835" s="4" t="s">
        <v>34</v>
      </c>
      <c r="H1835" s="4" t="s">
        <v>72</v>
      </c>
      <c r="I1835" s="4" t="s">
        <v>28</v>
      </c>
      <c r="J1835" s="3">
        <v>6</v>
      </c>
      <c r="K1835" s="6">
        <v>220182</v>
      </c>
      <c r="L1835" s="6">
        <f t="shared" si="84"/>
        <v>154127.4</v>
      </c>
      <c r="M1835" s="6">
        <v>66054.600000000006</v>
      </c>
      <c r="N1835" s="5" t="str">
        <f t="shared" si="85"/>
        <v>Aug</v>
      </c>
      <c r="O1835" s="5" t="str">
        <f t="shared" si="86"/>
        <v xml:space="preserve"> 2024</v>
      </c>
    </row>
    <row r="1836" spans="1:15" x14ac:dyDescent="0.35">
      <c r="A1836" t="s">
        <v>2562</v>
      </c>
      <c r="B1836" s="5" t="s">
        <v>872</v>
      </c>
      <c r="C1836" s="4" t="s">
        <v>31</v>
      </c>
      <c r="D1836" s="4" t="s">
        <v>50</v>
      </c>
      <c r="E1836" s="4" t="s">
        <v>51</v>
      </c>
      <c r="F1836" s="4" t="s">
        <v>25</v>
      </c>
      <c r="G1836" s="4" t="s">
        <v>77</v>
      </c>
      <c r="H1836" s="4" t="s">
        <v>18</v>
      </c>
      <c r="I1836" s="4" t="s">
        <v>60</v>
      </c>
      <c r="J1836" s="3">
        <v>1</v>
      </c>
      <c r="K1836" s="6">
        <v>33491</v>
      </c>
      <c r="L1836" s="6">
        <f t="shared" si="84"/>
        <v>23443.699999999997</v>
      </c>
      <c r="M1836" s="6">
        <v>10047.300000000003</v>
      </c>
      <c r="N1836" s="5" t="str">
        <f t="shared" si="85"/>
        <v>Jul</v>
      </c>
      <c r="O1836" s="5" t="str">
        <f t="shared" si="86"/>
        <v xml:space="preserve"> 2024</v>
      </c>
    </row>
    <row r="1837" spans="1:15" x14ac:dyDescent="0.35">
      <c r="A1837" t="s">
        <v>2563</v>
      </c>
      <c r="B1837" s="5" t="s">
        <v>1239</v>
      </c>
      <c r="C1837" s="4" t="s">
        <v>55</v>
      </c>
      <c r="D1837" s="4" t="s">
        <v>98</v>
      </c>
      <c r="E1837" s="4" t="s">
        <v>99</v>
      </c>
      <c r="F1837" s="4" t="s">
        <v>16</v>
      </c>
      <c r="G1837" s="4" t="s">
        <v>122</v>
      </c>
      <c r="H1837" s="4" t="s">
        <v>27</v>
      </c>
      <c r="I1837" s="4" t="s">
        <v>60</v>
      </c>
      <c r="J1837" s="3">
        <v>9</v>
      </c>
      <c r="K1837" s="6">
        <v>342873</v>
      </c>
      <c r="L1837" s="6">
        <f t="shared" si="84"/>
        <v>240011.09999999998</v>
      </c>
      <c r="M1837" s="6">
        <v>102861.90000000002</v>
      </c>
      <c r="N1837" s="5" t="str">
        <f t="shared" si="85"/>
        <v>May</v>
      </c>
      <c r="O1837" s="5" t="str">
        <f t="shared" si="86"/>
        <v xml:space="preserve"> 2023</v>
      </c>
    </row>
    <row r="1838" spans="1:15" x14ac:dyDescent="0.35">
      <c r="A1838" t="s">
        <v>2564</v>
      </c>
      <c r="B1838" s="5" t="s">
        <v>2023</v>
      </c>
      <c r="C1838" s="4" t="s">
        <v>13</v>
      </c>
      <c r="D1838" s="4" t="s">
        <v>14</v>
      </c>
      <c r="E1838" s="4" t="s">
        <v>15</v>
      </c>
      <c r="F1838" s="4" t="s">
        <v>37</v>
      </c>
      <c r="G1838" s="4" t="s">
        <v>148</v>
      </c>
      <c r="H1838" s="4" t="s">
        <v>27</v>
      </c>
      <c r="I1838" s="4" t="s">
        <v>39</v>
      </c>
      <c r="J1838" s="3">
        <v>1</v>
      </c>
      <c r="K1838" s="6">
        <v>48827</v>
      </c>
      <c r="L1838" s="6">
        <f t="shared" si="84"/>
        <v>34178.9</v>
      </c>
      <c r="M1838" s="6">
        <v>14648.099999999999</v>
      </c>
      <c r="N1838" s="5" t="str">
        <f t="shared" si="85"/>
        <v>Dec</v>
      </c>
      <c r="O1838" s="5" t="str">
        <f t="shared" si="86"/>
        <v xml:space="preserve"> 2023</v>
      </c>
    </row>
    <row r="1839" spans="1:15" x14ac:dyDescent="0.35">
      <c r="A1839" t="s">
        <v>2565</v>
      </c>
      <c r="B1839" s="5" t="s">
        <v>324</v>
      </c>
      <c r="C1839" s="4" t="s">
        <v>13</v>
      </c>
      <c r="D1839" s="4" t="s">
        <v>125</v>
      </c>
      <c r="E1839" s="4" t="s">
        <v>126</v>
      </c>
      <c r="F1839" s="4" t="s">
        <v>67</v>
      </c>
      <c r="G1839" s="4" t="s">
        <v>134</v>
      </c>
      <c r="H1839" s="4" t="s">
        <v>18</v>
      </c>
      <c r="I1839" s="4" t="s">
        <v>39</v>
      </c>
      <c r="J1839" s="3">
        <v>2</v>
      </c>
      <c r="K1839" s="6">
        <v>68616</v>
      </c>
      <c r="L1839" s="6">
        <f t="shared" si="84"/>
        <v>48031.199999999997</v>
      </c>
      <c r="M1839" s="6">
        <v>20584.800000000003</v>
      </c>
      <c r="N1839" s="5" t="str">
        <f t="shared" si="85"/>
        <v>Jan</v>
      </c>
      <c r="O1839" s="5" t="str">
        <f t="shared" si="86"/>
        <v xml:space="preserve"> 2024</v>
      </c>
    </row>
    <row r="1840" spans="1:15" x14ac:dyDescent="0.35">
      <c r="A1840" t="s">
        <v>2566</v>
      </c>
      <c r="B1840" s="5" t="s">
        <v>1130</v>
      </c>
      <c r="C1840" s="4" t="s">
        <v>13</v>
      </c>
      <c r="D1840" s="4" t="s">
        <v>125</v>
      </c>
      <c r="E1840" s="4" t="s">
        <v>126</v>
      </c>
      <c r="F1840" s="4" t="s">
        <v>37</v>
      </c>
      <c r="G1840" s="4" t="s">
        <v>183</v>
      </c>
      <c r="H1840" s="4" t="s">
        <v>72</v>
      </c>
      <c r="I1840" s="4" t="s">
        <v>19</v>
      </c>
      <c r="J1840" s="3">
        <v>3</v>
      </c>
      <c r="K1840" s="6">
        <v>114702</v>
      </c>
      <c r="L1840" s="6">
        <f t="shared" si="84"/>
        <v>80291.399999999994</v>
      </c>
      <c r="M1840" s="6">
        <v>34410.600000000006</v>
      </c>
      <c r="N1840" s="5" t="str">
        <f t="shared" si="85"/>
        <v>Jun</v>
      </c>
      <c r="O1840" s="5" t="str">
        <f t="shared" si="86"/>
        <v xml:space="preserve"> 2023</v>
      </c>
    </row>
    <row r="1841" spans="1:15" x14ac:dyDescent="0.35">
      <c r="A1841" t="s">
        <v>2567</v>
      </c>
      <c r="B1841" s="5" t="s">
        <v>577</v>
      </c>
      <c r="C1841" s="4" t="s">
        <v>22</v>
      </c>
      <c r="D1841" s="4" t="s">
        <v>90</v>
      </c>
      <c r="E1841" s="4" t="s">
        <v>110</v>
      </c>
      <c r="F1841" s="4" t="s">
        <v>25</v>
      </c>
      <c r="G1841" s="4" t="s">
        <v>71</v>
      </c>
      <c r="H1841" s="4" t="s">
        <v>18</v>
      </c>
      <c r="I1841" s="4" t="s">
        <v>39</v>
      </c>
      <c r="J1841" s="3">
        <v>6</v>
      </c>
      <c r="K1841" s="6">
        <v>178506</v>
      </c>
      <c r="L1841" s="6">
        <f t="shared" si="84"/>
        <v>124954.2</v>
      </c>
      <c r="M1841" s="6">
        <v>53551.8</v>
      </c>
      <c r="N1841" s="5" t="str">
        <f t="shared" si="85"/>
        <v>Nov</v>
      </c>
      <c r="O1841" s="5" t="str">
        <f t="shared" si="86"/>
        <v xml:space="preserve"> 2024</v>
      </c>
    </row>
    <row r="1842" spans="1:15" x14ac:dyDescent="0.35">
      <c r="A1842" t="s">
        <v>2568</v>
      </c>
      <c r="B1842" s="5" t="s">
        <v>614</v>
      </c>
      <c r="C1842" s="4" t="s">
        <v>22</v>
      </c>
      <c r="D1842" s="4" t="s">
        <v>90</v>
      </c>
      <c r="E1842" s="4" t="s">
        <v>110</v>
      </c>
      <c r="F1842" s="4" t="s">
        <v>67</v>
      </c>
      <c r="G1842" s="4" t="s">
        <v>180</v>
      </c>
      <c r="H1842" s="4" t="s">
        <v>18</v>
      </c>
      <c r="I1842" s="4" t="s">
        <v>60</v>
      </c>
      <c r="J1842" s="3">
        <v>8</v>
      </c>
      <c r="K1842" s="6">
        <v>291864</v>
      </c>
      <c r="L1842" s="6">
        <f t="shared" si="84"/>
        <v>204304.8</v>
      </c>
      <c r="M1842" s="6">
        <v>87559.200000000012</v>
      </c>
      <c r="N1842" s="5" t="str">
        <f t="shared" si="85"/>
        <v>Feb</v>
      </c>
      <c r="O1842" s="5" t="str">
        <f t="shared" si="86"/>
        <v xml:space="preserve"> 2024</v>
      </c>
    </row>
    <row r="1843" spans="1:15" x14ac:dyDescent="0.35">
      <c r="A1843" t="s">
        <v>2569</v>
      </c>
      <c r="B1843" s="5" t="s">
        <v>626</v>
      </c>
      <c r="C1843" s="4" t="s">
        <v>22</v>
      </c>
      <c r="D1843" s="4" t="s">
        <v>90</v>
      </c>
      <c r="E1843" s="4" t="s">
        <v>91</v>
      </c>
      <c r="F1843" s="4" t="s">
        <v>67</v>
      </c>
      <c r="G1843" s="4" t="s">
        <v>68</v>
      </c>
      <c r="H1843" s="4" t="s">
        <v>18</v>
      </c>
      <c r="I1843" s="4" t="s">
        <v>60</v>
      </c>
      <c r="J1843" s="3">
        <v>3</v>
      </c>
      <c r="K1843" s="6">
        <v>4647</v>
      </c>
      <c r="L1843" s="6">
        <f t="shared" si="84"/>
        <v>3252.8999999999996</v>
      </c>
      <c r="M1843" s="6">
        <v>1394.1000000000004</v>
      </c>
      <c r="N1843" s="5" t="str">
        <f t="shared" si="85"/>
        <v>Oct</v>
      </c>
      <c r="O1843" s="5" t="str">
        <f t="shared" si="86"/>
        <v xml:space="preserve"> 2023</v>
      </c>
    </row>
    <row r="1844" spans="1:15" x14ac:dyDescent="0.35">
      <c r="A1844" t="s">
        <v>2570</v>
      </c>
      <c r="B1844" s="5" t="s">
        <v>374</v>
      </c>
      <c r="C1844" s="4" t="s">
        <v>55</v>
      </c>
      <c r="D1844" s="4" t="s">
        <v>56</v>
      </c>
      <c r="E1844" s="4" t="s">
        <v>57</v>
      </c>
      <c r="F1844" s="4" t="s">
        <v>37</v>
      </c>
      <c r="G1844" s="4" t="s">
        <v>38</v>
      </c>
      <c r="H1844" s="4" t="s">
        <v>72</v>
      </c>
      <c r="I1844" s="4" t="s">
        <v>28</v>
      </c>
      <c r="J1844" s="3">
        <v>4</v>
      </c>
      <c r="K1844" s="6">
        <v>91136</v>
      </c>
      <c r="L1844" s="6">
        <f t="shared" si="84"/>
        <v>63795.199999999997</v>
      </c>
      <c r="M1844" s="6">
        <v>27340.800000000003</v>
      </c>
      <c r="N1844" s="5" t="str">
        <f t="shared" si="85"/>
        <v>Apr</v>
      </c>
      <c r="O1844" s="5" t="str">
        <f t="shared" si="86"/>
        <v xml:space="preserve"> 2024</v>
      </c>
    </row>
    <row r="1845" spans="1:15" x14ac:dyDescent="0.35">
      <c r="A1845" t="s">
        <v>2571</v>
      </c>
      <c r="B1845" s="5" t="s">
        <v>608</v>
      </c>
      <c r="C1845" s="4" t="s">
        <v>22</v>
      </c>
      <c r="D1845" s="4" t="s">
        <v>23</v>
      </c>
      <c r="E1845" s="4" t="s">
        <v>24</v>
      </c>
      <c r="F1845" s="4" t="s">
        <v>25</v>
      </c>
      <c r="G1845" s="4" t="s">
        <v>77</v>
      </c>
      <c r="H1845" s="4" t="s">
        <v>27</v>
      </c>
      <c r="I1845" s="4" t="s">
        <v>28</v>
      </c>
      <c r="J1845" s="3">
        <v>4</v>
      </c>
      <c r="K1845" s="6">
        <v>121456</v>
      </c>
      <c r="L1845" s="6">
        <f t="shared" si="84"/>
        <v>85019.199999999997</v>
      </c>
      <c r="M1845" s="6">
        <v>36436.800000000003</v>
      </c>
      <c r="N1845" s="5" t="str">
        <f t="shared" si="85"/>
        <v>Mar</v>
      </c>
      <c r="O1845" s="5" t="str">
        <f t="shared" si="86"/>
        <v xml:space="preserve"> 2024</v>
      </c>
    </row>
    <row r="1846" spans="1:15" x14ac:dyDescent="0.35">
      <c r="A1846" t="s">
        <v>2572</v>
      </c>
      <c r="B1846" s="5" t="s">
        <v>248</v>
      </c>
      <c r="C1846" s="4" t="s">
        <v>22</v>
      </c>
      <c r="D1846" s="4" t="s">
        <v>90</v>
      </c>
      <c r="E1846" s="4" t="s">
        <v>91</v>
      </c>
      <c r="F1846" s="4" t="s">
        <v>16</v>
      </c>
      <c r="G1846" s="4" t="s">
        <v>34</v>
      </c>
      <c r="H1846" s="4" t="s">
        <v>27</v>
      </c>
      <c r="I1846" s="4" t="s">
        <v>39</v>
      </c>
      <c r="J1846" s="3">
        <v>4</v>
      </c>
      <c r="K1846" s="6">
        <v>133136</v>
      </c>
      <c r="L1846" s="6">
        <f t="shared" si="84"/>
        <v>93195.199999999997</v>
      </c>
      <c r="M1846" s="6">
        <v>39940.800000000003</v>
      </c>
      <c r="N1846" s="5" t="str">
        <f t="shared" si="85"/>
        <v>Jun</v>
      </c>
      <c r="O1846" s="5" t="str">
        <f t="shared" si="86"/>
        <v xml:space="preserve"> 2024</v>
      </c>
    </row>
    <row r="1847" spans="1:15" x14ac:dyDescent="0.35">
      <c r="A1847" t="s">
        <v>2573</v>
      </c>
      <c r="B1847" s="5" t="s">
        <v>911</v>
      </c>
      <c r="C1847" s="4" t="s">
        <v>13</v>
      </c>
      <c r="D1847" s="4" t="s">
        <v>162</v>
      </c>
      <c r="E1847" s="4" t="s">
        <v>163</v>
      </c>
      <c r="F1847" s="4" t="s">
        <v>25</v>
      </c>
      <c r="G1847" s="4" t="s">
        <v>77</v>
      </c>
      <c r="H1847" s="4" t="s">
        <v>27</v>
      </c>
      <c r="I1847" s="4" t="s">
        <v>19</v>
      </c>
      <c r="J1847" s="3">
        <v>4</v>
      </c>
      <c r="K1847" s="6">
        <v>16420</v>
      </c>
      <c r="L1847" s="6">
        <f t="shared" si="84"/>
        <v>11494</v>
      </c>
      <c r="M1847" s="6">
        <v>4926</v>
      </c>
      <c r="N1847" s="5" t="str">
        <f t="shared" si="85"/>
        <v>Sep</v>
      </c>
      <c r="O1847" s="5" t="str">
        <f t="shared" si="86"/>
        <v xml:space="preserve"> 2023</v>
      </c>
    </row>
    <row r="1848" spans="1:15" x14ac:dyDescent="0.35">
      <c r="A1848" t="s">
        <v>2574</v>
      </c>
      <c r="B1848" s="5" t="s">
        <v>842</v>
      </c>
      <c r="C1848" s="4" t="s">
        <v>13</v>
      </c>
      <c r="D1848" s="4" t="s">
        <v>118</v>
      </c>
      <c r="E1848" s="4" t="s">
        <v>119</v>
      </c>
      <c r="F1848" s="4" t="s">
        <v>16</v>
      </c>
      <c r="G1848" s="4" t="s">
        <v>122</v>
      </c>
      <c r="H1848" s="4" t="s">
        <v>72</v>
      </c>
      <c r="I1848" s="4" t="s">
        <v>28</v>
      </c>
      <c r="J1848" s="3">
        <v>4</v>
      </c>
      <c r="K1848" s="6">
        <v>99456</v>
      </c>
      <c r="L1848" s="6">
        <f t="shared" si="84"/>
        <v>69619.199999999997</v>
      </c>
      <c r="M1848" s="6">
        <v>29836.800000000003</v>
      </c>
      <c r="N1848" s="5" t="str">
        <f t="shared" si="85"/>
        <v>Apr</v>
      </c>
      <c r="O1848" s="5" t="str">
        <f t="shared" si="86"/>
        <v xml:space="preserve"> 2023</v>
      </c>
    </row>
    <row r="1849" spans="1:15" x14ac:dyDescent="0.35">
      <c r="A1849" t="s">
        <v>2575</v>
      </c>
      <c r="B1849" s="5" t="s">
        <v>1498</v>
      </c>
      <c r="C1849" s="4" t="s">
        <v>22</v>
      </c>
      <c r="D1849" s="4" t="s">
        <v>90</v>
      </c>
      <c r="E1849" s="4" t="s">
        <v>110</v>
      </c>
      <c r="F1849" s="4" t="s">
        <v>37</v>
      </c>
      <c r="G1849" s="4" t="s">
        <v>186</v>
      </c>
      <c r="H1849" s="4" t="s">
        <v>18</v>
      </c>
      <c r="I1849" s="4" t="s">
        <v>47</v>
      </c>
      <c r="J1849" s="3">
        <v>9</v>
      </c>
      <c r="K1849" s="6">
        <v>342774</v>
      </c>
      <c r="L1849" s="6">
        <f t="shared" si="84"/>
        <v>239941.8</v>
      </c>
      <c r="M1849" s="6">
        <v>102832.20000000001</v>
      </c>
      <c r="N1849" s="5" t="str">
        <f t="shared" si="85"/>
        <v>Jul</v>
      </c>
      <c r="O1849" s="5" t="str">
        <f t="shared" si="86"/>
        <v xml:space="preserve"> 2024</v>
      </c>
    </row>
    <row r="1850" spans="1:15" x14ac:dyDescent="0.35">
      <c r="A1850" t="s">
        <v>2576</v>
      </c>
      <c r="B1850" s="5" t="s">
        <v>2068</v>
      </c>
      <c r="C1850" s="4" t="s">
        <v>31</v>
      </c>
      <c r="D1850" s="4" t="s">
        <v>32</v>
      </c>
      <c r="E1850" s="4" t="s">
        <v>33</v>
      </c>
      <c r="F1850" s="4" t="s">
        <v>25</v>
      </c>
      <c r="G1850" s="4" t="s">
        <v>71</v>
      </c>
      <c r="H1850" s="4" t="s">
        <v>72</v>
      </c>
      <c r="I1850" s="4" t="s">
        <v>19</v>
      </c>
      <c r="J1850" s="3">
        <v>10</v>
      </c>
      <c r="K1850" s="6">
        <v>306920</v>
      </c>
      <c r="L1850" s="6">
        <f t="shared" si="84"/>
        <v>214844</v>
      </c>
      <c r="M1850" s="6">
        <v>92076</v>
      </c>
      <c r="N1850" s="5" t="str">
        <f t="shared" si="85"/>
        <v>Jun</v>
      </c>
      <c r="O1850" s="5" t="str">
        <f t="shared" si="86"/>
        <v xml:space="preserve"> 2023</v>
      </c>
    </row>
    <row r="1851" spans="1:15" x14ac:dyDescent="0.35">
      <c r="A1851" t="s">
        <v>2577</v>
      </c>
      <c r="B1851" s="5" t="s">
        <v>1729</v>
      </c>
      <c r="C1851" s="4" t="s">
        <v>13</v>
      </c>
      <c r="D1851" s="4" t="s">
        <v>125</v>
      </c>
      <c r="E1851" s="4" t="s">
        <v>126</v>
      </c>
      <c r="F1851" s="4" t="s">
        <v>16</v>
      </c>
      <c r="G1851" s="4" t="s">
        <v>42</v>
      </c>
      <c r="H1851" s="4" t="s">
        <v>27</v>
      </c>
      <c r="I1851" s="4" t="s">
        <v>60</v>
      </c>
      <c r="J1851" s="3">
        <v>7</v>
      </c>
      <c r="K1851" s="6">
        <v>14924</v>
      </c>
      <c r="L1851" s="6">
        <f t="shared" si="84"/>
        <v>10446.799999999999</v>
      </c>
      <c r="M1851" s="6">
        <v>4477.2000000000007</v>
      </c>
      <c r="N1851" s="5" t="str">
        <f t="shared" si="85"/>
        <v>May</v>
      </c>
      <c r="O1851" s="5" t="str">
        <f t="shared" si="86"/>
        <v xml:space="preserve"> 2024</v>
      </c>
    </row>
    <row r="1852" spans="1:15" x14ac:dyDescent="0.35">
      <c r="A1852" t="s">
        <v>2578</v>
      </c>
      <c r="B1852" s="5" t="s">
        <v>1817</v>
      </c>
      <c r="C1852" s="4" t="s">
        <v>31</v>
      </c>
      <c r="D1852" s="4" t="s">
        <v>50</v>
      </c>
      <c r="E1852" s="4" t="s">
        <v>51</v>
      </c>
      <c r="F1852" s="4" t="s">
        <v>37</v>
      </c>
      <c r="G1852" s="4" t="s">
        <v>183</v>
      </c>
      <c r="H1852" s="4" t="s">
        <v>72</v>
      </c>
      <c r="I1852" s="4" t="s">
        <v>28</v>
      </c>
      <c r="J1852" s="3">
        <v>10</v>
      </c>
      <c r="K1852" s="6">
        <v>416190</v>
      </c>
      <c r="L1852" s="6">
        <f t="shared" si="84"/>
        <v>291333</v>
      </c>
      <c r="M1852" s="6">
        <v>124857</v>
      </c>
      <c r="N1852" s="5" t="str">
        <f t="shared" si="85"/>
        <v>Jan</v>
      </c>
      <c r="O1852" s="5" t="str">
        <f t="shared" si="86"/>
        <v xml:space="preserve"> 2023</v>
      </c>
    </row>
    <row r="1853" spans="1:15" x14ac:dyDescent="0.35">
      <c r="A1853" t="s">
        <v>2579</v>
      </c>
      <c r="B1853" s="5" t="s">
        <v>1287</v>
      </c>
      <c r="C1853" s="4" t="s">
        <v>22</v>
      </c>
      <c r="D1853" s="4" t="s">
        <v>90</v>
      </c>
      <c r="E1853" s="4" t="s">
        <v>91</v>
      </c>
      <c r="F1853" s="4" t="s">
        <v>67</v>
      </c>
      <c r="G1853" s="4" t="s">
        <v>180</v>
      </c>
      <c r="H1853" s="4" t="s">
        <v>18</v>
      </c>
      <c r="I1853" s="4" t="s">
        <v>19</v>
      </c>
      <c r="J1853" s="3">
        <v>8</v>
      </c>
      <c r="K1853" s="6">
        <v>95592</v>
      </c>
      <c r="L1853" s="6">
        <f t="shared" si="84"/>
        <v>66914.399999999994</v>
      </c>
      <c r="M1853" s="6">
        <v>28677.600000000006</v>
      </c>
      <c r="N1853" s="5" t="str">
        <f t="shared" si="85"/>
        <v>Apr</v>
      </c>
      <c r="O1853" s="5" t="str">
        <f t="shared" si="86"/>
        <v xml:space="preserve"> 2023</v>
      </c>
    </row>
    <row r="1854" spans="1:15" x14ac:dyDescent="0.35">
      <c r="A1854" t="s">
        <v>2580</v>
      </c>
      <c r="B1854" s="5" t="s">
        <v>363</v>
      </c>
      <c r="C1854" s="4" t="s">
        <v>31</v>
      </c>
      <c r="D1854" s="4" t="s">
        <v>45</v>
      </c>
      <c r="E1854" s="4" t="s">
        <v>46</v>
      </c>
      <c r="F1854" s="4" t="s">
        <v>67</v>
      </c>
      <c r="G1854" s="4" t="s">
        <v>134</v>
      </c>
      <c r="H1854" s="4" t="s">
        <v>18</v>
      </c>
      <c r="I1854" s="4" t="s">
        <v>19</v>
      </c>
      <c r="J1854" s="3">
        <v>2</v>
      </c>
      <c r="K1854" s="6">
        <v>31420</v>
      </c>
      <c r="L1854" s="6">
        <f t="shared" si="84"/>
        <v>21994</v>
      </c>
      <c r="M1854" s="6">
        <v>9426</v>
      </c>
      <c r="N1854" s="5" t="str">
        <f t="shared" si="85"/>
        <v>Sep</v>
      </c>
      <c r="O1854" s="5" t="str">
        <f t="shared" si="86"/>
        <v xml:space="preserve"> 2023</v>
      </c>
    </row>
    <row r="1855" spans="1:15" x14ac:dyDescent="0.35">
      <c r="A1855" t="s">
        <v>2581</v>
      </c>
      <c r="B1855" s="5" t="s">
        <v>955</v>
      </c>
      <c r="C1855" s="4" t="s">
        <v>55</v>
      </c>
      <c r="D1855" s="4" t="s">
        <v>98</v>
      </c>
      <c r="E1855" s="4" t="s">
        <v>99</v>
      </c>
      <c r="F1855" s="4" t="s">
        <v>37</v>
      </c>
      <c r="G1855" s="4" t="s">
        <v>183</v>
      </c>
      <c r="H1855" s="4" t="s">
        <v>18</v>
      </c>
      <c r="I1855" s="4" t="s">
        <v>47</v>
      </c>
      <c r="J1855" s="3">
        <v>5</v>
      </c>
      <c r="K1855" s="6">
        <v>134320</v>
      </c>
      <c r="L1855" s="6">
        <f t="shared" si="84"/>
        <v>94024</v>
      </c>
      <c r="M1855" s="6">
        <v>40296</v>
      </c>
      <c r="N1855" s="5" t="str">
        <f t="shared" si="85"/>
        <v>Oct</v>
      </c>
      <c r="O1855" s="5" t="str">
        <f t="shared" si="86"/>
        <v xml:space="preserve"> 2023</v>
      </c>
    </row>
    <row r="1856" spans="1:15" x14ac:dyDescent="0.35">
      <c r="A1856" t="s">
        <v>2582</v>
      </c>
      <c r="B1856" s="5" t="s">
        <v>500</v>
      </c>
      <c r="C1856" s="4" t="s">
        <v>31</v>
      </c>
      <c r="D1856" s="4" t="s">
        <v>32</v>
      </c>
      <c r="E1856" s="4" t="s">
        <v>33</v>
      </c>
      <c r="F1856" s="4" t="s">
        <v>25</v>
      </c>
      <c r="G1856" s="4" t="s">
        <v>26</v>
      </c>
      <c r="H1856" s="4" t="s">
        <v>72</v>
      </c>
      <c r="I1856" s="4" t="s">
        <v>47</v>
      </c>
      <c r="J1856" s="3">
        <v>5</v>
      </c>
      <c r="K1856" s="6">
        <v>134940</v>
      </c>
      <c r="L1856" s="6">
        <f t="shared" si="84"/>
        <v>94458</v>
      </c>
      <c r="M1856" s="6">
        <v>40482</v>
      </c>
      <c r="N1856" s="5" t="str">
        <f t="shared" si="85"/>
        <v>Apr</v>
      </c>
      <c r="O1856" s="5" t="str">
        <f t="shared" si="86"/>
        <v xml:space="preserve"> 2023</v>
      </c>
    </row>
    <row r="1857" spans="1:15" x14ac:dyDescent="0.35">
      <c r="A1857" t="s">
        <v>2583</v>
      </c>
      <c r="B1857" s="5" t="s">
        <v>269</v>
      </c>
      <c r="C1857" s="4" t="s">
        <v>13</v>
      </c>
      <c r="D1857" s="4" t="s">
        <v>118</v>
      </c>
      <c r="E1857" s="4" t="s">
        <v>119</v>
      </c>
      <c r="F1857" s="4" t="s">
        <v>16</v>
      </c>
      <c r="G1857" s="4" t="s">
        <v>122</v>
      </c>
      <c r="H1857" s="4" t="s">
        <v>27</v>
      </c>
      <c r="I1857" s="4" t="s">
        <v>19</v>
      </c>
      <c r="J1857" s="3">
        <v>1</v>
      </c>
      <c r="K1857" s="6">
        <v>49146</v>
      </c>
      <c r="L1857" s="6">
        <f t="shared" si="84"/>
        <v>34402.199999999997</v>
      </c>
      <c r="M1857" s="6">
        <v>14743.800000000003</v>
      </c>
      <c r="N1857" s="5" t="str">
        <f t="shared" si="85"/>
        <v>Apr</v>
      </c>
      <c r="O1857" s="5" t="str">
        <f t="shared" si="86"/>
        <v xml:space="preserve"> 2023</v>
      </c>
    </row>
    <row r="1858" spans="1:15" x14ac:dyDescent="0.35">
      <c r="A1858" t="s">
        <v>2584</v>
      </c>
      <c r="B1858" s="5" t="s">
        <v>593</v>
      </c>
      <c r="C1858" s="4" t="s">
        <v>55</v>
      </c>
      <c r="D1858" s="4" t="s">
        <v>98</v>
      </c>
      <c r="E1858" s="4" t="s">
        <v>99</v>
      </c>
      <c r="F1858" s="4" t="s">
        <v>67</v>
      </c>
      <c r="G1858" s="4" t="s">
        <v>68</v>
      </c>
      <c r="H1858" s="4" t="s">
        <v>18</v>
      </c>
      <c r="I1858" s="4" t="s">
        <v>19</v>
      </c>
      <c r="J1858" s="3">
        <v>8</v>
      </c>
      <c r="K1858" s="6">
        <v>127976</v>
      </c>
      <c r="L1858" s="6">
        <f t="shared" ref="L1858:L1921" si="87">K1858*0.7</f>
        <v>89583.2</v>
      </c>
      <c r="M1858" s="6">
        <v>38392.800000000003</v>
      </c>
      <c r="N1858" s="5" t="str">
        <f t="shared" ref="N1858:N1921" si="88">TEXT(B1858,"mmm")</f>
        <v>Dec</v>
      </c>
      <c r="O1858" s="5" t="str">
        <f t="shared" ref="O1858:O1921" si="89">TEXT(B1858," yyyy")</f>
        <v xml:space="preserve"> 2023</v>
      </c>
    </row>
    <row r="1859" spans="1:15" x14ac:dyDescent="0.35">
      <c r="A1859" t="s">
        <v>2585</v>
      </c>
      <c r="B1859" s="5" t="s">
        <v>926</v>
      </c>
      <c r="C1859" s="4" t="s">
        <v>31</v>
      </c>
      <c r="D1859" s="4" t="s">
        <v>50</v>
      </c>
      <c r="E1859" s="4" t="s">
        <v>51</v>
      </c>
      <c r="F1859" s="4" t="s">
        <v>25</v>
      </c>
      <c r="G1859" s="4" t="s">
        <v>77</v>
      </c>
      <c r="H1859" s="4" t="s">
        <v>27</v>
      </c>
      <c r="I1859" s="4" t="s">
        <v>28</v>
      </c>
      <c r="J1859" s="3">
        <v>9</v>
      </c>
      <c r="K1859" s="6">
        <v>186255</v>
      </c>
      <c r="L1859" s="6">
        <f t="shared" si="87"/>
        <v>130378.49999999999</v>
      </c>
      <c r="M1859" s="6">
        <v>55876.500000000015</v>
      </c>
      <c r="N1859" s="5" t="str">
        <f t="shared" si="88"/>
        <v>Oct</v>
      </c>
      <c r="O1859" s="5" t="str">
        <f t="shared" si="89"/>
        <v xml:space="preserve"> 2023</v>
      </c>
    </row>
    <row r="1860" spans="1:15" x14ac:dyDescent="0.35">
      <c r="A1860" t="s">
        <v>2586</v>
      </c>
      <c r="B1860" s="5" t="s">
        <v>1030</v>
      </c>
      <c r="C1860" s="4" t="s">
        <v>31</v>
      </c>
      <c r="D1860" s="4" t="s">
        <v>45</v>
      </c>
      <c r="E1860" s="4" t="s">
        <v>46</v>
      </c>
      <c r="F1860" s="4" t="s">
        <v>37</v>
      </c>
      <c r="G1860" s="4" t="s">
        <v>148</v>
      </c>
      <c r="H1860" s="4" t="s">
        <v>27</v>
      </c>
      <c r="I1860" s="4" t="s">
        <v>47</v>
      </c>
      <c r="J1860" s="3">
        <v>7</v>
      </c>
      <c r="K1860" s="6">
        <v>108402</v>
      </c>
      <c r="L1860" s="6">
        <f t="shared" si="87"/>
        <v>75881.399999999994</v>
      </c>
      <c r="M1860" s="6">
        <v>32520.600000000006</v>
      </c>
      <c r="N1860" s="5" t="str">
        <f t="shared" si="88"/>
        <v>Sep</v>
      </c>
      <c r="O1860" s="5" t="str">
        <f t="shared" si="89"/>
        <v xml:space="preserve"> 2024</v>
      </c>
    </row>
    <row r="1861" spans="1:15" x14ac:dyDescent="0.35">
      <c r="A1861" t="s">
        <v>2587</v>
      </c>
      <c r="B1861" s="5" t="s">
        <v>2588</v>
      </c>
      <c r="C1861" s="4" t="s">
        <v>31</v>
      </c>
      <c r="D1861" s="4" t="s">
        <v>50</v>
      </c>
      <c r="E1861" s="4" t="s">
        <v>51</v>
      </c>
      <c r="F1861" s="4" t="s">
        <v>25</v>
      </c>
      <c r="G1861" s="4" t="s">
        <v>52</v>
      </c>
      <c r="H1861" s="4" t="s">
        <v>72</v>
      </c>
      <c r="I1861" s="4" t="s">
        <v>19</v>
      </c>
      <c r="J1861" s="3">
        <v>6</v>
      </c>
      <c r="K1861" s="6">
        <v>210318</v>
      </c>
      <c r="L1861" s="6">
        <f t="shared" si="87"/>
        <v>147222.59999999998</v>
      </c>
      <c r="M1861" s="6">
        <v>63095.400000000023</v>
      </c>
      <c r="N1861" s="5" t="str">
        <f t="shared" si="88"/>
        <v>Feb</v>
      </c>
      <c r="O1861" s="5" t="str">
        <f t="shared" si="89"/>
        <v xml:space="preserve"> 2023</v>
      </c>
    </row>
    <row r="1862" spans="1:15" x14ac:dyDescent="0.35">
      <c r="A1862" t="s">
        <v>2589</v>
      </c>
      <c r="B1862" s="5" t="s">
        <v>309</v>
      </c>
      <c r="C1862" s="4" t="s">
        <v>31</v>
      </c>
      <c r="D1862" s="4" t="s">
        <v>104</v>
      </c>
      <c r="E1862" s="4" t="s">
        <v>105</v>
      </c>
      <c r="F1862" s="4" t="s">
        <v>37</v>
      </c>
      <c r="G1862" s="4" t="s">
        <v>148</v>
      </c>
      <c r="H1862" s="4" t="s">
        <v>18</v>
      </c>
      <c r="I1862" s="4" t="s">
        <v>39</v>
      </c>
      <c r="J1862" s="3">
        <v>5</v>
      </c>
      <c r="K1862" s="6">
        <v>205920</v>
      </c>
      <c r="L1862" s="6">
        <f t="shared" si="87"/>
        <v>144144</v>
      </c>
      <c r="M1862" s="6">
        <v>61776</v>
      </c>
      <c r="N1862" s="5" t="str">
        <f t="shared" si="88"/>
        <v>Oct</v>
      </c>
      <c r="O1862" s="5" t="str">
        <f t="shared" si="89"/>
        <v xml:space="preserve"> 2023</v>
      </c>
    </row>
    <row r="1863" spans="1:15" x14ac:dyDescent="0.35">
      <c r="A1863" t="s">
        <v>2590</v>
      </c>
      <c r="B1863" s="5" t="s">
        <v>1146</v>
      </c>
      <c r="C1863" s="4" t="s">
        <v>13</v>
      </c>
      <c r="D1863" s="4" t="s">
        <v>14</v>
      </c>
      <c r="E1863" s="4" t="s">
        <v>15</v>
      </c>
      <c r="F1863" s="4" t="s">
        <v>37</v>
      </c>
      <c r="G1863" s="4" t="s">
        <v>183</v>
      </c>
      <c r="H1863" s="4" t="s">
        <v>72</v>
      </c>
      <c r="I1863" s="4" t="s">
        <v>60</v>
      </c>
      <c r="J1863" s="3">
        <v>1</v>
      </c>
      <c r="K1863" s="6">
        <v>12857</v>
      </c>
      <c r="L1863" s="6">
        <f t="shared" si="87"/>
        <v>8999.9</v>
      </c>
      <c r="M1863" s="6">
        <v>3857.1000000000004</v>
      </c>
      <c r="N1863" s="5" t="str">
        <f t="shared" si="88"/>
        <v>Jan</v>
      </c>
      <c r="O1863" s="5" t="str">
        <f t="shared" si="89"/>
        <v xml:space="preserve"> 2023</v>
      </c>
    </row>
    <row r="1864" spans="1:15" x14ac:dyDescent="0.35">
      <c r="A1864" t="s">
        <v>2591</v>
      </c>
      <c r="B1864" s="5" t="s">
        <v>304</v>
      </c>
      <c r="C1864" s="4" t="s">
        <v>31</v>
      </c>
      <c r="D1864" s="4" t="s">
        <v>50</v>
      </c>
      <c r="E1864" s="4" t="s">
        <v>51</v>
      </c>
      <c r="F1864" s="4" t="s">
        <v>16</v>
      </c>
      <c r="G1864" s="4" t="s">
        <v>42</v>
      </c>
      <c r="H1864" s="4" t="s">
        <v>72</v>
      </c>
      <c r="I1864" s="4" t="s">
        <v>19</v>
      </c>
      <c r="J1864" s="3">
        <v>6</v>
      </c>
      <c r="K1864" s="6">
        <v>56910</v>
      </c>
      <c r="L1864" s="6">
        <f t="shared" si="87"/>
        <v>39837</v>
      </c>
      <c r="M1864" s="6">
        <v>17073</v>
      </c>
      <c r="N1864" s="5" t="str">
        <f t="shared" si="88"/>
        <v>Apr</v>
      </c>
      <c r="O1864" s="5" t="str">
        <f t="shared" si="89"/>
        <v xml:space="preserve"> 2023</v>
      </c>
    </row>
    <row r="1865" spans="1:15" x14ac:dyDescent="0.35">
      <c r="A1865" t="s">
        <v>2592</v>
      </c>
      <c r="B1865" s="5" t="s">
        <v>1076</v>
      </c>
      <c r="C1865" s="4" t="s">
        <v>31</v>
      </c>
      <c r="D1865" s="4" t="s">
        <v>32</v>
      </c>
      <c r="E1865" s="4" t="s">
        <v>33</v>
      </c>
      <c r="F1865" s="4" t="s">
        <v>16</v>
      </c>
      <c r="G1865" s="4" t="s">
        <v>34</v>
      </c>
      <c r="H1865" s="4" t="s">
        <v>27</v>
      </c>
      <c r="I1865" s="4" t="s">
        <v>19</v>
      </c>
      <c r="J1865" s="3">
        <v>10</v>
      </c>
      <c r="K1865" s="6">
        <v>362070</v>
      </c>
      <c r="L1865" s="6">
        <f t="shared" si="87"/>
        <v>253448.99999999997</v>
      </c>
      <c r="M1865" s="6">
        <v>108621.00000000003</v>
      </c>
      <c r="N1865" s="5" t="str">
        <f t="shared" si="88"/>
        <v>Jul</v>
      </c>
      <c r="O1865" s="5" t="str">
        <f t="shared" si="89"/>
        <v xml:space="preserve"> 2023</v>
      </c>
    </row>
    <row r="1866" spans="1:15" x14ac:dyDescent="0.35">
      <c r="A1866" t="s">
        <v>2593</v>
      </c>
      <c r="B1866" s="5" t="s">
        <v>433</v>
      </c>
      <c r="C1866" s="4" t="s">
        <v>22</v>
      </c>
      <c r="D1866" s="4" t="s">
        <v>23</v>
      </c>
      <c r="E1866" s="4" t="s">
        <v>24</v>
      </c>
      <c r="F1866" s="4" t="s">
        <v>25</v>
      </c>
      <c r="G1866" s="4" t="s">
        <v>77</v>
      </c>
      <c r="H1866" s="4" t="s">
        <v>18</v>
      </c>
      <c r="I1866" s="4" t="s">
        <v>19</v>
      </c>
      <c r="J1866" s="3">
        <v>10</v>
      </c>
      <c r="K1866" s="6">
        <v>18390</v>
      </c>
      <c r="L1866" s="6">
        <f t="shared" si="87"/>
        <v>12873</v>
      </c>
      <c r="M1866" s="6">
        <v>5517</v>
      </c>
      <c r="N1866" s="5" t="str">
        <f t="shared" si="88"/>
        <v>Oct</v>
      </c>
      <c r="O1866" s="5" t="str">
        <f t="shared" si="89"/>
        <v xml:space="preserve"> 2024</v>
      </c>
    </row>
    <row r="1867" spans="1:15" x14ac:dyDescent="0.35">
      <c r="A1867" t="s">
        <v>2594</v>
      </c>
      <c r="B1867" s="5" t="s">
        <v>370</v>
      </c>
      <c r="C1867" s="4" t="s">
        <v>22</v>
      </c>
      <c r="D1867" s="4" t="s">
        <v>86</v>
      </c>
      <c r="E1867" s="4" t="s">
        <v>87</v>
      </c>
      <c r="F1867" s="4" t="s">
        <v>37</v>
      </c>
      <c r="G1867" s="4" t="s">
        <v>183</v>
      </c>
      <c r="H1867" s="4" t="s">
        <v>27</v>
      </c>
      <c r="I1867" s="4" t="s">
        <v>47</v>
      </c>
      <c r="J1867" s="3">
        <v>6</v>
      </c>
      <c r="K1867" s="6">
        <v>85128</v>
      </c>
      <c r="L1867" s="6">
        <f t="shared" si="87"/>
        <v>59589.599999999999</v>
      </c>
      <c r="M1867" s="6">
        <v>25538.400000000001</v>
      </c>
      <c r="N1867" s="5" t="str">
        <f t="shared" si="88"/>
        <v>Sep</v>
      </c>
      <c r="O1867" s="5" t="str">
        <f t="shared" si="89"/>
        <v xml:space="preserve"> 2024</v>
      </c>
    </row>
    <row r="1868" spans="1:15" x14ac:dyDescent="0.35">
      <c r="A1868" t="s">
        <v>2595</v>
      </c>
      <c r="B1868" s="5" t="s">
        <v>816</v>
      </c>
      <c r="C1868" s="4" t="s">
        <v>55</v>
      </c>
      <c r="D1868" s="4" t="s">
        <v>98</v>
      </c>
      <c r="E1868" s="4" t="s">
        <v>99</v>
      </c>
      <c r="F1868" s="4" t="s">
        <v>25</v>
      </c>
      <c r="G1868" s="4" t="s">
        <v>52</v>
      </c>
      <c r="H1868" s="4" t="s">
        <v>18</v>
      </c>
      <c r="I1868" s="4" t="s">
        <v>60</v>
      </c>
      <c r="J1868" s="3">
        <v>3</v>
      </c>
      <c r="K1868" s="6">
        <v>101715</v>
      </c>
      <c r="L1868" s="6">
        <f t="shared" si="87"/>
        <v>71200.5</v>
      </c>
      <c r="M1868" s="6">
        <v>30514.5</v>
      </c>
      <c r="N1868" s="5" t="str">
        <f t="shared" si="88"/>
        <v>Jun</v>
      </c>
      <c r="O1868" s="5" t="str">
        <f t="shared" si="89"/>
        <v xml:space="preserve"> 2023</v>
      </c>
    </row>
    <row r="1869" spans="1:15" x14ac:dyDescent="0.35">
      <c r="A1869" t="s">
        <v>2596</v>
      </c>
      <c r="B1869" s="5" t="s">
        <v>2460</v>
      </c>
      <c r="C1869" s="4" t="s">
        <v>13</v>
      </c>
      <c r="D1869" s="4" t="s">
        <v>162</v>
      </c>
      <c r="E1869" s="4" t="s">
        <v>163</v>
      </c>
      <c r="F1869" s="4" t="s">
        <v>67</v>
      </c>
      <c r="G1869" s="4" t="s">
        <v>68</v>
      </c>
      <c r="H1869" s="4" t="s">
        <v>18</v>
      </c>
      <c r="I1869" s="4" t="s">
        <v>39</v>
      </c>
      <c r="J1869" s="3">
        <v>3</v>
      </c>
      <c r="K1869" s="6">
        <v>61653</v>
      </c>
      <c r="L1869" s="6">
        <f t="shared" si="87"/>
        <v>43157.1</v>
      </c>
      <c r="M1869" s="6">
        <v>18495.900000000001</v>
      </c>
      <c r="N1869" s="5" t="str">
        <f t="shared" si="88"/>
        <v>Jan</v>
      </c>
      <c r="O1869" s="5" t="str">
        <f t="shared" si="89"/>
        <v xml:space="preserve"> 2024</v>
      </c>
    </row>
    <row r="1870" spans="1:15" x14ac:dyDescent="0.35">
      <c r="A1870" t="s">
        <v>2597</v>
      </c>
      <c r="B1870" s="5" t="s">
        <v>199</v>
      </c>
      <c r="C1870" s="4" t="s">
        <v>22</v>
      </c>
      <c r="D1870" s="4" t="s">
        <v>90</v>
      </c>
      <c r="E1870" s="4" t="s">
        <v>91</v>
      </c>
      <c r="F1870" s="4" t="s">
        <v>37</v>
      </c>
      <c r="G1870" s="4" t="s">
        <v>38</v>
      </c>
      <c r="H1870" s="4" t="s">
        <v>27</v>
      </c>
      <c r="I1870" s="4" t="s">
        <v>28</v>
      </c>
      <c r="J1870" s="3">
        <v>6</v>
      </c>
      <c r="K1870" s="6">
        <v>256752</v>
      </c>
      <c r="L1870" s="6">
        <f t="shared" si="87"/>
        <v>179726.4</v>
      </c>
      <c r="M1870" s="6">
        <v>77025.600000000006</v>
      </c>
      <c r="N1870" s="5" t="str">
        <f t="shared" si="88"/>
        <v>Jul</v>
      </c>
      <c r="O1870" s="5" t="str">
        <f t="shared" si="89"/>
        <v xml:space="preserve"> 2023</v>
      </c>
    </row>
    <row r="1871" spans="1:15" x14ac:dyDescent="0.35">
      <c r="A1871" t="s">
        <v>2598</v>
      </c>
      <c r="B1871" s="5" t="s">
        <v>2599</v>
      </c>
      <c r="C1871" s="4" t="s">
        <v>31</v>
      </c>
      <c r="D1871" s="4" t="s">
        <v>45</v>
      </c>
      <c r="E1871" s="4" t="s">
        <v>46</v>
      </c>
      <c r="F1871" s="4" t="s">
        <v>37</v>
      </c>
      <c r="G1871" s="4" t="s">
        <v>38</v>
      </c>
      <c r="H1871" s="4" t="s">
        <v>72</v>
      </c>
      <c r="I1871" s="4" t="s">
        <v>47</v>
      </c>
      <c r="J1871" s="3">
        <v>3</v>
      </c>
      <c r="K1871" s="6">
        <v>92799</v>
      </c>
      <c r="L1871" s="6">
        <f t="shared" si="87"/>
        <v>64959.299999999996</v>
      </c>
      <c r="M1871" s="6">
        <v>27839.700000000004</v>
      </c>
      <c r="N1871" s="5" t="str">
        <f t="shared" si="88"/>
        <v>Mar</v>
      </c>
      <c r="O1871" s="5" t="str">
        <f t="shared" si="89"/>
        <v xml:space="preserve"> 2023</v>
      </c>
    </row>
    <row r="1872" spans="1:15" x14ac:dyDescent="0.35">
      <c r="A1872" t="s">
        <v>2600</v>
      </c>
      <c r="B1872" s="5" t="s">
        <v>2530</v>
      </c>
      <c r="C1872" s="4" t="s">
        <v>22</v>
      </c>
      <c r="D1872" s="4" t="s">
        <v>23</v>
      </c>
      <c r="E1872" s="4" t="s">
        <v>24</v>
      </c>
      <c r="F1872" s="4" t="s">
        <v>25</v>
      </c>
      <c r="G1872" s="4" t="s">
        <v>26</v>
      </c>
      <c r="H1872" s="4" t="s">
        <v>72</v>
      </c>
      <c r="I1872" s="4" t="s">
        <v>60</v>
      </c>
      <c r="J1872" s="3">
        <v>3</v>
      </c>
      <c r="K1872" s="6">
        <v>84657</v>
      </c>
      <c r="L1872" s="6">
        <f t="shared" si="87"/>
        <v>59259.899999999994</v>
      </c>
      <c r="M1872" s="6">
        <v>25397.100000000006</v>
      </c>
      <c r="N1872" s="5" t="str">
        <f t="shared" si="88"/>
        <v>Aug</v>
      </c>
      <c r="O1872" s="5" t="str">
        <f t="shared" si="89"/>
        <v xml:space="preserve"> 2024</v>
      </c>
    </row>
    <row r="1873" spans="1:15" x14ac:dyDescent="0.35">
      <c r="A1873" t="s">
        <v>2601</v>
      </c>
      <c r="B1873" s="5" t="s">
        <v>877</v>
      </c>
      <c r="C1873" s="4" t="s">
        <v>31</v>
      </c>
      <c r="D1873" s="4" t="s">
        <v>50</v>
      </c>
      <c r="E1873" s="4" t="s">
        <v>51</v>
      </c>
      <c r="F1873" s="4" t="s">
        <v>16</v>
      </c>
      <c r="G1873" s="4" t="s">
        <v>42</v>
      </c>
      <c r="H1873" s="4" t="s">
        <v>72</v>
      </c>
      <c r="I1873" s="4" t="s">
        <v>60</v>
      </c>
      <c r="J1873" s="3">
        <v>9</v>
      </c>
      <c r="K1873" s="6">
        <v>407655</v>
      </c>
      <c r="L1873" s="6">
        <f t="shared" si="87"/>
        <v>285358.5</v>
      </c>
      <c r="M1873" s="6">
        <v>122296.5</v>
      </c>
      <c r="N1873" s="5" t="str">
        <f t="shared" si="88"/>
        <v>Sep</v>
      </c>
      <c r="O1873" s="5" t="str">
        <f t="shared" si="89"/>
        <v xml:space="preserve"> 2023</v>
      </c>
    </row>
    <row r="1874" spans="1:15" x14ac:dyDescent="0.35">
      <c r="A1874" t="s">
        <v>2602</v>
      </c>
      <c r="B1874" s="5" t="s">
        <v>893</v>
      </c>
      <c r="C1874" s="4" t="s">
        <v>55</v>
      </c>
      <c r="D1874" s="4" t="s">
        <v>98</v>
      </c>
      <c r="E1874" s="4" t="s">
        <v>99</v>
      </c>
      <c r="F1874" s="4" t="s">
        <v>37</v>
      </c>
      <c r="G1874" s="4" t="s">
        <v>186</v>
      </c>
      <c r="H1874" s="4" t="s">
        <v>18</v>
      </c>
      <c r="I1874" s="4" t="s">
        <v>39</v>
      </c>
      <c r="J1874" s="3">
        <v>2</v>
      </c>
      <c r="K1874" s="6">
        <v>79640</v>
      </c>
      <c r="L1874" s="6">
        <f t="shared" si="87"/>
        <v>55748</v>
      </c>
      <c r="M1874" s="6">
        <v>23892</v>
      </c>
      <c r="N1874" s="5" t="str">
        <f t="shared" si="88"/>
        <v>May</v>
      </c>
      <c r="O1874" s="5" t="str">
        <f t="shared" si="89"/>
        <v xml:space="preserve"> 2024</v>
      </c>
    </row>
    <row r="1875" spans="1:15" x14ac:dyDescent="0.35">
      <c r="A1875" t="s">
        <v>2603</v>
      </c>
      <c r="B1875" s="5" t="s">
        <v>563</v>
      </c>
      <c r="C1875" s="4" t="s">
        <v>13</v>
      </c>
      <c r="D1875" s="4" t="s">
        <v>14</v>
      </c>
      <c r="E1875" s="4" t="s">
        <v>15</v>
      </c>
      <c r="F1875" s="4" t="s">
        <v>25</v>
      </c>
      <c r="G1875" s="4" t="s">
        <v>77</v>
      </c>
      <c r="H1875" s="4" t="s">
        <v>72</v>
      </c>
      <c r="I1875" s="4" t="s">
        <v>39</v>
      </c>
      <c r="J1875" s="3">
        <v>8</v>
      </c>
      <c r="K1875" s="6">
        <v>83792</v>
      </c>
      <c r="L1875" s="6">
        <f t="shared" si="87"/>
        <v>58654.399999999994</v>
      </c>
      <c r="M1875" s="6">
        <v>25137.600000000006</v>
      </c>
      <c r="N1875" s="5" t="str">
        <f t="shared" si="88"/>
        <v>Apr</v>
      </c>
      <c r="O1875" s="5" t="str">
        <f t="shared" si="89"/>
        <v xml:space="preserve"> 2024</v>
      </c>
    </row>
    <row r="1876" spans="1:15" x14ac:dyDescent="0.35">
      <c r="A1876" t="s">
        <v>2604</v>
      </c>
      <c r="B1876" s="5" t="s">
        <v>2605</v>
      </c>
      <c r="C1876" s="4" t="s">
        <v>13</v>
      </c>
      <c r="D1876" s="4" t="s">
        <v>14</v>
      </c>
      <c r="E1876" s="4" t="s">
        <v>15</v>
      </c>
      <c r="F1876" s="4" t="s">
        <v>25</v>
      </c>
      <c r="G1876" s="4" t="s">
        <v>77</v>
      </c>
      <c r="H1876" s="4" t="s">
        <v>72</v>
      </c>
      <c r="I1876" s="4" t="s">
        <v>39</v>
      </c>
      <c r="J1876" s="3">
        <v>8</v>
      </c>
      <c r="K1876" s="6">
        <v>48312</v>
      </c>
      <c r="L1876" s="6">
        <f t="shared" si="87"/>
        <v>33818.400000000001</v>
      </c>
      <c r="M1876" s="6">
        <v>14493.599999999999</v>
      </c>
      <c r="N1876" s="5" t="str">
        <f t="shared" si="88"/>
        <v>Nov</v>
      </c>
      <c r="O1876" s="5" t="str">
        <f t="shared" si="89"/>
        <v xml:space="preserve"> 2023</v>
      </c>
    </row>
    <row r="1877" spans="1:15" x14ac:dyDescent="0.35">
      <c r="A1877" t="s">
        <v>2606</v>
      </c>
      <c r="B1877" s="5" t="s">
        <v>1373</v>
      </c>
      <c r="C1877" s="4" t="s">
        <v>13</v>
      </c>
      <c r="D1877" s="4" t="s">
        <v>118</v>
      </c>
      <c r="E1877" s="4" t="s">
        <v>119</v>
      </c>
      <c r="F1877" s="4" t="s">
        <v>37</v>
      </c>
      <c r="G1877" s="4" t="s">
        <v>186</v>
      </c>
      <c r="H1877" s="4" t="s">
        <v>27</v>
      </c>
      <c r="I1877" s="4" t="s">
        <v>19</v>
      </c>
      <c r="J1877" s="3">
        <v>3</v>
      </c>
      <c r="K1877" s="6">
        <v>77091</v>
      </c>
      <c r="L1877" s="6">
        <f t="shared" si="87"/>
        <v>53963.7</v>
      </c>
      <c r="M1877" s="6">
        <v>23127.300000000003</v>
      </c>
      <c r="N1877" s="5" t="str">
        <f t="shared" si="88"/>
        <v>Dec</v>
      </c>
      <c r="O1877" s="5" t="str">
        <f t="shared" si="89"/>
        <v xml:space="preserve"> 2023</v>
      </c>
    </row>
    <row r="1878" spans="1:15" x14ac:dyDescent="0.35">
      <c r="A1878" t="s">
        <v>2607</v>
      </c>
      <c r="B1878" s="5" t="s">
        <v>232</v>
      </c>
      <c r="C1878" s="4" t="s">
        <v>31</v>
      </c>
      <c r="D1878" s="4" t="s">
        <v>104</v>
      </c>
      <c r="E1878" s="4" t="s">
        <v>105</v>
      </c>
      <c r="F1878" s="4" t="s">
        <v>25</v>
      </c>
      <c r="G1878" s="4" t="s">
        <v>71</v>
      </c>
      <c r="H1878" s="4" t="s">
        <v>27</v>
      </c>
      <c r="I1878" s="4" t="s">
        <v>19</v>
      </c>
      <c r="J1878" s="3">
        <v>4</v>
      </c>
      <c r="K1878" s="6">
        <v>87896</v>
      </c>
      <c r="L1878" s="6">
        <f t="shared" si="87"/>
        <v>61527.199999999997</v>
      </c>
      <c r="M1878" s="6">
        <v>26368.800000000003</v>
      </c>
      <c r="N1878" s="5" t="str">
        <f t="shared" si="88"/>
        <v>May</v>
      </c>
      <c r="O1878" s="5" t="str">
        <f t="shared" si="89"/>
        <v xml:space="preserve"> 2024</v>
      </c>
    </row>
    <row r="1879" spans="1:15" x14ac:dyDescent="0.35">
      <c r="A1879" t="s">
        <v>2608</v>
      </c>
      <c r="B1879" s="5" t="s">
        <v>381</v>
      </c>
      <c r="C1879" s="4" t="s">
        <v>22</v>
      </c>
      <c r="D1879" s="4" t="s">
        <v>90</v>
      </c>
      <c r="E1879" s="4" t="s">
        <v>110</v>
      </c>
      <c r="F1879" s="4" t="s">
        <v>67</v>
      </c>
      <c r="G1879" s="4" t="s">
        <v>113</v>
      </c>
      <c r="H1879" s="4" t="s">
        <v>72</v>
      </c>
      <c r="I1879" s="4" t="s">
        <v>39</v>
      </c>
      <c r="J1879" s="3">
        <v>9</v>
      </c>
      <c r="K1879" s="6">
        <v>381528</v>
      </c>
      <c r="L1879" s="6">
        <f t="shared" si="87"/>
        <v>267069.59999999998</v>
      </c>
      <c r="M1879" s="6">
        <v>114458.40000000002</v>
      </c>
      <c r="N1879" s="5" t="str">
        <f t="shared" si="88"/>
        <v>Sep</v>
      </c>
      <c r="O1879" s="5" t="str">
        <f t="shared" si="89"/>
        <v xml:space="preserve"> 2023</v>
      </c>
    </row>
    <row r="1880" spans="1:15" x14ac:dyDescent="0.35">
      <c r="A1880" t="s">
        <v>2609</v>
      </c>
      <c r="B1880" s="5" t="s">
        <v>999</v>
      </c>
      <c r="C1880" s="4" t="s">
        <v>22</v>
      </c>
      <c r="D1880" s="4" t="s">
        <v>86</v>
      </c>
      <c r="E1880" s="4" t="s">
        <v>87</v>
      </c>
      <c r="F1880" s="4" t="s">
        <v>25</v>
      </c>
      <c r="G1880" s="4" t="s">
        <v>52</v>
      </c>
      <c r="H1880" s="4" t="s">
        <v>72</v>
      </c>
      <c r="I1880" s="4" t="s">
        <v>60</v>
      </c>
      <c r="J1880" s="3">
        <v>7</v>
      </c>
      <c r="K1880" s="6">
        <v>61537</v>
      </c>
      <c r="L1880" s="6">
        <f t="shared" si="87"/>
        <v>43075.899999999994</v>
      </c>
      <c r="M1880" s="6">
        <v>18461.100000000006</v>
      </c>
      <c r="N1880" s="5" t="str">
        <f t="shared" si="88"/>
        <v>Aug</v>
      </c>
      <c r="O1880" s="5" t="str">
        <f t="shared" si="89"/>
        <v xml:space="preserve"> 2024</v>
      </c>
    </row>
    <row r="1881" spans="1:15" x14ac:dyDescent="0.35">
      <c r="A1881" t="s">
        <v>2610</v>
      </c>
      <c r="B1881" s="5" t="s">
        <v>777</v>
      </c>
      <c r="C1881" s="4" t="s">
        <v>13</v>
      </c>
      <c r="D1881" s="4" t="s">
        <v>125</v>
      </c>
      <c r="E1881" s="4" t="s">
        <v>126</v>
      </c>
      <c r="F1881" s="4" t="s">
        <v>37</v>
      </c>
      <c r="G1881" s="4" t="s">
        <v>38</v>
      </c>
      <c r="H1881" s="4" t="s">
        <v>72</v>
      </c>
      <c r="I1881" s="4" t="s">
        <v>60</v>
      </c>
      <c r="J1881" s="3">
        <v>4</v>
      </c>
      <c r="K1881" s="6">
        <v>7264</v>
      </c>
      <c r="L1881" s="6">
        <f t="shared" si="87"/>
        <v>5084.7999999999993</v>
      </c>
      <c r="M1881" s="6">
        <v>2179.2000000000007</v>
      </c>
      <c r="N1881" s="5" t="str">
        <f t="shared" si="88"/>
        <v>Jan</v>
      </c>
      <c r="O1881" s="5" t="str">
        <f t="shared" si="89"/>
        <v xml:space="preserve"> 2023</v>
      </c>
    </row>
    <row r="1882" spans="1:15" x14ac:dyDescent="0.35">
      <c r="A1882" t="s">
        <v>2611</v>
      </c>
      <c r="B1882" s="5" t="s">
        <v>2612</v>
      </c>
      <c r="C1882" s="4" t="s">
        <v>13</v>
      </c>
      <c r="D1882" s="4" t="s">
        <v>14</v>
      </c>
      <c r="E1882" s="4" t="s">
        <v>15</v>
      </c>
      <c r="F1882" s="4" t="s">
        <v>25</v>
      </c>
      <c r="G1882" s="4" t="s">
        <v>71</v>
      </c>
      <c r="H1882" s="4" t="s">
        <v>18</v>
      </c>
      <c r="I1882" s="4" t="s">
        <v>39</v>
      </c>
      <c r="J1882" s="3">
        <v>4</v>
      </c>
      <c r="K1882" s="6">
        <v>178520</v>
      </c>
      <c r="L1882" s="6">
        <f t="shared" si="87"/>
        <v>124963.99999999999</v>
      </c>
      <c r="M1882" s="6">
        <v>53556.000000000015</v>
      </c>
      <c r="N1882" s="5" t="str">
        <f t="shared" si="88"/>
        <v>Jul</v>
      </c>
      <c r="O1882" s="5" t="str">
        <f t="shared" si="89"/>
        <v xml:space="preserve"> 2023</v>
      </c>
    </row>
    <row r="1883" spans="1:15" x14ac:dyDescent="0.35">
      <c r="A1883" t="s">
        <v>2613</v>
      </c>
      <c r="B1883" s="5" t="s">
        <v>2428</v>
      </c>
      <c r="C1883" s="4" t="s">
        <v>22</v>
      </c>
      <c r="D1883" s="4" t="s">
        <v>90</v>
      </c>
      <c r="E1883" s="4" t="s">
        <v>91</v>
      </c>
      <c r="F1883" s="4" t="s">
        <v>37</v>
      </c>
      <c r="G1883" s="4" t="s">
        <v>186</v>
      </c>
      <c r="H1883" s="4" t="s">
        <v>18</v>
      </c>
      <c r="I1883" s="4" t="s">
        <v>39</v>
      </c>
      <c r="J1883" s="3">
        <v>3</v>
      </c>
      <c r="K1883" s="6">
        <v>32274</v>
      </c>
      <c r="L1883" s="6">
        <f t="shared" si="87"/>
        <v>22591.8</v>
      </c>
      <c r="M1883" s="6">
        <v>9682.2000000000007</v>
      </c>
      <c r="N1883" s="5" t="str">
        <f t="shared" si="88"/>
        <v>Apr</v>
      </c>
      <c r="O1883" s="5" t="str">
        <f t="shared" si="89"/>
        <v xml:space="preserve"> 2024</v>
      </c>
    </row>
    <row r="1884" spans="1:15" x14ac:dyDescent="0.35">
      <c r="A1884" t="s">
        <v>2614</v>
      </c>
      <c r="B1884" s="5" t="s">
        <v>1622</v>
      </c>
      <c r="C1884" s="4" t="s">
        <v>22</v>
      </c>
      <c r="D1884" s="4" t="s">
        <v>86</v>
      </c>
      <c r="E1884" s="4" t="s">
        <v>87</v>
      </c>
      <c r="F1884" s="4" t="s">
        <v>16</v>
      </c>
      <c r="G1884" s="4" t="s">
        <v>42</v>
      </c>
      <c r="H1884" s="4" t="s">
        <v>27</v>
      </c>
      <c r="I1884" s="4" t="s">
        <v>47</v>
      </c>
      <c r="J1884" s="3">
        <v>3</v>
      </c>
      <c r="K1884" s="6">
        <v>136422</v>
      </c>
      <c r="L1884" s="6">
        <f t="shared" si="87"/>
        <v>95495.4</v>
      </c>
      <c r="M1884" s="6">
        <v>40926.600000000006</v>
      </c>
      <c r="N1884" s="5" t="str">
        <f t="shared" si="88"/>
        <v>Oct</v>
      </c>
      <c r="O1884" s="5" t="str">
        <f t="shared" si="89"/>
        <v xml:space="preserve"> 2024</v>
      </c>
    </row>
    <row r="1885" spans="1:15" x14ac:dyDescent="0.35">
      <c r="A1885" t="s">
        <v>2615</v>
      </c>
      <c r="B1885" s="5" t="s">
        <v>318</v>
      </c>
      <c r="C1885" s="4" t="s">
        <v>13</v>
      </c>
      <c r="D1885" s="4" t="s">
        <v>14</v>
      </c>
      <c r="E1885" s="4" t="s">
        <v>15</v>
      </c>
      <c r="F1885" s="4" t="s">
        <v>67</v>
      </c>
      <c r="G1885" s="4" t="s">
        <v>113</v>
      </c>
      <c r="H1885" s="4" t="s">
        <v>18</v>
      </c>
      <c r="I1885" s="4" t="s">
        <v>28</v>
      </c>
      <c r="J1885" s="3">
        <v>2</v>
      </c>
      <c r="K1885" s="6">
        <v>41612</v>
      </c>
      <c r="L1885" s="6">
        <f t="shared" si="87"/>
        <v>29128.399999999998</v>
      </c>
      <c r="M1885" s="6">
        <v>12483.600000000002</v>
      </c>
      <c r="N1885" s="5" t="str">
        <f t="shared" si="88"/>
        <v>Jun</v>
      </c>
      <c r="O1885" s="5" t="str">
        <f t="shared" si="89"/>
        <v xml:space="preserve"> 2024</v>
      </c>
    </row>
    <row r="1886" spans="1:15" x14ac:dyDescent="0.35">
      <c r="A1886" t="s">
        <v>2616</v>
      </c>
      <c r="B1886" s="5" t="s">
        <v>498</v>
      </c>
      <c r="C1886" s="4" t="s">
        <v>31</v>
      </c>
      <c r="D1886" s="4" t="s">
        <v>50</v>
      </c>
      <c r="E1886" s="4" t="s">
        <v>51</v>
      </c>
      <c r="F1886" s="4" t="s">
        <v>25</v>
      </c>
      <c r="G1886" s="4" t="s">
        <v>52</v>
      </c>
      <c r="H1886" s="4" t="s">
        <v>18</v>
      </c>
      <c r="I1886" s="4" t="s">
        <v>19</v>
      </c>
      <c r="J1886" s="3">
        <v>2</v>
      </c>
      <c r="K1886" s="6">
        <v>64940</v>
      </c>
      <c r="L1886" s="6">
        <f t="shared" si="87"/>
        <v>45458</v>
      </c>
      <c r="M1886" s="6">
        <v>19482</v>
      </c>
      <c r="N1886" s="5" t="str">
        <f t="shared" si="88"/>
        <v>Jun</v>
      </c>
      <c r="O1886" s="5" t="str">
        <f t="shared" si="89"/>
        <v xml:space="preserve"> 2024</v>
      </c>
    </row>
    <row r="1887" spans="1:15" x14ac:dyDescent="0.35">
      <c r="A1887" t="s">
        <v>2617</v>
      </c>
      <c r="B1887" s="5" t="s">
        <v>930</v>
      </c>
      <c r="C1887" s="4" t="s">
        <v>22</v>
      </c>
      <c r="D1887" s="4" t="s">
        <v>90</v>
      </c>
      <c r="E1887" s="4" t="s">
        <v>91</v>
      </c>
      <c r="F1887" s="4" t="s">
        <v>16</v>
      </c>
      <c r="G1887" s="4" t="s">
        <v>17</v>
      </c>
      <c r="H1887" s="4" t="s">
        <v>72</v>
      </c>
      <c r="I1887" s="4" t="s">
        <v>28</v>
      </c>
      <c r="J1887" s="3">
        <v>10</v>
      </c>
      <c r="K1887" s="6">
        <v>80860</v>
      </c>
      <c r="L1887" s="6">
        <f t="shared" si="87"/>
        <v>56602</v>
      </c>
      <c r="M1887" s="6">
        <v>24258</v>
      </c>
      <c r="N1887" s="5" t="str">
        <f t="shared" si="88"/>
        <v>Mar</v>
      </c>
      <c r="O1887" s="5" t="str">
        <f t="shared" si="89"/>
        <v xml:space="preserve"> 2024</v>
      </c>
    </row>
    <row r="1888" spans="1:15" x14ac:dyDescent="0.35">
      <c r="A1888" t="s">
        <v>2618</v>
      </c>
      <c r="B1888" s="5" t="s">
        <v>638</v>
      </c>
      <c r="C1888" s="4" t="s">
        <v>13</v>
      </c>
      <c r="D1888" s="4" t="s">
        <v>162</v>
      </c>
      <c r="E1888" s="4" t="s">
        <v>163</v>
      </c>
      <c r="F1888" s="4" t="s">
        <v>37</v>
      </c>
      <c r="G1888" s="4" t="s">
        <v>148</v>
      </c>
      <c r="H1888" s="4" t="s">
        <v>27</v>
      </c>
      <c r="I1888" s="4" t="s">
        <v>60</v>
      </c>
      <c r="J1888" s="3">
        <v>1</v>
      </c>
      <c r="K1888" s="6">
        <v>5531</v>
      </c>
      <c r="L1888" s="6">
        <f t="shared" si="87"/>
        <v>3871.7</v>
      </c>
      <c r="M1888" s="6">
        <v>1659.3000000000002</v>
      </c>
      <c r="N1888" s="5" t="str">
        <f t="shared" si="88"/>
        <v>Dec</v>
      </c>
      <c r="O1888" s="5" t="str">
        <f t="shared" si="89"/>
        <v xml:space="preserve"> 2023</v>
      </c>
    </row>
    <row r="1889" spans="1:15" x14ac:dyDescent="0.35">
      <c r="A1889" t="s">
        <v>2619</v>
      </c>
      <c r="B1889" s="5" t="s">
        <v>1324</v>
      </c>
      <c r="C1889" s="4" t="s">
        <v>31</v>
      </c>
      <c r="D1889" s="4" t="s">
        <v>104</v>
      </c>
      <c r="E1889" s="4" t="s">
        <v>105</v>
      </c>
      <c r="F1889" s="4" t="s">
        <v>16</v>
      </c>
      <c r="G1889" s="4" t="s">
        <v>122</v>
      </c>
      <c r="H1889" s="4" t="s">
        <v>27</v>
      </c>
      <c r="I1889" s="4" t="s">
        <v>28</v>
      </c>
      <c r="J1889" s="3">
        <v>4</v>
      </c>
      <c r="K1889" s="6">
        <v>118116</v>
      </c>
      <c r="L1889" s="6">
        <f t="shared" si="87"/>
        <v>82681.2</v>
      </c>
      <c r="M1889" s="6">
        <v>35434.800000000003</v>
      </c>
      <c r="N1889" s="5" t="str">
        <f t="shared" si="88"/>
        <v>Jan</v>
      </c>
      <c r="O1889" s="5" t="str">
        <f t="shared" si="89"/>
        <v xml:space="preserve"> 2023</v>
      </c>
    </row>
    <row r="1890" spans="1:15" x14ac:dyDescent="0.35">
      <c r="A1890" t="s">
        <v>2620</v>
      </c>
      <c r="B1890" s="5" t="s">
        <v>650</v>
      </c>
      <c r="C1890" s="4" t="s">
        <v>13</v>
      </c>
      <c r="D1890" s="4" t="s">
        <v>125</v>
      </c>
      <c r="E1890" s="4" t="s">
        <v>126</v>
      </c>
      <c r="F1890" s="4" t="s">
        <v>37</v>
      </c>
      <c r="G1890" s="4" t="s">
        <v>186</v>
      </c>
      <c r="H1890" s="4" t="s">
        <v>27</v>
      </c>
      <c r="I1890" s="4" t="s">
        <v>60</v>
      </c>
      <c r="J1890" s="3">
        <v>1</v>
      </c>
      <c r="K1890" s="6">
        <v>15338</v>
      </c>
      <c r="L1890" s="6">
        <f t="shared" si="87"/>
        <v>10736.599999999999</v>
      </c>
      <c r="M1890" s="6">
        <v>4601.4000000000015</v>
      </c>
      <c r="N1890" s="5" t="str">
        <f t="shared" si="88"/>
        <v>Jan</v>
      </c>
      <c r="O1890" s="5" t="str">
        <f t="shared" si="89"/>
        <v xml:space="preserve"> 2023</v>
      </c>
    </row>
    <row r="1891" spans="1:15" x14ac:dyDescent="0.35">
      <c r="A1891" t="s">
        <v>2621</v>
      </c>
      <c r="B1891" s="5" t="s">
        <v>608</v>
      </c>
      <c r="C1891" s="4" t="s">
        <v>55</v>
      </c>
      <c r="D1891" s="4" t="s">
        <v>56</v>
      </c>
      <c r="E1891" s="4" t="s">
        <v>57</v>
      </c>
      <c r="F1891" s="4" t="s">
        <v>37</v>
      </c>
      <c r="G1891" s="4" t="s">
        <v>38</v>
      </c>
      <c r="H1891" s="4" t="s">
        <v>72</v>
      </c>
      <c r="I1891" s="4" t="s">
        <v>60</v>
      </c>
      <c r="J1891" s="3">
        <v>6</v>
      </c>
      <c r="K1891" s="6">
        <v>251238</v>
      </c>
      <c r="L1891" s="6">
        <f t="shared" si="87"/>
        <v>175866.59999999998</v>
      </c>
      <c r="M1891" s="6">
        <v>75371.400000000023</v>
      </c>
      <c r="N1891" s="5" t="str">
        <f t="shared" si="88"/>
        <v>Mar</v>
      </c>
      <c r="O1891" s="5" t="str">
        <f t="shared" si="89"/>
        <v xml:space="preserve"> 2024</v>
      </c>
    </row>
    <row r="1892" spans="1:15" x14ac:dyDescent="0.35">
      <c r="A1892" t="s">
        <v>2622</v>
      </c>
      <c r="B1892" s="5" t="s">
        <v>260</v>
      </c>
      <c r="C1892" s="4" t="s">
        <v>13</v>
      </c>
      <c r="D1892" s="4" t="s">
        <v>118</v>
      </c>
      <c r="E1892" s="4" t="s">
        <v>119</v>
      </c>
      <c r="F1892" s="4" t="s">
        <v>25</v>
      </c>
      <c r="G1892" s="4" t="s">
        <v>52</v>
      </c>
      <c r="H1892" s="4" t="s">
        <v>27</v>
      </c>
      <c r="I1892" s="4" t="s">
        <v>47</v>
      </c>
      <c r="J1892" s="3">
        <v>7</v>
      </c>
      <c r="K1892" s="6">
        <v>243796</v>
      </c>
      <c r="L1892" s="6">
        <f t="shared" si="87"/>
        <v>170657.19999999998</v>
      </c>
      <c r="M1892" s="6">
        <v>73138.800000000017</v>
      </c>
      <c r="N1892" s="5" t="str">
        <f t="shared" si="88"/>
        <v>Jan</v>
      </c>
      <c r="O1892" s="5" t="str">
        <f t="shared" si="89"/>
        <v xml:space="preserve"> 2023</v>
      </c>
    </row>
    <row r="1893" spans="1:15" x14ac:dyDescent="0.35">
      <c r="A1893" t="s">
        <v>2623</v>
      </c>
      <c r="B1893" s="5" t="s">
        <v>554</v>
      </c>
      <c r="C1893" s="4" t="s">
        <v>55</v>
      </c>
      <c r="D1893" s="4" t="s">
        <v>56</v>
      </c>
      <c r="E1893" s="4" t="s">
        <v>57</v>
      </c>
      <c r="F1893" s="4" t="s">
        <v>67</v>
      </c>
      <c r="G1893" s="4" t="s">
        <v>113</v>
      </c>
      <c r="H1893" s="4" t="s">
        <v>18</v>
      </c>
      <c r="I1893" s="4" t="s">
        <v>28</v>
      </c>
      <c r="J1893" s="3">
        <v>1</v>
      </c>
      <c r="K1893" s="6">
        <v>36050</v>
      </c>
      <c r="L1893" s="6">
        <f t="shared" si="87"/>
        <v>25235</v>
      </c>
      <c r="M1893" s="6">
        <v>10815</v>
      </c>
      <c r="N1893" s="5" t="str">
        <f t="shared" si="88"/>
        <v>Sep</v>
      </c>
      <c r="O1893" s="5" t="str">
        <f t="shared" si="89"/>
        <v xml:space="preserve"> 2023</v>
      </c>
    </row>
    <row r="1894" spans="1:15" x14ac:dyDescent="0.35">
      <c r="A1894" t="s">
        <v>2624</v>
      </c>
      <c r="B1894" s="5" t="s">
        <v>1239</v>
      </c>
      <c r="C1894" s="4" t="s">
        <v>22</v>
      </c>
      <c r="D1894" s="4" t="s">
        <v>23</v>
      </c>
      <c r="E1894" s="4" t="s">
        <v>24</v>
      </c>
      <c r="F1894" s="4" t="s">
        <v>37</v>
      </c>
      <c r="G1894" s="4" t="s">
        <v>183</v>
      </c>
      <c r="H1894" s="4" t="s">
        <v>72</v>
      </c>
      <c r="I1894" s="4" t="s">
        <v>47</v>
      </c>
      <c r="J1894" s="3">
        <v>8</v>
      </c>
      <c r="K1894" s="6">
        <v>82440</v>
      </c>
      <c r="L1894" s="6">
        <f t="shared" si="87"/>
        <v>57707.999999999993</v>
      </c>
      <c r="M1894" s="6">
        <v>24732.000000000007</v>
      </c>
      <c r="N1894" s="5" t="str">
        <f t="shared" si="88"/>
        <v>May</v>
      </c>
      <c r="O1894" s="5" t="str">
        <f t="shared" si="89"/>
        <v xml:space="preserve"> 2023</v>
      </c>
    </row>
    <row r="1895" spans="1:15" x14ac:dyDescent="0.35">
      <c r="A1895" t="s">
        <v>2625</v>
      </c>
      <c r="B1895" s="5" t="s">
        <v>527</v>
      </c>
      <c r="C1895" s="4" t="s">
        <v>55</v>
      </c>
      <c r="D1895" s="4" t="s">
        <v>98</v>
      </c>
      <c r="E1895" s="4" t="s">
        <v>99</v>
      </c>
      <c r="F1895" s="4" t="s">
        <v>25</v>
      </c>
      <c r="G1895" s="4" t="s">
        <v>71</v>
      </c>
      <c r="H1895" s="4" t="s">
        <v>72</v>
      </c>
      <c r="I1895" s="4" t="s">
        <v>47</v>
      </c>
      <c r="J1895" s="3">
        <v>2</v>
      </c>
      <c r="K1895" s="6">
        <v>33408</v>
      </c>
      <c r="L1895" s="6">
        <f t="shared" si="87"/>
        <v>23385.599999999999</v>
      </c>
      <c r="M1895" s="6">
        <v>10022.400000000001</v>
      </c>
      <c r="N1895" s="5" t="str">
        <f t="shared" si="88"/>
        <v>Aug</v>
      </c>
      <c r="O1895" s="5" t="str">
        <f t="shared" si="89"/>
        <v xml:space="preserve"> 2023</v>
      </c>
    </row>
    <row r="1896" spans="1:15" x14ac:dyDescent="0.35">
      <c r="A1896" t="s">
        <v>2626</v>
      </c>
      <c r="B1896" s="5" t="s">
        <v>760</v>
      </c>
      <c r="C1896" s="4" t="s">
        <v>31</v>
      </c>
      <c r="D1896" s="4" t="s">
        <v>45</v>
      </c>
      <c r="E1896" s="4" t="s">
        <v>46</v>
      </c>
      <c r="F1896" s="4" t="s">
        <v>37</v>
      </c>
      <c r="G1896" s="4" t="s">
        <v>38</v>
      </c>
      <c r="H1896" s="4" t="s">
        <v>72</v>
      </c>
      <c r="I1896" s="4" t="s">
        <v>39</v>
      </c>
      <c r="J1896" s="3">
        <v>8</v>
      </c>
      <c r="K1896" s="6">
        <v>36864</v>
      </c>
      <c r="L1896" s="6">
        <f t="shared" si="87"/>
        <v>25804.799999999999</v>
      </c>
      <c r="M1896" s="6">
        <v>11059.2</v>
      </c>
      <c r="N1896" s="5" t="str">
        <f t="shared" si="88"/>
        <v>May</v>
      </c>
      <c r="O1896" s="5" t="str">
        <f t="shared" si="89"/>
        <v xml:space="preserve"> 2023</v>
      </c>
    </row>
    <row r="1897" spans="1:15" x14ac:dyDescent="0.35">
      <c r="A1897" t="s">
        <v>2627</v>
      </c>
      <c r="B1897" s="5" t="s">
        <v>309</v>
      </c>
      <c r="C1897" s="4" t="s">
        <v>31</v>
      </c>
      <c r="D1897" s="4" t="s">
        <v>32</v>
      </c>
      <c r="E1897" s="4" t="s">
        <v>33</v>
      </c>
      <c r="F1897" s="4" t="s">
        <v>37</v>
      </c>
      <c r="G1897" s="4" t="s">
        <v>183</v>
      </c>
      <c r="H1897" s="4" t="s">
        <v>27</v>
      </c>
      <c r="I1897" s="4" t="s">
        <v>39</v>
      </c>
      <c r="J1897" s="3">
        <v>3</v>
      </c>
      <c r="K1897" s="6">
        <v>33552</v>
      </c>
      <c r="L1897" s="6">
        <f t="shared" si="87"/>
        <v>23486.399999999998</v>
      </c>
      <c r="M1897" s="6">
        <v>10065.600000000002</v>
      </c>
      <c r="N1897" s="5" t="str">
        <f t="shared" si="88"/>
        <v>Oct</v>
      </c>
      <c r="O1897" s="5" t="str">
        <f t="shared" si="89"/>
        <v xml:space="preserve"> 2023</v>
      </c>
    </row>
    <row r="1898" spans="1:15" x14ac:dyDescent="0.35">
      <c r="A1898" t="s">
        <v>2628</v>
      </c>
      <c r="B1898" s="5" t="s">
        <v>2629</v>
      </c>
      <c r="C1898" s="4" t="s">
        <v>55</v>
      </c>
      <c r="D1898" s="4" t="s">
        <v>82</v>
      </c>
      <c r="E1898" s="4" t="s">
        <v>83</v>
      </c>
      <c r="F1898" s="4" t="s">
        <v>16</v>
      </c>
      <c r="G1898" s="4" t="s">
        <v>122</v>
      </c>
      <c r="H1898" s="4" t="s">
        <v>72</v>
      </c>
      <c r="I1898" s="4" t="s">
        <v>19</v>
      </c>
      <c r="J1898" s="3">
        <v>1</v>
      </c>
      <c r="K1898" s="6">
        <v>11598</v>
      </c>
      <c r="L1898" s="6">
        <f t="shared" si="87"/>
        <v>8118.5999999999995</v>
      </c>
      <c r="M1898" s="6">
        <v>3479.4000000000005</v>
      </c>
      <c r="N1898" s="5" t="str">
        <f t="shared" si="88"/>
        <v>May</v>
      </c>
      <c r="O1898" s="5" t="str">
        <f t="shared" si="89"/>
        <v xml:space="preserve"> 2023</v>
      </c>
    </row>
    <row r="1899" spans="1:15" x14ac:dyDescent="0.35">
      <c r="A1899" t="s">
        <v>2630</v>
      </c>
      <c r="B1899" s="5" t="s">
        <v>2631</v>
      </c>
      <c r="C1899" s="4" t="s">
        <v>13</v>
      </c>
      <c r="D1899" s="4" t="s">
        <v>118</v>
      </c>
      <c r="E1899" s="4" t="s">
        <v>119</v>
      </c>
      <c r="F1899" s="4" t="s">
        <v>25</v>
      </c>
      <c r="G1899" s="4" t="s">
        <v>77</v>
      </c>
      <c r="H1899" s="4" t="s">
        <v>72</v>
      </c>
      <c r="I1899" s="4" t="s">
        <v>19</v>
      </c>
      <c r="J1899" s="3">
        <v>6</v>
      </c>
      <c r="K1899" s="6">
        <v>203184</v>
      </c>
      <c r="L1899" s="6">
        <f t="shared" si="87"/>
        <v>142228.79999999999</v>
      </c>
      <c r="M1899" s="6">
        <v>60955.200000000012</v>
      </c>
      <c r="N1899" s="5" t="str">
        <f t="shared" si="88"/>
        <v>Jan</v>
      </c>
      <c r="O1899" s="5" t="str">
        <f t="shared" si="89"/>
        <v xml:space="preserve"> 2023</v>
      </c>
    </row>
    <row r="1900" spans="1:15" x14ac:dyDescent="0.35">
      <c r="A1900" t="s">
        <v>2632</v>
      </c>
      <c r="B1900" s="5" t="s">
        <v>295</v>
      </c>
      <c r="C1900" s="4" t="s">
        <v>31</v>
      </c>
      <c r="D1900" s="4" t="s">
        <v>32</v>
      </c>
      <c r="E1900" s="4" t="s">
        <v>33</v>
      </c>
      <c r="F1900" s="4" t="s">
        <v>37</v>
      </c>
      <c r="G1900" s="4" t="s">
        <v>148</v>
      </c>
      <c r="H1900" s="4" t="s">
        <v>18</v>
      </c>
      <c r="I1900" s="4" t="s">
        <v>47</v>
      </c>
      <c r="J1900" s="3">
        <v>9</v>
      </c>
      <c r="K1900" s="6">
        <v>327168</v>
      </c>
      <c r="L1900" s="6">
        <f t="shared" si="87"/>
        <v>229017.59999999998</v>
      </c>
      <c r="M1900" s="6">
        <v>98150.400000000023</v>
      </c>
      <c r="N1900" s="5" t="str">
        <f t="shared" si="88"/>
        <v>Aug</v>
      </c>
      <c r="O1900" s="5" t="str">
        <f t="shared" si="89"/>
        <v xml:space="preserve"> 2024</v>
      </c>
    </row>
    <row r="1901" spans="1:15" x14ac:dyDescent="0.35">
      <c r="A1901" t="s">
        <v>2633</v>
      </c>
      <c r="B1901" s="5" t="s">
        <v>479</v>
      </c>
      <c r="C1901" s="4" t="s">
        <v>55</v>
      </c>
      <c r="D1901" s="4" t="s">
        <v>63</v>
      </c>
      <c r="E1901" s="4" t="s">
        <v>64</v>
      </c>
      <c r="F1901" s="4" t="s">
        <v>67</v>
      </c>
      <c r="G1901" s="4" t="s">
        <v>134</v>
      </c>
      <c r="H1901" s="4" t="s">
        <v>18</v>
      </c>
      <c r="I1901" s="4" t="s">
        <v>39</v>
      </c>
      <c r="J1901" s="3">
        <v>5</v>
      </c>
      <c r="K1901" s="6">
        <v>55965</v>
      </c>
      <c r="L1901" s="6">
        <f t="shared" si="87"/>
        <v>39175.5</v>
      </c>
      <c r="M1901" s="6">
        <v>16789.5</v>
      </c>
      <c r="N1901" s="5" t="str">
        <f t="shared" si="88"/>
        <v>Aug</v>
      </c>
      <c r="O1901" s="5" t="str">
        <f t="shared" si="89"/>
        <v xml:space="preserve"> 2024</v>
      </c>
    </row>
    <row r="1902" spans="1:15" x14ac:dyDescent="0.35">
      <c r="A1902" t="s">
        <v>2634</v>
      </c>
      <c r="B1902" s="5" t="s">
        <v>758</v>
      </c>
      <c r="C1902" s="4" t="s">
        <v>31</v>
      </c>
      <c r="D1902" s="4" t="s">
        <v>32</v>
      </c>
      <c r="E1902" s="4" t="s">
        <v>33</v>
      </c>
      <c r="F1902" s="4" t="s">
        <v>37</v>
      </c>
      <c r="G1902" s="4" t="s">
        <v>186</v>
      </c>
      <c r="H1902" s="4" t="s">
        <v>72</v>
      </c>
      <c r="I1902" s="4" t="s">
        <v>60</v>
      </c>
      <c r="J1902" s="3">
        <v>4</v>
      </c>
      <c r="K1902" s="6">
        <v>172376</v>
      </c>
      <c r="L1902" s="6">
        <f t="shared" si="87"/>
        <v>120663.2</v>
      </c>
      <c r="M1902" s="6">
        <v>51712.800000000003</v>
      </c>
      <c r="N1902" s="5" t="str">
        <f t="shared" si="88"/>
        <v>Jul</v>
      </c>
      <c r="O1902" s="5" t="str">
        <f t="shared" si="89"/>
        <v xml:space="preserve"> 2023</v>
      </c>
    </row>
    <row r="1903" spans="1:15" x14ac:dyDescent="0.35">
      <c r="A1903" t="s">
        <v>2635</v>
      </c>
      <c r="B1903" s="5" t="s">
        <v>1034</v>
      </c>
      <c r="C1903" s="4" t="s">
        <v>31</v>
      </c>
      <c r="D1903" s="4" t="s">
        <v>50</v>
      </c>
      <c r="E1903" s="4" t="s">
        <v>51</v>
      </c>
      <c r="F1903" s="4" t="s">
        <v>16</v>
      </c>
      <c r="G1903" s="4" t="s">
        <v>17</v>
      </c>
      <c r="H1903" s="4" t="s">
        <v>72</v>
      </c>
      <c r="I1903" s="4" t="s">
        <v>47</v>
      </c>
      <c r="J1903" s="3">
        <v>4</v>
      </c>
      <c r="K1903" s="6">
        <v>173656</v>
      </c>
      <c r="L1903" s="6">
        <f t="shared" si="87"/>
        <v>121559.2</v>
      </c>
      <c r="M1903" s="6">
        <v>52096.800000000003</v>
      </c>
      <c r="N1903" s="5" t="str">
        <f t="shared" si="88"/>
        <v>Dec</v>
      </c>
      <c r="O1903" s="5" t="str">
        <f t="shared" si="89"/>
        <v xml:space="preserve"> 2023</v>
      </c>
    </row>
    <row r="1904" spans="1:15" x14ac:dyDescent="0.35">
      <c r="A1904" t="s">
        <v>2636</v>
      </c>
      <c r="B1904" s="5" t="s">
        <v>2011</v>
      </c>
      <c r="C1904" s="4" t="s">
        <v>31</v>
      </c>
      <c r="D1904" s="4" t="s">
        <v>104</v>
      </c>
      <c r="E1904" s="4" t="s">
        <v>105</v>
      </c>
      <c r="F1904" s="4" t="s">
        <v>67</v>
      </c>
      <c r="G1904" s="4" t="s">
        <v>68</v>
      </c>
      <c r="H1904" s="4" t="s">
        <v>72</v>
      </c>
      <c r="I1904" s="4" t="s">
        <v>39</v>
      </c>
      <c r="J1904" s="3">
        <v>7</v>
      </c>
      <c r="K1904" s="6">
        <v>302540</v>
      </c>
      <c r="L1904" s="6">
        <f t="shared" si="87"/>
        <v>211778</v>
      </c>
      <c r="M1904" s="6">
        <v>90762</v>
      </c>
      <c r="N1904" s="5" t="str">
        <f t="shared" si="88"/>
        <v>Apr</v>
      </c>
      <c r="O1904" s="5" t="str">
        <f t="shared" si="89"/>
        <v xml:space="preserve"> 2024</v>
      </c>
    </row>
    <row r="1905" spans="1:15" x14ac:dyDescent="0.35">
      <c r="A1905" t="s">
        <v>2637</v>
      </c>
      <c r="B1905" s="5" t="s">
        <v>2638</v>
      </c>
      <c r="C1905" s="4" t="s">
        <v>13</v>
      </c>
      <c r="D1905" s="4" t="s">
        <v>125</v>
      </c>
      <c r="E1905" s="4" t="s">
        <v>126</v>
      </c>
      <c r="F1905" s="4" t="s">
        <v>25</v>
      </c>
      <c r="G1905" s="4" t="s">
        <v>52</v>
      </c>
      <c r="H1905" s="4" t="s">
        <v>18</v>
      </c>
      <c r="I1905" s="4" t="s">
        <v>39</v>
      </c>
      <c r="J1905" s="3">
        <v>6</v>
      </c>
      <c r="K1905" s="6">
        <v>209634</v>
      </c>
      <c r="L1905" s="6">
        <f t="shared" si="87"/>
        <v>146743.79999999999</v>
      </c>
      <c r="M1905" s="6">
        <v>62890.200000000012</v>
      </c>
      <c r="N1905" s="5" t="str">
        <f t="shared" si="88"/>
        <v>Dec</v>
      </c>
      <c r="O1905" s="5" t="str">
        <f t="shared" si="89"/>
        <v xml:space="preserve"> 2023</v>
      </c>
    </row>
    <row r="1906" spans="1:15" x14ac:dyDescent="0.35">
      <c r="A1906" t="s">
        <v>2639</v>
      </c>
      <c r="B1906" s="5" t="s">
        <v>785</v>
      </c>
      <c r="C1906" s="4" t="s">
        <v>31</v>
      </c>
      <c r="D1906" s="4" t="s">
        <v>32</v>
      </c>
      <c r="E1906" s="4" t="s">
        <v>33</v>
      </c>
      <c r="F1906" s="4" t="s">
        <v>37</v>
      </c>
      <c r="G1906" s="4" t="s">
        <v>183</v>
      </c>
      <c r="H1906" s="4" t="s">
        <v>72</v>
      </c>
      <c r="I1906" s="4" t="s">
        <v>28</v>
      </c>
      <c r="J1906" s="3">
        <v>6</v>
      </c>
      <c r="K1906" s="6">
        <v>272274</v>
      </c>
      <c r="L1906" s="6">
        <f t="shared" si="87"/>
        <v>190591.8</v>
      </c>
      <c r="M1906" s="6">
        <v>81682.200000000012</v>
      </c>
      <c r="N1906" s="5" t="str">
        <f t="shared" si="88"/>
        <v>Jan</v>
      </c>
      <c r="O1906" s="5" t="str">
        <f t="shared" si="89"/>
        <v xml:space="preserve"> 2023</v>
      </c>
    </row>
    <row r="1907" spans="1:15" x14ac:dyDescent="0.35">
      <c r="A1907" t="s">
        <v>2640</v>
      </c>
      <c r="B1907" s="5" t="s">
        <v>1742</v>
      </c>
      <c r="C1907" s="4" t="s">
        <v>13</v>
      </c>
      <c r="D1907" s="4" t="s">
        <v>162</v>
      </c>
      <c r="E1907" s="4" t="s">
        <v>163</v>
      </c>
      <c r="F1907" s="4" t="s">
        <v>37</v>
      </c>
      <c r="G1907" s="4" t="s">
        <v>38</v>
      </c>
      <c r="H1907" s="4" t="s">
        <v>72</v>
      </c>
      <c r="I1907" s="4" t="s">
        <v>47</v>
      </c>
      <c r="J1907" s="3">
        <v>9</v>
      </c>
      <c r="K1907" s="6">
        <v>234522</v>
      </c>
      <c r="L1907" s="6">
        <f t="shared" si="87"/>
        <v>164165.4</v>
      </c>
      <c r="M1907" s="6">
        <v>70356.600000000006</v>
      </c>
      <c r="N1907" s="5" t="str">
        <f t="shared" si="88"/>
        <v>Oct</v>
      </c>
      <c r="O1907" s="5" t="str">
        <f t="shared" si="89"/>
        <v xml:space="preserve"> 2023</v>
      </c>
    </row>
    <row r="1908" spans="1:15" x14ac:dyDescent="0.35">
      <c r="A1908" t="s">
        <v>2641</v>
      </c>
      <c r="B1908" s="5" t="s">
        <v>448</v>
      </c>
      <c r="C1908" s="4" t="s">
        <v>13</v>
      </c>
      <c r="D1908" s="4" t="s">
        <v>14</v>
      </c>
      <c r="E1908" s="4" t="s">
        <v>15</v>
      </c>
      <c r="F1908" s="4" t="s">
        <v>25</v>
      </c>
      <c r="G1908" s="4" t="s">
        <v>77</v>
      </c>
      <c r="H1908" s="4" t="s">
        <v>27</v>
      </c>
      <c r="I1908" s="4" t="s">
        <v>28</v>
      </c>
      <c r="J1908" s="3">
        <v>2</v>
      </c>
      <c r="K1908" s="6">
        <v>86136</v>
      </c>
      <c r="L1908" s="6">
        <f t="shared" si="87"/>
        <v>60295.199999999997</v>
      </c>
      <c r="M1908" s="6">
        <v>25840.800000000003</v>
      </c>
      <c r="N1908" s="5" t="str">
        <f t="shared" si="88"/>
        <v>Jul</v>
      </c>
      <c r="O1908" s="5" t="str">
        <f t="shared" si="89"/>
        <v xml:space="preserve"> 2023</v>
      </c>
    </row>
    <row r="1909" spans="1:15" x14ac:dyDescent="0.35">
      <c r="A1909" t="s">
        <v>2642</v>
      </c>
      <c r="B1909" s="5" t="s">
        <v>2011</v>
      </c>
      <c r="C1909" s="4" t="s">
        <v>13</v>
      </c>
      <c r="D1909" s="4" t="s">
        <v>118</v>
      </c>
      <c r="E1909" s="4" t="s">
        <v>119</v>
      </c>
      <c r="F1909" s="4" t="s">
        <v>37</v>
      </c>
      <c r="G1909" s="4" t="s">
        <v>183</v>
      </c>
      <c r="H1909" s="4" t="s">
        <v>18</v>
      </c>
      <c r="I1909" s="4" t="s">
        <v>28</v>
      </c>
      <c r="J1909" s="3">
        <v>7</v>
      </c>
      <c r="K1909" s="6">
        <v>207795</v>
      </c>
      <c r="L1909" s="6">
        <f t="shared" si="87"/>
        <v>145456.5</v>
      </c>
      <c r="M1909" s="6">
        <v>62338.5</v>
      </c>
      <c r="N1909" s="5" t="str">
        <f t="shared" si="88"/>
        <v>Apr</v>
      </c>
      <c r="O1909" s="5" t="str">
        <f t="shared" si="89"/>
        <v xml:space="preserve"> 2024</v>
      </c>
    </row>
    <row r="1910" spans="1:15" x14ac:dyDescent="0.35">
      <c r="A1910" t="s">
        <v>2643</v>
      </c>
      <c r="B1910" s="5" t="s">
        <v>491</v>
      </c>
      <c r="C1910" s="4" t="s">
        <v>31</v>
      </c>
      <c r="D1910" s="4" t="s">
        <v>104</v>
      </c>
      <c r="E1910" s="4" t="s">
        <v>105</v>
      </c>
      <c r="F1910" s="4" t="s">
        <v>25</v>
      </c>
      <c r="G1910" s="4" t="s">
        <v>26</v>
      </c>
      <c r="H1910" s="4" t="s">
        <v>27</v>
      </c>
      <c r="I1910" s="4" t="s">
        <v>60</v>
      </c>
      <c r="J1910" s="3">
        <v>3</v>
      </c>
      <c r="K1910" s="6">
        <v>51954</v>
      </c>
      <c r="L1910" s="6">
        <f t="shared" si="87"/>
        <v>36367.799999999996</v>
      </c>
      <c r="M1910" s="6">
        <v>15586.200000000004</v>
      </c>
      <c r="N1910" s="5" t="str">
        <f t="shared" si="88"/>
        <v>Mar</v>
      </c>
      <c r="O1910" s="5" t="str">
        <f t="shared" si="89"/>
        <v xml:space="preserve"> 2024</v>
      </c>
    </row>
    <row r="1911" spans="1:15" x14ac:dyDescent="0.35">
      <c r="A1911" t="s">
        <v>2644</v>
      </c>
      <c r="B1911" s="5" t="s">
        <v>1373</v>
      </c>
      <c r="C1911" s="4" t="s">
        <v>13</v>
      </c>
      <c r="D1911" s="4" t="s">
        <v>118</v>
      </c>
      <c r="E1911" s="4" t="s">
        <v>119</v>
      </c>
      <c r="F1911" s="4" t="s">
        <v>16</v>
      </c>
      <c r="G1911" s="4" t="s">
        <v>34</v>
      </c>
      <c r="H1911" s="4" t="s">
        <v>18</v>
      </c>
      <c r="I1911" s="4" t="s">
        <v>39</v>
      </c>
      <c r="J1911" s="3">
        <v>1</v>
      </c>
      <c r="K1911" s="6">
        <v>23638</v>
      </c>
      <c r="L1911" s="6">
        <f t="shared" si="87"/>
        <v>16546.599999999999</v>
      </c>
      <c r="M1911" s="6">
        <v>7091.4000000000015</v>
      </c>
      <c r="N1911" s="5" t="str">
        <f t="shared" si="88"/>
        <v>Dec</v>
      </c>
      <c r="O1911" s="5" t="str">
        <f t="shared" si="89"/>
        <v xml:space="preserve"> 2023</v>
      </c>
    </row>
    <row r="1912" spans="1:15" x14ac:dyDescent="0.35">
      <c r="A1912" t="s">
        <v>2645</v>
      </c>
      <c r="B1912" s="5" t="s">
        <v>1017</v>
      </c>
      <c r="C1912" s="4" t="s">
        <v>31</v>
      </c>
      <c r="D1912" s="4" t="s">
        <v>50</v>
      </c>
      <c r="E1912" s="4" t="s">
        <v>51</v>
      </c>
      <c r="F1912" s="4" t="s">
        <v>67</v>
      </c>
      <c r="G1912" s="4" t="s">
        <v>180</v>
      </c>
      <c r="H1912" s="4" t="s">
        <v>72</v>
      </c>
      <c r="I1912" s="4" t="s">
        <v>47</v>
      </c>
      <c r="J1912" s="3">
        <v>9</v>
      </c>
      <c r="K1912" s="6">
        <v>184599</v>
      </c>
      <c r="L1912" s="6">
        <f t="shared" si="87"/>
        <v>129219.29999999999</v>
      </c>
      <c r="M1912" s="6">
        <v>55379.700000000012</v>
      </c>
      <c r="N1912" s="5" t="str">
        <f t="shared" si="88"/>
        <v>May</v>
      </c>
      <c r="O1912" s="5" t="str">
        <f t="shared" si="89"/>
        <v xml:space="preserve"> 2024</v>
      </c>
    </row>
    <row r="1913" spans="1:15" x14ac:dyDescent="0.35">
      <c r="A1913" t="s">
        <v>2646</v>
      </c>
      <c r="B1913" s="5" t="s">
        <v>1507</v>
      </c>
      <c r="C1913" s="4" t="s">
        <v>31</v>
      </c>
      <c r="D1913" s="4" t="s">
        <v>50</v>
      </c>
      <c r="E1913" s="4" t="s">
        <v>51</v>
      </c>
      <c r="F1913" s="4" t="s">
        <v>25</v>
      </c>
      <c r="G1913" s="4" t="s">
        <v>26</v>
      </c>
      <c r="H1913" s="4" t="s">
        <v>18</v>
      </c>
      <c r="I1913" s="4" t="s">
        <v>39</v>
      </c>
      <c r="J1913" s="3">
        <v>10</v>
      </c>
      <c r="K1913" s="6">
        <v>359820</v>
      </c>
      <c r="L1913" s="6">
        <f t="shared" si="87"/>
        <v>251873.99999999997</v>
      </c>
      <c r="M1913" s="6">
        <v>107946.00000000003</v>
      </c>
      <c r="N1913" s="5" t="str">
        <f t="shared" si="88"/>
        <v>Oct</v>
      </c>
      <c r="O1913" s="5" t="str">
        <f t="shared" si="89"/>
        <v xml:space="preserve"> 2023</v>
      </c>
    </row>
    <row r="1914" spans="1:15" x14ac:dyDescent="0.35">
      <c r="A1914" t="s">
        <v>2647</v>
      </c>
      <c r="B1914" s="5" t="s">
        <v>723</v>
      </c>
      <c r="C1914" s="4" t="s">
        <v>22</v>
      </c>
      <c r="D1914" s="4" t="s">
        <v>23</v>
      </c>
      <c r="E1914" s="4" t="s">
        <v>24</v>
      </c>
      <c r="F1914" s="4" t="s">
        <v>37</v>
      </c>
      <c r="G1914" s="4" t="s">
        <v>38</v>
      </c>
      <c r="H1914" s="4" t="s">
        <v>27</v>
      </c>
      <c r="I1914" s="4" t="s">
        <v>60</v>
      </c>
      <c r="J1914" s="3">
        <v>7</v>
      </c>
      <c r="K1914" s="6">
        <v>246330</v>
      </c>
      <c r="L1914" s="6">
        <f t="shared" si="87"/>
        <v>172431</v>
      </c>
      <c r="M1914" s="6">
        <v>73899</v>
      </c>
      <c r="N1914" s="5" t="str">
        <f t="shared" si="88"/>
        <v>Jul</v>
      </c>
      <c r="O1914" s="5" t="str">
        <f t="shared" si="89"/>
        <v xml:space="preserve"> 2023</v>
      </c>
    </row>
    <row r="1915" spans="1:15" x14ac:dyDescent="0.35">
      <c r="A1915" t="s">
        <v>2648</v>
      </c>
      <c r="B1915" s="5" t="s">
        <v>872</v>
      </c>
      <c r="C1915" s="4" t="s">
        <v>22</v>
      </c>
      <c r="D1915" s="4" t="s">
        <v>23</v>
      </c>
      <c r="E1915" s="4" t="s">
        <v>24</v>
      </c>
      <c r="F1915" s="4" t="s">
        <v>37</v>
      </c>
      <c r="G1915" s="4" t="s">
        <v>186</v>
      </c>
      <c r="H1915" s="4" t="s">
        <v>72</v>
      </c>
      <c r="I1915" s="4" t="s">
        <v>60</v>
      </c>
      <c r="J1915" s="3">
        <v>8</v>
      </c>
      <c r="K1915" s="6">
        <v>307320</v>
      </c>
      <c r="L1915" s="6">
        <f t="shared" si="87"/>
        <v>215124</v>
      </c>
      <c r="M1915" s="6">
        <v>92196</v>
      </c>
      <c r="N1915" s="5" t="str">
        <f t="shared" si="88"/>
        <v>Jul</v>
      </c>
      <c r="O1915" s="5" t="str">
        <f t="shared" si="89"/>
        <v xml:space="preserve"> 2024</v>
      </c>
    </row>
    <row r="1916" spans="1:15" x14ac:dyDescent="0.35">
      <c r="A1916" t="s">
        <v>2649</v>
      </c>
      <c r="B1916" s="5" t="s">
        <v>662</v>
      </c>
      <c r="C1916" s="4" t="s">
        <v>22</v>
      </c>
      <c r="D1916" s="4" t="s">
        <v>90</v>
      </c>
      <c r="E1916" s="4" t="s">
        <v>110</v>
      </c>
      <c r="F1916" s="4" t="s">
        <v>25</v>
      </c>
      <c r="G1916" s="4" t="s">
        <v>52</v>
      </c>
      <c r="H1916" s="4" t="s">
        <v>27</v>
      </c>
      <c r="I1916" s="4" t="s">
        <v>19</v>
      </c>
      <c r="J1916" s="3">
        <v>5</v>
      </c>
      <c r="K1916" s="6">
        <v>230045</v>
      </c>
      <c r="L1916" s="6">
        <f t="shared" si="87"/>
        <v>161031.5</v>
      </c>
      <c r="M1916" s="6">
        <v>69013.5</v>
      </c>
      <c r="N1916" s="5" t="str">
        <f t="shared" si="88"/>
        <v>Sep</v>
      </c>
      <c r="O1916" s="5" t="str">
        <f t="shared" si="89"/>
        <v xml:space="preserve"> 2024</v>
      </c>
    </row>
    <row r="1917" spans="1:15" x14ac:dyDescent="0.35">
      <c r="A1917" t="s">
        <v>2650</v>
      </c>
      <c r="B1917" s="5" t="s">
        <v>1385</v>
      </c>
      <c r="C1917" s="4" t="s">
        <v>13</v>
      </c>
      <c r="D1917" s="4" t="s">
        <v>118</v>
      </c>
      <c r="E1917" s="4" t="s">
        <v>119</v>
      </c>
      <c r="F1917" s="4" t="s">
        <v>16</v>
      </c>
      <c r="G1917" s="4" t="s">
        <v>34</v>
      </c>
      <c r="H1917" s="4" t="s">
        <v>18</v>
      </c>
      <c r="I1917" s="4" t="s">
        <v>47</v>
      </c>
      <c r="J1917" s="3">
        <v>10</v>
      </c>
      <c r="K1917" s="6">
        <v>158910</v>
      </c>
      <c r="L1917" s="6">
        <f t="shared" si="87"/>
        <v>111237</v>
      </c>
      <c r="M1917" s="6">
        <v>47673</v>
      </c>
      <c r="N1917" s="5" t="str">
        <f t="shared" si="88"/>
        <v>Jun</v>
      </c>
      <c r="O1917" s="5" t="str">
        <f t="shared" si="89"/>
        <v xml:space="preserve"> 2024</v>
      </c>
    </row>
    <row r="1918" spans="1:15" x14ac:dyDescent="0.35">
      <c r="A1918" t="s">
        <v>2651</v>
      </c>
      <c r="B1918" s="5" t="s">
        <v>535</v>
      </c>
      <c r="C1918" s="4" t="s">
        <v>55</v>
      </c>
      <c r="D1918" s="4" t="s">
        <v>63</v>
      </c>
      <c r="E1918" s="4" t="s">
        <v>64</v>
      </c>
      <c r="F1918" s="4" t="s">
        <v>25</v>
      </c>
      <c r="G1918" s="4" t="s">
        <v>26</v>
      </c>
      <c r="H1918" s="4" t="s">
        <v>72</v>
      </c>
      <c r="I1918" s="4" t="s">
        <v>39</v>
      </c>
      <c r="J1918" s="3">
        <v>6</v>
      </c>
      <c r="K1918" s="6">
        <v>144942</v>
      </c>
      <c r="L1918" s="6">
        <f t="shared" si="87"/>
        <v>101459.4</v>
      </c>
      <c r="M1918" s="6">
        <v>43482.600000000006</v>
      </c>
      <c r="N1918" s="5" t="str">
        <f t="shared" si="88"/>
        <v>Sep</v>
      </c>
      <c r="O1918" s="5" t="str">
        <f t="shared" si="89"/>
        <v xml:space="preserve"> 2023</v>
      </c>
    </row>
    <row r="1919" spans="1:15" x14ac:dyDescent="0.35">
      <c r="A1919" t="s">
        <v>2652</v>
      </c>
      <c r="B1919" s="5" t="s">
        <v>1670</v>
      </c>
      <c r="C1919" s="4" t="s">
        <v>31</v>
      </c>
      <c r="D1919" s="4" t="s">
        <v>104</v>
      </c>
      <c r="E1919" s="4" t="s">
        <v>105</v>
      </c>
      <c r="F1919" s="4" t="s">
        <v>37</v>
      </c>
      <c r="G1919" s="4" t="s">
        <v>183</v>
      </c>
      <c r="H1919" s="4" t="s">
        <v>18</v>
      </c>
      <c r="I1919" s="4" t="s">
        <v>47</v>
      </c>
      <c r="J1919" s="3">
        <v>8</v>
      </c>
      <c r="K1919" s="6">
        <v>371848</v>
      </c>
      <c r="L1919" s="6">
        <f t="shared" si="87"/>
        <v>260293.59999999998</v>
      </c>
      <c r="M1919" s="6">
        <v>111554.40000000002</v>
      </c>
      <c r="N1919" s="5" t="str">
        <f t="shared" si="88"/>
        <v>Sep</v>
      </c>
      <c r="O1919" s="5" t="str">
        <f t="shared" si="89"/>
        <v xml:space="preserve"> 2024</v>
      </c>
    </row>
    <row r="1920" spans="1:15" x14ac:dyDescent="0.35">
      <c r="A1920" t="s">
        <v>2653</v>
      </c>
      <c r="B1920" s="5" t="s">
        <v>1556</v>
      </c>
      <c r="C1920" s="4" t="s">
        <v>31</v>
      </c>
      <c r="D1920" s="4" t="s">
        <v>50</v>
      </c>
      <c r="E1920" s="4" t="s">
        <v>51</v>
      </c>
      <c r="F1920" s="4" t="s">
        <v>67</v>
      </c>
      <c r="G1920" s="4" t="s">
        <v>113</v>
      </c>
      <c r="H1920" s="4" t="s">
        <v>18</v>
      </c>
      <c r="I1920" s="4" t="s">
        <v>39</v>
      </c>
      <c r="J1920" s="3">
        <v>10</v>
      </c>
      <c r="K1920" s="6">
        <v>282770</v>
      </c>
      <c r="L1920" s="6">
        <f t="shared" si="87"/>
        <v>197939</v>
      </c>
      <c r="M1920" s="6">
        <v>84831</v>
      </c>
      <c r="N1920" s="5" t="str">
        <f t="shared" si="88"/>
        <v>Jun</v>
      </c>
      <c r="O1920" s="5" t="str">
        <f t="shared" si="89"/>
        <v xml:space="preserve"> 2023</v>
      </c>
    </row>
    <row r="1921" spans="1:15" x14ac:dyDescent="0.35">
      <c r="A1921" t="s">
        <v>2654</v>
      </c>
      <c r="B1921" s="5" t="s">
        <v>1788</v>
      </c>
      <c r="C1921" s="4" t="s">
        <v>55</v>
      </c>
      <c r="D1921" s="4" t="s">
        <v>82</v>
      </c>
      <c r="E1921" s="4" t="s">
        <v>83</v>
      </c>
      <c r="F1921" s="4" t="s">
        <v>16</v>
      </c>
      <c r="G1921" s="4" t="s">
        <v>122</v>
      </c>
      <c r="H1921" s="4" t="s">
        <v>18</v>
      </c>
      <c r="I1921" s="4" t="s">
        <v>19</v>
      </c>
      <c r="J1921" s="3">
        <v>2</v>
      </c>
      <c r="K1921" s="6">
        <v>90390</v>
      </c>
      <c r="L1921" s="6">
        <f t="shared" si="87"/>
        <v>63272.999999999993</v>
      </c>
      <c r="M1921" s="6">
        <v>27117.000000000007</v>
      </c>
      <c r="N1921" s="5" t="str">
        <f t="shared" si="88"/>
        <v>Feb</v>
      </c>
      <c r="O1921" s="5" t="str">
        <f t="shared" si="89"/>
        <v xml:space="preserve"> 2023</v>
      </c>
    </row>
    <row r="1922" spans="1:15" x14ac:dyDescent="0.35">
      <c r="A1922" t="s">
        <v>2655</v>
      </c>
      <c r="B1922" s="5" t="s">
        <v>1287</v>
      </c>
      <c r="C1922" s="4" t="s">
        <v>13</v>
      </c>
      <c r="D1922" s="4" t="s">
        <v>14</v>
      </c>
      <c r="E1922" s="4" t="s">
        <v>15</v>
      </c>
      <c r="F1922" s="4" t="s">
        <v>16</v>
      </c>
      <c r="G1922" s="4" t="s">
        <v>34</v>
      </c>
      <c r="H1922" s="4" t="s">
        <v>72</v>
      </c>
      <c r="I1922" s="4" t="s">
        <v>60</v>
      </c>
      <c r="J1922" s="3">
        <v>8</v>
      </c>
      <c r="K1922" s="6">
        <v>146008</v>
      </c>
      <c r="L1922" s="6">
        <f t="shared" ref="L1922:L1985" si="90">K1922*0.7</f>
        <v>102205.59999999999</v>
      </c>
      <c r="M1922" s="6">
        <v>43802.400000000009</v>
      </c>
      <c r="N1922" s="5" t="str">
        <f t="shared" ref="N1922:N1985" si="91">TEXT(B1922,"mmm")</f>
        <v>Apr</v>
      </c>
      <c r="O1922" s="5" t="str">
        <f t="shared" ref="O1922:O1985" si="92">TEXT(B1922," yyyy")</f>
        <v xml:space="preserve"> 2023</v>
      </c>
    </row>
    <row r="1923" spans="1:15" x14ac:dyDescent="0.35">
      <c r="A1923" t="s">
        <v>2656</v>
      </c>
      <c r="B1923" s="5" t="s">
        <v>300</v>
      </c>
      <c r="C1923" s="4" t="s">
        <v>22</v>
      </c>
      <c r="D1923" s="4" t="s">
        <v>23</v>
      </c>
      <c r="E1923" s="4" t="s">
        <v>24</v>
      </c>
      <c r="F1923" s="4" t="s">
        <v>67</v>
      </c>
      <c r="G1923" s="4" t="s">
        <v>113</v>
      </c>
      <c r="H1923" s="4" t="s">
        <v>18</v>
      </c>
      <c r="I1923" s="4" t="s">
        <v>39</v>
      </c>
      <c r="J1923" s="3">
        <v>1</v>
      </c>
      <c r="K1923" s="6">
        <v>35381</v>
      </c>
      <c r="L1923" s="6">
        <f t="shared" si="90"/>
        <v>24766.699999999997</v>
      </c>
      <c r="M1923" s="6">
        <v>10614.300000000003</v>
      </c>
      <c r="N1923" s="5" t="str">
        <f t="shared" si="91"/>
        <v>Aug</v>
      </c>
      <c r="O1923" s="5" t="str">
        <f t="shared" si="92"/>
        <v xml:space="preserve"> 2023</v>
      </c>
    </row>
    <row r="1924" spans="1:15" x14ac:dyDescent="0.35">
      <c r="A1924" t="s">
        <v>2657</v>
      </c>
      <c r="B1924" s="5" t="s">
        <v>36</v>
      </c>
      <c r="C1924" s="4" t="s">
        <v>31</v>
      </c>
      <c r="D1924" s="4" t="s">
        <v>45</v>
      </c>
      <c r="E1924" s="4" t="s">
        <v>46</v>
      </c>
      <c r="F1924" s="4" t="s">
        <v>37</v>
      </c>
      <c r="G1924" s="4" t="s">
        <v>186</v>
      </c>
      <c r="H1924" s="4" t="s">
        <v>18</v>
      </c>
      <c r="I1924" s="4" t="s">
        <v>39</v>
      </c>
      <c r="J1924" s="3">
        <v>5</v>
      </c>
      <c r="K1924" s="6">
        <v>70135</v>
      </c>
      <c r="L1924" s="6">
        <f t="shared" si="90"/>
        <v>49094.5</v>
      </c>
      <c r="M1924" s="6">
        <v>21040.5</v>
      </c>
      <c r="N1924" s="5" t="str">
        <f t="shared" si="91"/>
        <v>Feb</v>
      </c>
      <c r="O1924" s="5" t="str">
        <f t="shared" si="92"/>
        <v xml:space="preserve"> 2023</v>
      </c>
    </row>
    <row r="1925" spans="1:15" x14ac:dyDescent="0.35">
      <c r="A1925" t="s">
        <v>2658</v>
      </c>
      <c r="B1925" s="5" t="s">
        <v>1563</v>
      </c>
      <c r="C1925" s="4" t="s">
        <v>31</v>
      </c>
      <c r="D1925" s="4" t="s">
        <v>32</v>
      </c>
      <c r="E1925" s="4" t="s">
        <v>33</v>
      </c>
      <c r="F1925" s="4" t="s">
        <v>67</v>
      </c>
      <c r="G1925" s="4" t="s">
        <v>113</v>
      </c>
      <c r="H1925" s="4" t="s">
        <v>27</v>
      </c>
      <c r="I1925" s="4" t="s">
        <v>39</v>
      </c>
      <c r="J1925" s="3">
        <v>9</v>
      </c>
      <c r="K1925" s="6">
        <v>291600</v>
      </c>
      <c r="L1925" s="6">
        <f t="shared" si="90"/>
        <v>204120</v>
      </c>
      <c r="M1925" s="6">
        <v>87480</v>
      </c>
      <c r="N1925" s="5" t="str">
        <f t="shared" si="91"/>
        <v>Jun</v>
      </c>
      <c r="O1925" s="5" t="str">
        <f t="shared" si="92"/>
        <v xml:space="preserve"> 2024</v>
      </c>
    </row>
    <row r="1926" spans="1:15" x14ac:dyDescent="0.35">
      <c r="A1926" t="s">
        <v>2659</v>
      </c>
      <c r="B1926" s="5" t="s">
        <v>192</v>
      </c>
      <c r="C1926" s="4" t="s">
        <v>22</v>
      </c>
      <c r="D1926" s="4" t="s">
        <v>90</v>
      </c>
      <c r="E1926" s="4" t="s">
        <v>110</v>
      </c>
      <c r="F1926" s="4" t="s">
        <v>67</v>
      </c>
      <c r="G1926" s="4" t="s">
        <v>180</v>
      </c>
      <c r="H1926" s="4" t="s">
        <v>27</v>
      </c>
      <c r="I1926" s="4" t="s">
        <v>60</v>
      </c>
      <c r="J1926" s="3">
        <v>5</v>
      </c>
      <c r="K1926" s="6">
        <v>245660</v>
      </c>
      <c r="L1926" s="6">
        <f t="shared" si="90"/>
        <v>171962</v>
      </c>
      <c r="M1926" s="6">
        <v>73698</v>
      </c>
      <c r="N1926" s="5" t="str">
        <f t="shared" si="91"/>
        <v>Sep</v>
      </c>
      <c r="O1926" s="5" t="str">
        <f t="shared" si="92"/>
        <v xml:space="preserve"> 2024</v>
      </c>
    </row>
    <row r="1927" spans="1:15" x14ac:dyDescent="0.35">
      <c r="A1927" t="s">
        <v>2660</v>
      </c>
      <c r="B1927" s="5" t="s">
        <v>1194</v>
      </c>
      <c r="C1927" s="4" t="s">
        <v>31</v>
      </c>
      <c r="D1927" s="4" t="s">
        <v>45</v>
      </c>
      <c r="E1927" s="4" t="s">
        <v>46</v>
      </c>
      <c r="F1927" s="4" t="s">
        <v>37</v>
      </c>
      <c r="G1927" s="4" t="s">
        <v>148</v>
      </c>
      <c r="H1927" s="4" t="s">
        <v>72</v>
      </c>
      <c r="I1927" s="4" t="s">
        <v>39</v>
      </c>
      <c r="J1927" s="3">
        <v>5</v>
      </c>
      <c r="K1927" s="6">
        <v>195795</v>
      </c>
      <c r="L1927" s="6">
        <f t="shared" si="90"/>
        <v>137056.5</v>
      </c>
      <c r="M1927" s="6">
        <v>58738.5</v>
      </c>
      <c r="N1927" s="5" t="str">
        <f t="shared" si="91"/>
        <v>May</v>
      </c>
      <c r="O1927" s="5" t="str">
        <f t="shared" si="92"/>
        <v xml:space="preserve"> 2024</v>
      </c>
    </row>
    <row r="1928" spans="1:15" x14ac:dyDescent="0.35">
      <c r="A1928" t="s">
        <v>2661</v>
      </c>
      <c r="B1928" s="5" t="s">
        <v>1096</v>
      </c>
      <c r="C1928" s="4" t="s">
        <v>13</v>
      </c>
      <c r="D1928" s="4" t="s">
        <v>14</v>
      </c>
      <c r="E1928" s="4" t="s">
        <v>15</v>
      </c>
      <c r="F1928" s="4" t="s">
        <v>25</v>
      </c>
      <c r="G1928" s="4" t="s">
        <v>77</v>
      </c>
      <c r="H1928" s="4" t="s">
        <v>18</v>
      </c>
      <c r="I1928" s="4" t="s">
        <v>39</v>
      </c>
      <c r="J1928" s="3">
        <v>6</v>
      </c>
      <c r="K1928" s="6">
        <v>230760</v>
      </c>
      <c r="L1928" s="6">
        <f t="shared" si="90"/>
        <v>161532</v>
      </c>
      <c r="M1928" s="6">
        <v>69228</v>
      </c>
      <c r="N1928" s="5" t="str">
        <f t="shared" si="91"/>
        <v>Apr</v>
      </c>
      <c r="O1928" s="5" t="str">
        <f t="shared" si="92"/>
        <v xml:space="preserve"> 2023</v>
      </c>
    </row>
    <row r="1929" spans="1:15" x14ac:dyDescent="0.35">
      <c r="A1929" t="s">
        <v>2662</v>
      </c>
      <c r="B1929" s="5" t="s">
        <v>588</v>
      </c>
      <c r="C1929" s="4" t="s">
        <v>22</v>
      </c>
      <c r="D1929" s="4" t="s">
        <v>86</v>
      </c>
      <c r="E1929" s="4" t="s">
        <v>87</v>
      </c>
      <c r="F1929" s="4" t="s">
        <v>67</v>
      </c>
      <c r="G1929" s="4" t="s">
        <v>113</v>
      </c>
      <c r="H1929" s="4" t="s">
        <v>72</v>
      </c>
      <c r="I1929" s="4" t="s">
        <v>28</v>
      </c>
      <c r="J1929" s="3">
        <v>8</v>
      </c>
      <c r="K1929" s="6">
        <v>359160</v>
      </c>
      <c r="L1929" s="6">
        <f t="shared" si="90"/>
        <v>251411.99999999997</v>
      </c>
      <c r="M1929" s="6">
        <v>107748.00000000003</v>
      </c>
      <c r="N1929" s="5" t="str">
        <f t="shared" si="91"/>
        <v>Jun</v>
      </c>
      <c r="O1929" s="5" t="str">
        <f t="shared" si="92"/>
        <v xml:space="preserve"> 2023</v>
      </c>
    </row>
    <row r="1930" spans="1:15" x14ac:dyDescent="0.35">
      <c r="A1930" t="s">
        <v>2663</v>
      </c>
      <c r="B1930" s="5" t="s">
        <v>355</v>
      </c>
      <c r="C1930" s="4" t="s">
        <v>13</v>
      </c>
      <c r="D1930" s="4" t="s">
        <v>125</v>
      </c>
      <c r="E1930" s="4" t="s">
        <v>126</v>
      </c>
      <c r="F1930" s="4" t="s">
        <v>37</v>
      </c>
      <c r="G1930" s="4" t="s">
        <v>38</v>
      </c>
      <c r="H1930" s="4" t="s">
        <v>72</v>
      </c>
      <c r="I1930" s="4" t="s">
        <v>39</v>
      </c>
      <c r="J1930" s="3">
        <v>8</v>
      </c>
      <c r="K1930" s="6">
        <v>169160</v>
      </c>
      <c r="L1930" s="6">
        <f t="shared" si="90"/>
        <v>118411.99999999999</v>
      </c>
      <c r="M1930" s="6">
        <v>50748.000000000015</v>
      </c>
      <c r="N1930" s="5" t="str">
        <f t="shared" si="91"/>
        <v>Jun</v>
      </c>
      <c r="O1930" s="5" t="str">
        <f t="shared" si="92"/>
        <v xml:space="preserve"> 2023</v>
      </c>
    </row>
    <row r="1931" spans="1:15" x14ac:dyDescent="0.35">
      <c r="A1931" t="s">
        <v>2664</v>
      </c>
      <c r="B1931" s="5" t="s">
        <v>2665</v>
      </c>
      <c r="C1931" s="4" t="s">
        <v>13</v>
      </c>
      <c r="D1931" s="4" t="s">
        <v>118</v>
      </c>
      <c r="E1931" s="4" t="s">
        <v>119</v>
      </c>
      <c r="F1931" s="4" t="s">
        <v>37</v>
      </c>
      <c r="G1931" s="4" t="s">
        <v>183</v>
      </c>
      <c r="H1931" s="4" t="s">
        <v>18</v>
      </c>
      <c r="I1931" s="4" t="s">
        <v>19</v>
      </c>
      <c r="J1931" s="3">
        <v>10</v>
      </c>
      <c r="K1931" s="6">
        <v>59530</v>
      </c>
      <c r="L1931" s="6">
        <f t="shared" si="90"/>
        <v>41671</v>
      </c>
      <c r="M1931" s="6">
        <v>17859</v>
      </c>
      <c r="N1931" s="5" t="str">
        <f t="shared" si="91"/>
        <v>Oct</v>
      </c>
      <c r="O1931" s="5" t="str">
        <f t="shared" si="92"/>
        <v xml:space="preserve"> 2023</v>
      </c>
    </row>
    <row r="1932" spans="1:15" x14ac:dyDescent="0.35">
      <c r="A1932" t="s">
        <v>2666</v>
      </c>
      <c r="B1932" s="5" t="s">
        <v>1300</v>
      </c>
      <c r="C1932" s="4" t="s">
        <v>22</v>
      </c>
      <c r="D1932" s="4" t="s">
        <v>90</v>
      </c>
      <c r="E1932" s="4" t="s">
        <v>110</v>
      </c>
      <c r="F1932" s="4" t="s">
        <v>67</v>
      </c>
      <c r="G1932" s="4" t="s">
        <v>180</v>
      </c>
      <c r="H1932" s="4" t="s">
        <v>27</v>
      </c>
      <c r="I1932" s="4" t="s">
        <v>28</v>
      </c>
      <c r="J1932" s="3">
        <v>9</v>
      </c>
      <c r="K1932" s="6">
        <v>379323</v>
      </c>
      <c r="L1932" s="6">
        <f t="shared" si="90"/>
        <v>265526.09999999998</v>
      </c>
      <c r="M1932" s="6">
        <v>113796.90000000002</v>
      </c>
      <c r="N1932" s="5" t="str">
        <f t="shared" si="91"/>
        <v>Apr</v>
      </c>
      <c r="O1932" s="5" t="str">
        <f t="shared" si="92"/>
        <v xml:space="preserve"> 2023</v>
      </c>
    </row>
    <row r="1933" spans="1:15" x14ac:dyDescent="0.35">
      <c r="A1933" t="s">
        <v>2667</v>
      </c>
      <c r="B1933" s="5" t="s">
        <v>723</v>
      </c>
      <c r="C1933" s="4" t="s">
        <v>31</v>
      </c>
      <c r="D1933" s="4" t="s">
        <v>45</v>
      </c>
      <c r="E1933" s="4" t="s">
        <v>46</v>
      </c>
      <c r="F1933" s="4" t="s">
        <v>25</v>
      </c>
      <c r="G1933" s="4" t="s">
        <v>71</v>
      </c>
      <c r="H1933" s="4" t="s">
        <v>72</v>
      </c>
      <c r="I1933" s="4" t="s">
        <v>39</v>
      </c>
      <c r="J1933" s="3">
        <v>1</v>
      </c>
      <c r="K1933" s="6">
        <v>37208</v>
      </c>
      <c r="L1933" s="6">
        <f t="shared" si="90"/>
        <v>26045.599999999999</v>
      </c>
      <c r="M1933" s="6">
        <v>11162.400000000001</v>
      </c>
      <c r="N1933" s="5" t="str">
        <f t="shared" si="91"/>
        <v>Jul</v>
      </c>
      <c r="O1933" s="5" t="str">
        <f t="shared" si="92"/>
        <v xml:space="preserve"> 2023</v>
      </c>
    </row>
    <row r="1934" spans="1:15" x14ac:dyDescent="0.35">
      <c r="A1934" t="s">
        <v>2668</v>
      </c>
      <c r="B1934" s="5" t="s">
        <v>1593</v>
      </c>
      <c r="C1934" s="4" t="s">
        <v>13</v>
      </c>
      <c r="D1934" s="4" t="s">
        <v>118</v>
      </c>
      <c r="E1934" s="4" t="s">
        <v>119</v>
      </c>
      <c r="F1934" s="4" t="s">
        <v>37</v>
      </c>
      <c r="G1934" s="4" t="s">
        <v>148</v>
      </c>
      <c r="H1934" s="4" t="s">
        <v>72</v>
      </c>
      <c r="I1934" s="4" t="s">
        <v>47</v>
      </c>
      <c r="J1934" s="3">
        <v>9</v>
      </c>
      <c r="K1934" s="6">
        <v>81423</v>
      </c>
      <c r="L1934" s="6">
        <f t="shared" si="90"/>
        <v>56996.1</v>
      </c>
      <c r="M1934" s="6">
        <v>24426.9</v>
      </c>
      <c r="N1934" s="5" t="str">
        <f t="shared" si="91"/>
        <v>Dec</v>
      </c>
      <c r="O1934" s="5" t="str">
        <f t="shared" si="92"/>
        <v xml:space="preserve"> 2023</v>
      </c>
    </row>
    <row r="1935" spans="1:15" x14ac:dyDescent="0.35">
      <c r="A1935" t="s">
        <v>2669</v>
      </c>
      <c r="B1935" s="5" t="s">
        <v>779</v>
      </c>
      <c r="C1935" s="4" t="s">
        <v>55</v>
      </c>
      <c r="D1935" s="4" t="s">
        <v>56</v>
      </c>
      <c r="E1935" s="4" t="s">
        <v>57</v>
      </c>
      <c r="F1935" s="4" t="s">
        <v>25</v>
      </c>
      <c r="G1935" s="4" t="s">
        <v>52</v>
      </c>
      <c r="H1935" s="4" t="s">
        <v>27</v>
      </c>
      <c r="I1935" s="4" t="s">
        <v>19</v>
      </c>
      <c r="J1935" s="3">
        <v>8</v>
      </c>
      <c r="K1935" s="6">
        <v>276408</v>
      </c>
      <c r="L1935" s="6">
        <f t="shared" si="90"/>
        <v>193485.59999999998</v>
      </c>
      <c r="M1935" s="6">
        <v>82922.400000000023</v>
      </c>
      <c r="N1935" s="5" t="str">
        <f t="shared" si="91"/>
        <v>Aug</v>
      </c>
      <c r="O1935" s="5" t="str">
        <f t="shared" si="92"/>
        <v xml:space="preserve"> 2023</v>
      </c>
    </row>
    <row r="1936" spans="1:15" x14ac:dyDescent="0.35">
      <c r="A1936" t="s">
        <v>2670</v>
      </c>
      <c r="B1936" s="5" t="s">
        <v>1334</v>
      </c>
      <c r="C1936" s="4" t="s">
        <v>31</v>
      </c>
      <c r="D1936" s="4" t="s">
        <v>45</v>
      </c>
      <c r="E1936" s="4" t="s">
        <v>46</v>
      </c>
      <c r="F1936" s="4" t="s">
        <v>25</v>
      </c>
      <c r="G1936" s="4" t="s">
        <v>26</v>
      </c>
      <c r="H1936" s="4" t="s">
        <v>27</v>
      </c>
      <c r="I1936" s="4" t="s">
        <v>47</v>
      </c>
      <c r="J1936" s="3">
        <v>3</v>
      </c>
      <c r="K1936" s="6">
        <v>7443</v>
      </c>
      <c r="L1936" s="6">
        <f t="shared" si="90"/>
        <v>5210.0999999999995</v>
      </c>
      <c r="M1936" s="6">
        <v>2232.9000000000005</v>
      </c>
      <c r="N1936" s="5" t="str">
        <f t="shared" si="91"/>
        <v>Mar</v>
      </c>
      <c r="O1936" s="5" t="str">
        <f t="shared" si="92"/>
        <v xml:space="preserve"> 2023</v>
      </c>
    </row>
    <row r="1937" spans="1:15" x14ac:dyDescent="0.35">
      <c r="A1937" t="s">
        <v>2671</v>
      </c>
      <c r="B1937" s="5" t="s">
        <v>581</v>
      </c>
      <c r="C1937" s="4" t="s">
        <v>22</v>
      </c>
      <c r="D1937" s="4" t="s">
        <v>90</v>
      </c>
      <c r="E1937" s="4" t="s">
        <v>110</v>
      </c>
      <c r="F1937" s="4" t="s">
        <v>25</v>
      </c>
      <c r="G1937" s="4" t="s">
        <v>71</v>
      </c>
      <c r="H1937" s="4" t="s">
        <v>18</v>
      </c>
      <c r="I1937" s="4" t="s">
        <v>47</v>
      </c>
      <c r="J1937" s="3">
        <v>4</v>
      </c>
      <c r="K1937" s="6">
        <v>144764</v>
      </c>
      <c r="L1937" s="6">
        <f t="shared" si="90"/>
        <v>101334.79999999999</v>
      </c>
      <c r="M1937" s="6">
        <v>43429.200000000012</v>
      </c>
      <c r="N1937" s="5" t="str">
        <f t="shared" si="91"/>
        <v>Jan</v>
      </c>
      <c r="O1937" s="5" t="str">
        <f t="shared" si="92"/>
        <v xml:space="preserve"> 2024</v>
      </c>
    </row>
    <row r="1938" spans="1:15" x14ac:dyDescent="0.35">
      <c r="A1938" t="s">
        <v>2672</v>
      </c>
      <c r="B1938" s="5" t="s">
        <v>750</v>
      </c>
      <c r="C1938" s="4" t="s">
        <v>22</v>
      </c>
      <c r="D1938" s="4" t="s">
        <v>90</v>
      </c>
      <c r="E1938" s="4" t="s">
        <v>110</v>
      </c>
      <c r="F1938" s="4" t="s">
        <v>67</v>
      </c>
      <c r="G1938" s="4" t="s">
        <v>180</v>
      </c>
      <c r="H1938" s="4" t="s">
        <v>72</v>
      </c>
      <c r="I1938" s="4" t="s">
        <v>28</v>
      </c>
      <c r="J1938" s="3">
        <v>1</v>
      </c>
      <c r="K1938" s="6">
        <v>45606</v>
      </c>
      <c r="L1938" s="6">
        <f t="shared" si="90"/>
        <v>31924.199999999997</v>
      </c>
      <c r="M1938" s="6">
        <v>13681.800000000003</v>
      </c>
      <c r="N1938" s="5" t="str">
        <f t="shared" si="91"/>
        <v>Nov</v>
      </c>
      <c r="O1938" s="5" t="str">
        <f t="shared" si="92"/>
        <v xml:space="preserve"> 2023</v>
      </c>
    </row>
    <row r="1939" spans="1:15" x14ac:dyDescent="0.35">
      <c r="A1939" t="s">
        <v>2673</v>
      </c>
      <c r="B1939" s="5" t="s">
        <v>861</v>
      </c>
      <c r="C1939" s="4" t="s">
        <v>31</v>
      </c>
      <c r="D1939" s="4" t="s">
        <v>50</v>
      </c>
      <c r="E1939" s="4" t="s">
        <v>51</v>
      </c>
      <c r="F1939" s="4" t="s">
        <v>67</v>
      </c>
      <c r="G1939" s="4" t="s">
        <v>134</v>
      </c>
      <c r="H1939" s="4" t="s">
        <v>18</v>
      </c>
      <c r="I1939" s="4" t="s">
        <v>28</v>
      </c>
      <c r="J1939" s="3">
        <v>9</v>
      </c>
      <c r="K1939" s="6">
        <v>51075</v>
      </c>
      <c r="L1939" s="6">
        <f t="shared" si="90"/>
        <v>35752.5</v>
      </c>
      <c r="M1939" s="6">
        <v>15322.5</v>
      </c>
      <c r="N1939" s="5" t="str">
        <f t="shared" si="91"/>
        <v>Aug</v>
      </c>
      <c r="O1939" s="5" t="str">
        <f t="shared" si="92"/>
        <v xml:space="preserve"> 2023</v>
      </c>
    </row>
    <row r="1940" spans="1:15" x14ac:dyDescent="0.35">
      <c r="A1940" t="s">
        <v>2674</v>
      </c>
      <c r="B1940" s="5" t="s">
        <v>1465</v>
      </c>
      <c r="C1940" s="4" t="s">
        <v>22</v>
      </c>
      <c r="D1940" s="4" t="s">
        <v>23</v>
      </c>
      <c r="E1940" s="4" t="s">
        <v>24</v>
      </c>
      <c r="F1940" s="4" t="s">
        <v>67</v>
      </c>
      <c r="G1940" s="4" t="s">
        <v>180</v>
      </c>
      <c r="H1940" s="4" t="s">
        <v>72</v>
      </c>
      <c r="I1940" s="4" t="s">
        <v>39</v>
      </c>
      <c r="J1940" s="3">
        <v>3</v>
      </c>
      <c r="K1940" s="6">
        <v>86916</v>
      </c>
      <c r="L1940" s="6">
        <f t="shared" si="90"/>
        <v>60841.2</v>
      </c>
      <c r="M1940" s="6">
        <v>26074.800000000003</v>
      </c>
      <c r="N1940" s="5" t="str">
        <f t="shared" si="91"/>
        <v>Aug</v>
      </c>
      <c r="O1940" s="5" t="str">
        <f t="shared" si="92"/>
        <v xml:space="preserve"> 2023</v>
      </c>
    </row>
    <row r="1941" spans="1:15" x14ac:dyDescent="0.35">
      <c r="A1941" t="s">
        <v>2675</v>
      </c>
      <c r="B1941" s="5" t="s">
        <v>302</v>
      </c>
      <c r="C1941" s="4" t="s">
        <v>55</v>
      </c>
      <c r="D1941" s="4" t="s">
        <v>56</v>
      </c>
      <c r="E1941" s="4" t="s">
        <v>57</v>
      </c>
      <c r="F1941" s="4" t="s">
        <v>67</v>
      </c>
      <c r="G1941" s="4" t="s">
        <v>113</v>
      </c>
      <c r="H1941" s="4" t="s">
        <v>72</v>
      </c>
      <c r="I1941" s="4" t="s">
        <v>39</v>
      </c>
      <c r="J1941" s="3">
        <v>1</v>
      </c>
      <c r="K1941" s="6">
        <v>6615</v>
      </c>
      <c r="L1941" s="6">
        <f t="shared" si="90"/>
        <v>4630.5</v>
      </c>
      <c r="M1941" s="6">
        <v>1984.5</v>
      </c>
      <c r="N1941" s="5" t="str">
        <f t="shared" si="91"/>
        <v>Nov</v>
      </c>
      <c r="O1941" s="5" t="str">
        <f t="shared" si="92"/>
        <v xml:space="preserve"> 2023</v>
      </c>
    </row>
    <row r="1942" spans="1:15" x14ac:dyDescent="0.35">
      <c r="A1942" t="s">
        <v>2676</v>
      </c>
      <c r="B1942" s="5" t="s">
        <v>2356</v>
      </c>
      <c r="C1942" s="4" t="s">
        <v>31</v>
      </c>
      <c r="D1942" s="4" t="s">
        <v>32</v>
      </c>
      <c r="E1942" s="4" t="s">
        <v>33</v>
      </c>
      <c r="F1942" s="4" t="s">
        <v>16</v>
      </c>
      <c r="G1942" s="4" t="s">
        <v>17</v>
      </c>
      <c r="H1942" s="4" t="s">
        <v>18</v>
      </c>
      <c r="I1942" s="4" t="s">
        <v>28</v>
      </c>
      <c r="J1942" s="3">
        <v>10</v>
      </c>
      <c r="K1942" s="6">
        <v>499280</v>
      </c>
      <c r="L1942" s="6">
        <f t="shared" si="90"/>
        <v>349496</v>
      </c>
      <c r="M1942" s="6">
        <v>149784</v>
      </c>
      <c r="N1942" s="5" t="str">
        <f t="shared" si="91"/>
        <v>Mar</v>
      </c>
      <c r="O1942" s="5" t="str">
        <f t="shared" si="92"/>
        <v xml:space="preserve"> 2024</v>
      </c>
    </row>
    <row r="1943" spans="1:15" x14ac:dyDescent="0.35">
      <c r="A1943" t="s">
        <v>2677</v>
      </c>
      <c r="B1943" s="5" t="s">
        <v>734</v>
      </c>
      <c r="C1943" s="4" t="s">
        <v>13</v>
      </c>
      <c r="D1943" s="4" t="s">
        <v>162</v>
      </c>
      <c r="E1943" s="4" t="s">
        <v>163</v>
      </c>
      <c r="F1943" s="4" t="s">
        <v>67</v>
      </c>
      <c r="G1943" s="4" t="s">
        <v>113</v>
      </c>
      <c r="H1943" s="4" t="s">
        <v>72</v>
      </c>
      <c r="I1943" s="4" t="s">
        <v>60</v>
      </c>
      <c r="J1943" s="3">
        <v>10</v>
      </c>
      <c r="K1943" s="6">
        <v>400680</v>
      </c>
      <c r="L1943" s="6">
        <f t="shared" si="90"/>
        <v>280476</v>
      </c>
      <c r="M1943" s="6">
        <v>120204</v>
      </c>
      <c r="N1943" s="5" t="str">
        <f t="shared" si="91"/>
        <v>Jun</v>
      </c>
      <c r="O1943" s="5" t="str">
        <f t="shared" si="92"/>
        <v xml:space="preserve"> 2023</v>
      </c>
    </row>
    <row r="1944" spans="1:15" x14ac:dyDescent="0.35">
      <c r="A1944" t="s">
        <v>2678</v>
      </c>
      <c r="B1944" s="5" t="s">
        <v>89</v>
      </c>
      <c r="C1944" s="4" t="s">
        <v>31</v>
      </c>
      <c r="D1944" s="4" t="s">
        <v>50</v>
      </c>
      <c r="E1944" s="4" t="s">
        <v>51</v>
      </c>
      <c r="F1944" s="4" t="s">
        <v>67</v>
      </c>
      <c r="G1944" s="4" t="s">
        <v>68</v>
      </c>
      <c r="H1944" s="4" t="s">
        <v>27</v>
      </c>
      <c r="I1944" s="4" t="s">
        <v>60</v>
      </c>
      <c r="J1944" s="3">
        <v>2</v>
      </c>
      <c r="K1944" s="6">
        <v>32716</v>
      </c>
      <c r="L1944" s="6">
        <f t="shared" si="90"/>
        <v>22901.199999999997</v>
      </c>
      <c r="M1944" s="6">
        <v>9814.8000000000029</v>
      </c>
      <c r="N1944" s="5" t="str">
        <f t="shared" si="91"/>
        <v>Mar</v>
      </c>
      <c r="O1944" s="5" t="str">
        <f t="shared" si="92"/>
        <v xml:space="preserve"> 2023</v>
      </c>
    </row>
    <row r="1945" spans="1:15" x14ac:dyDescent="0.35">
      <c r="A1945" t="s">
        <v>2679</v>
      </c>
      <c r="B1945" s="5" t="s">
        <v>248</v>
      </c>
      <c r="C1945" s="4" t="s">
        <v>55</v>
      </c>
      <c r="D1945" s="4" t="s">
        <v>82</v>
      </c>
      <c r="E1945" s="4" t="s">
        <v>83</v>
      </c>
      <c r="F1945" s="4" t="s">
        <v>37</v>
      </c>
      <c r="G1945" s="4" t="s">
        <v>186</v>
      </c>
      <c r="H1945" s="4" t="s">
        <v>27</v>
      </c>
      <c r="I1945" s="4" t="s">
        <v>60</v>
      </c>
      <c r="J1945" s="3">
        <v>1</v>
      </c>
      <c r="K1945" s="6">
        <v>34928</v>
      </c>
      <c r="L1945" s="6">
        <f t="shared" si="90"/>
        <v>24449.599999999999</v>
      </c>
      <c r="M1945" s="6">
        <v>10478.400000000001</v>
      </c>
      <c r="N1945" s="5" t="str">
        <f t="shared" si="91"/>
        <v>Jun</v>
      </c>
      <c r="O1945" s="5" t="str">
        <f t="shared" si="92"/>
        <v xml:space="preserve"> 2024</v>
      </c>
    </row>
    <row r="1946" spans="1:15" x14ac:dyDescent="0.35">
      <c r="A1946" t="s">
        <v>2680</v>
      </c>
      <c r="B1946" s="5" t="s">
        <v>2186</v>
      </c>
      <c r="C1946" s="4" t="s">
        <v>31</v>
      </c>
      <c r="D1946" s="4" t="s">
        <v>45</v>
      </c>
      <c r="E1946" s="4" t="s">
        <v>46</v>
      </c>
      <c r="F1946" s="4" t="s">
        <v>37</v>
      </c>
      <c r="G1946" s="4" t="s">
        <v>148</v>
      </c>
      <c r="H1946" s="4" t="s">
        <v>27</v>
      </c>
      <c r="I1946" s="4" t="s">
        <v>19</v>
      </c>
      <c r="J1946" s="3">
        <v>10</v>
      </c>
      <c r="K1946" s="6">
        <v>433930</v>
      </c>
      <c r="L1946" s="6">
        <f t="shared" si="90"/>
        <v>303751</v>
      </c>
      <c r="M1946" s="6">
        <v>130179</v>
      </c>
      <c r="N1946" s="5" t="str">
        <f t="shared" si="91"/>
        <v>Mar</v>
      </c>
      <c r="O1946" s="5" t="str">
        <f t="shared" si="92"/>
        <v xml:space="preserve"> 2024</v>
      </c>
    </row>
    <row r="1947" spans="1:15" x14ac:dyDescent="0.35">
      <c r="A1947" t="s">
        <v>2681</v>
      </c>
      <c r="B1947" s="5" t="s">
        <v>2428</v>
      </c>
      <c r="C1947" s="4" t="s">
        <v>22</v>
      </c>
      <c r="D1947" s="4" t="s">
        <v>86</v>
      </c>
      <c r="E1947" s="4" t="s">
        <v>87</v>
      </c>
      <c r="F1947" s="4" t="s">
        <v>67</v>
      </c>
      <c r="G1947" s="4" t="s">
        <v>180</v>
      </c>
      <c r="H1947" s="4" t="s">
        <v>18</v>
      </c>
      <c r="I1947" s="4" t="s">
        <v>60</v>
      </c>
      <c r="J1947" s="3">
        <v>3</v>
      </c>
      <c r="K1947" s="6">
        <v>21933</v>
      </c>
      <c r="L1947" s="6">
        <f t="shared" si="90"/>
        <v>15353.099999999999</v>
      </c>
      <c r="M1947" s="6">
        <v>6579.9000000000015</v>
      </c>
      <c r="N1947" s="5" t="str">
        <f t="shared" si="91"/>
        <v>Apr</v>
      </c>
      <c r="O1947" s="5" t="str">
        <f t="shared" si="92"/>
        <v xml:space="preserve"> 2024</v>
      </c>
    </row>
    <row r="1948" spans="1:15" x14ac:dyDescent="0.35">
      <c r="A1948" t="s">
        <v>2682</v>
      </c>
      <c r="B1948" s="5" t="s">
        <v>1352</v>
      </c>
      <c r="C1948" s="4" t="s">
        <v>13</v>
      </c>
      <c r="D1948" s="4" t="s">
        <v>162</v>
      </c>
      <c r="E1948" s="4" t="s">
        <v>163</v>
      </c>
      <c r="F1948" s="4" t="s">
        <v>25</v>
      </c>
      <c r="G1948" s="4" t="s">
        <v>52</v>
      </c>
      <c r="H1948" s="4" t="s">
        <v>72</v>
      </c>
      <c r="I1948" s="4" t="s">
        <v>47</v>
      </c>
      <c r="J1948" s="3">
        <v>6</v>
      </c>
      <c r="K1948" s="6">
        <v>16626</v>
      </c>
      <c r="L1948" s="6">
        <f t="shared" si="90"/>
        <v>11638.199999999999</v>
      </c>
      <c r="M1948" s="6">
        <v>4987.8000000000011</v>
      </c>
      <c r="N1948" s="5" t="str">
        <f t="shared" si="91"/>
        <v>Feb</v>
      </c>
      <c r="O1948" s="5" t="str">
        <f t="shared" si="92"/>
        <v xml:space="preserve"> 2023</v>
      </c>
    </row>
    <row r="1949" spans="1:15" x14ac:dyDescent="0.35">
      <c r="A1949" t="s">
        <v>2683</v>
      </c>
      <c r="B1949" s="5" t="s">
        <v>1106</v>
      </c>
      <c r="C1949" s="4" t="s">
        <v>22</v>
      </c>
      <c r="D1949" s="4" t="s">
        <v>23</v>
      </c>
      <c r="E1949" s="4" t="s">
        <v>24</v>
      </c>
      <c r="F1949" s="4" t="s">
        <v>37</v>
      </c>
      <c r="G1949" s="4" t="s">
        <v>183</v>
      </c>
      <c r="H1949" s="4" t="s">
        <v>27</v>
      </c>
      <c r="I1949" s="4" t="s">
        <v>28</v>
      </c>
      <c r="J1949" s="3">
        <v>8</v>
      </c>
      <c r="K1949" s="6">
        <v>10648</v>
      </c>
      <c r="L1949" s="6">
        <f t="shared" si="90"/>
        <v>7453.5999999999995</v>
      </c>
      <c r="M1949" s="6">
        <v>3194.4000000000005</v>
      </c>
      <c r="N1949" s="5" t="str">
        <f t="shared" si="91"/>
        <v>Jun</v>
      </c>
      <c r="O1949" s="5" t="str">
        <f t="shared" si="92"/>
        <v xml:space="preserve"> 2024</v>
      </c>
    </row>
    <row r="1950" spans="1:15" x14ac:dyDescent="0.35">
      <c r="A1950" t="s">
        <v>2684</v>
      </c>
      <c r="B1950" s="5" t="s">
        <v>1770</v>
      </c>
      <c r="C1950" s="4" t="s">
        <v>55</v>
      </c>
      <c r="D1950" s="4" t="s">
        <v>63</v>
      </c>
      <c r="E1950" s="4" t="s">
        <v>64</v>
      </c>
      <c r="F1950" s="4" t="s">
        <v>37</v>
      </c>
      <c r="G1950" s="4" t="s">
        <v>148</v>
      </c>
      <c r="H1950" s="4" t="s">
        <v>27</v>
      </c>
      <c r="I1950" s="4" t="s">
        <v>60</v>
      </c>
      <c r="J1950" s="3">
        <v>1</v>
      </c>
      <c r="K1950" s="6">
        <v>14165</v>
      </c>
      <c r="L1950" s="6">
        <f t="shared" si="90"/>
        <v>9915.5</v>
      </c>
      <c r="M1950" s="6">
        <v>4249.5</v>
      </c>
      <c r="N1950" s="5" t="str">
        <f t="shared" si="91"/>
        <v>Mar</v>
      </c>
      <c r="O1950" s="5" t="str">
        <f t="shared" si="92"/>
        <v xml:space="preserve"> 2024</v>
      </c>
    </row>
    <row r="1951" spans="1:15" x14ac:dyDescent="0.35">
      <c r="A1951" t="s">
        <v>2685</v>
      </c>
      <c r="B1951" s="5" t="s">
        <v>754</v>
      </c>
      <c r="C1951" s="4" t="s">
        <v>13</v>
      </c>
      <c r="D1951" s="4" t="s">
        <v>14</v>
      </c>
      <c r="E1951" s="4" t="s">
        <v>15</v>
      </c>
      <c r="F1951" s="4" t="s">
        <v>25</v>
      </c>
      <c r="G1951" s="4" t="s">
        <v>52</v>
      </c>
      <c r="H1951" s="4" t="s">
        <v>18</v>
      </c>
      <c r="I1951" s="4" t="s">
        <v>60</v>
      </c>
      <c r="J1951" s="3">
        <v>7</v>
      </c>
      <c r="K1951" s="6">
        <v>37737</v>
      </c>
      <c r="L1951" s="6">
        <f t="shared" si="90"/>
        <v>26415.899999999998</v>
      </c>
      <c r="M1951" s="6">
        <v>11321.100000000002</v>
      </c>
      <c r="N1951" s="5" t="str">
        <f t="shared" si="91"/>
        <v>Jan</v>
      </c>
      <c r="O1951" s="5" t="str">
        <f t="shared" si="92"/>
        <v xml:space="preserve"> 2023</v>
      </c>
    </row>
    <row r="1952" spans="1:15" x14ac:dyDescent="0.35">
      <c r="A1952" t="s">
        <v>2686</v>
      </c>
      <c r="B1952" s="5" t="s">
        <v>1788</v>
      </c>
      <c r="C1952" s="4" t="s">
        <v>55</v>
      </c>
      <c r="D1952" s="4" t="s">
        <v>98</v>
      </c>
      <c r="E1952" s="4" t="s">
        <v>99</v>
      </c>
      <c r="F1952" s="4" t="s">
        <v>16</v>
      </c>
      <c r="G1952" s="4" t="s">
        <v>17</v>
      </c>
      <c r="H1952" s="4" t="s">
        <v>27</v>
      </c>
      <c r="I1952" s="4" t="s">
        <v>28</v>
      </c>
      <c r="J1952" s="3">
        <v>8</v>
      </c>
      <c r="K1952" s="6">
        <v>77952</v>
      </c>
      <c r="L1952" s="6">
        <f t="shared" si="90"/>
        <v>54566.399999999994</v>
      </c>
      <c r="M1952" s="6">
        <v>23385.600000000006</v>
      </c>
      <c r="N1952" s="5" t="str">
        <f t="shared" si="91"/>
        <v>Feb</v>
      </c>
      <c r="O1952" s="5" t="str">
        <f t="shared" si="92"/>
        <v xml:space="preserve"> 2023</v>
      </c>
    </row>
    <row r="1953" spans="1:15" x14ac:dyDescent="0.35">
      <c r="A1953" t="s">
        <v>2687</v>
      </c>
      <c r="B1953" s="5" t="s">
        <v>846</v>
      </c>
      <c r="C1953" s="4" t="s">
        <v>13</v>
      </c>
      <c r="D1953" s="4" t="s">
        <v>118</v>
      </c>
      <c r="E1953" s="4" t="s">
        <v>119</v>
      </c>
      <c r="F1953" s="4" t="s">
        <v>25</v>
      </c>
      <c r="G1953" s="4" t="s">
        <v>77</v>
      </c>
      <c r="H1953" s="4" t="s">
        <v>27</v>
      </c>
      <c r="I1953" s="4" t="s">
        <v>19</v>
      </c>
      <c r="J1953" s="3">
        <v>6</v>
      </c>
      <c r="K1953" s="6">
        <v>106878</v>
      </c>
      <c r="L1953" s="6">
        <f t="shared" si="90"/>
        <v>74814.599999999991</v>
      </c>
      <c r="M1953" s="6">
        <v>32063.400000000009</v>
      </c>
      <c r="N1953" s="5" t="str">
        <f t="shared" si="91"/>
        <v>Oct</v>
      </c>
      <c r="O1953" s="5" t="str">
        <f t="shared" si="92"/>
        <v xml:space="preserve"> 2024</v>
      </c>
    </row>
    <row r="1954" spans="1:15" x14ac:dyDescent="0.35">
      <c r="A1954" t="s">
        <v>2688</v>
      </c>
      <c r="B1954" s="5" t="s">
        <v>1155</v>
      </c>
      <c r="C1954" s="4" t="s">
        <v>13</v>
      </c>
      <c r="D1954" s="4" t="s">
        <v>14</v>
      </c>
      <c r="E1954" s="4" t="s">
        <v>15</v>
      </c>
      <c r="F1954" s="4" t="s">
        <v>16</v>
      </c>
      <c r="G1954" s="4" t="s">
        <v>122</v>
      </c>
      <c r="H1954" s="4" t="s">
        <v>18</v>
      </c>
      <c r="I1954" s="4" t="s">
        <v>60</v>
      </c>
      <c r="J1954" s="3">
        <v>4</v>
      </c>
      <c r="K1954" s="6">
        <v>162084</v>
      </c>
      <c r="L1954" s="6">
        <f t="shared" si="90"/>
        <v>113458.79999999999</v>
      </c>
      <c r="M1954" s="6">
        <v>48625.200000000012</v>
      </c>
      <c r="N1954" s="5" t="str">
        <f t="shared" si="91"/>
        <v>Mar</v>
      </c>
      <c r="O1954" s="5" t="str">
        <f t="shared" si="92"/>
        <v xml:space="preserve"> 2023</v>
      </c>
    </row>
    <row r="1955" spans="1:15" x14ac:dyDescent="0.35">
      <c r="A1955" t="s">
        <v>2689</v>
      </c>
      <c r="B1955" s="5" t="s">
        <v>2052</v>
      </c>
      <c r="C1955" s="4" t="s">
        <v>55</v>
      </c>
      <c r="D1955" s="4" t="s">
        <v>82</v>
      </c>
      <c r="E1955" s="4" t="s">
        <v>83</v>
      </c>
      <c r="F1955" s="4" t="s">
        <v>37</v>
      </c>
      <c r="G1955" s="4" t="s">
        <v>38</v>
      </c>
      <c r="H1955" s="4" t="s">
        <v>72</v>
      </c>
      <c r="I1955" s="4" t="s">
        <v>39</v>
      </c>
      <c r="J1955" s="3">
        <v>2</v>
      </c>
      <c r="K1955" s="6">
        <v>5294</v>
      </c>
      <c r="L1955" s="6">
        <f t="shared" si="90"/>
        <v>3705.7999999999997</v>
      </c>
      <c r="M1955" s="6">
        <v>1588.2000000000003</v>
      </c>
      <c r="N1955" s="5" t="str">
        <f t="shared" si="91"/>
        <v>Sep</v>
      </c>
      <c r="O1955" s="5" t="str">
        <f t="shared" si="92"/>
        <v xml:space="preserve"> 2023</v>
      </c>
    </row>
    <row r="1956" spans="1:15" x14ac:dyDescent="0.35">
      <c r="A1956" t="s">
        <v>2690</v>
      </c>
      <c r="B1956" s="5" t="s">
        <v>849</v>
      </c>
      <c r="C1956" s="4" t="s">
        <v>31</v>
      </c>
      <c r="D1956" s="4" t="s">
        <v>50</v>
      </c>
      <c r="E1956" s="4" t="s">
        <v>51</v>
      </c>
      <c r="F1956" s="4" t="s">
        <v>67</v>
      </c>
      <c r="G1956" s="4" t="s">
        <v>180</v>
      </c>
      <c r="H1956" s="4" t="s">
        <v>27</v>
      </c>
      <c r="I1956" s="4" t="s">
        <v>47</v>
      </c>
      <c r="J1956" s="3">
        <v>9</v>
      </c>
      <c r="K1956" s="6">
        <v>344385</v>
      </c>
      <c r="L1956" s="6">
        <f t="shared" si="90"/>
        <v>241069.49999999997</v>
      </c>
      <c r="M1956" s="6">
        <v>103315.50000000003</v>
      </c>
      <c r="N1956" s="5" t="str">
        <f t="shared" si="91"/>
        <v>Apr</v>
      </c>
      <c r="O1956" s="5" t="str">
        <f t="shared" si="92"/>
        <v xml:space="preserve"> 2024</v>
      </c>
    </row>
    <row r="1957" spans="1:15" x14ac:dyDescent="0.35">
      <c r="A1957" t="s">
        <v>2691</v>
      </c>
      <c r="B1957" s="5" t="s">
        <v>463</v>
      </c>
      <c r="C1957" s="4" t="s">
        <v>55</v>
      </c>
      <c r="D1957" s="4" t="s">
        <v>56</v>
      </c>
      <c r="E1957" s="4" t="s">
        <v>57</v>
      </c>
      <c r="F1957" s="4" t="s">
        <v>25</v>
      </c>
      <c r="G1957" s="4" t="s">
        <v>71</v>
      </c>
      <c r="H1957" s="4" t="s">
        <v>72</v>
      </c>
      <c r="I1957" s="4" t="s">
        <v>19</v>
      </c>
      <c r="J1957" s="3">
        <v>4</v>
      </c>
      <c r="K1957" s="6">
        <v>33384</v>
      </c>
      <c r="L1957" s="6">
        <f t="shared" si="90"/>
        <v>23368.799999999999</v>
      </c>
      <c r="M1957" s="6">
        <v>10015.200000000001</v>
      </c>
      <c r="N1957" s="5" t="str">
        <f t="shared" si="91"/>
        <v>May</v>
      </c>
      <c r="O1957" s="5" t="str">
        <f t="shared" si="92"/>
        <v xml:space="preserve"> 2024</v>
      </c>
    </row>
    <row r="1958" spans="1:15" x14ac:dyDescent="0.35">
      <c r="A1958" t="s">
        <v>2692</v>
      </c>
      <c r="B1958" s="5" t="s">
        <v>339</v>
      </c>
      <c r="C1958" s="4" t="s">
        <v>55</v>
      </c>
      <c r="D1958" s="4" t="s">
        <v>82</v>
      </c>
      <c r="E1958" s="4" t="s">
        <v>83</v>
      </c>
      <c r="F1958" s="4" t="s">
        <v>37</v>
      </c>
      <c r="G1958" s="4" t="s">
        <v>183</v>
      </c>
      <c r="H1958" s="4" t="s">
        <v>72</v>
      </c>
      <c r="I1958" s="4" t="s">
        <v>47</v>
      </c>
      <c r="J1958" s="3">
        <v>9</v>
      </c>
      <c r="K1958" s="6">
        <v>11223</v>
      </c>
      <c r="L1958" s="6">
        <f t="shared" si="90"/>
        <v>7856.0999999999995</v>
      </c>
      <c r="M1958" s="6">
        <v>3366.9000000000005</v>
      </c>
      <c r="N1958" s="5" t="str">
        <f t="shared" si="91"/>
        <v>Jan</v>
      </c>
      <c r="O1958" s="5" t="str">
        <f t="shared" si="92"/>
        <v xml:space="preserve"> 2024</v>
      </c>
    </row>
    <row r="1959" spans="1:15" x14ac:dyDescent="0.35">
      <c r="A1959" t="s">
        <v>2693</v>
      </c>
      <c r="B1959" s="5" t="s">
        <v>223</v>
      </c>
      <c r="C1959" s="4" t="s">
        <v>55</v>
      </c>
      <c r="D1959" s="4" t="s">
        <v>56</v>
      </c>
      <c r="E1959" s="4" t="s">
        <v>57</v>
      </c>
      <c r="F1959" s="4" t="s">
        <v>25</v>
      </c>
      <c r="G1959" s="4" t="s">
        <v>52</v>
      </c>
      <c r="H1959" s="4" t="s">
        <v>72</v>
      </c>
      <c r="I1959" s="4" t="s">
        <v>47</v>
      </c>
      <c r="J1959" s="3">
        <v>7</v>
      </c>
      <c r="K1959" s="6">
        <v>343504</v>
      </c>
      <c r="L1959" s="6">
        <f t="shared" si="90"/>
        <v>240452.8</v>
      </c>
      <c r="M1959" s="6">
        <v>103051.20000000001</v>
      </c>
      <c r="N1959" s="5" t="str">
        <f t="shared" si="91"/>
        <v>Nov</v>
      </c>
      <c r="O1959" s="5" t="str">
        <f t="shared" si="92"/>
        <v xml:space="preserve"> 2024</v>
      </c>
    </row>
    <row r="1960" spans="1:15" x14ac:dyDescent="0.35">
      <c r="A1960" t="s">
        <v>2694</v>
      </c>
      <c r="B1960" s="5" t="s">
        <v>281</v>
      </c>
      <c r="C1960" s="4" t="s">
        <v>55</v>
      </c>
      <c r="D1960" s="4" t="s">
        <v>98</v>
      </c>
      <c r="E1960" s="4" t="s">
        <v>99</v>
      </c>
      <c r="F1960" s="4" t="s">
        <v>16</v>
      </c>
      <c r="G1960" s="4" t="s">
        <v>122</v>
      </c>
      <c r="H1960" s="4" t="s">
        <v>27</v>
      </c>
      <c r="I1960" s="4" t="s">
        <v>19</v>
      </c>
      <c r="J1960" s="3">
        <v>9</v>
      </c>
      <c r="K1960" s="6">
        <v>250668</v>
      </c>
      <c r="L1960" s="6">
        <f t="shared" si="90"/>
        <v>175467.59999999998</v>
      </c>
      <c r="M1960" s="6">
        <v>75200.400000000023</v>
      </c>
      <c r="N1960" s="5" t="str">
        <f t="shared" si="91"/>
        <v>Jun</v>
      </c>
      <c r="O1960" s="5" t="str">
        <f t="shared" si="92"/>
        <v xml:space="preserve"> 2024</v>
      </c>
    </row>
    <row r="1961" spans="1:15" x14ac:dyDescent="0.35">
      <c r="A1961" t="s">
        <v>2695</v>
      </c>
      <c r="B1961" s="5" t="s">
        <v>62</v>
      </c>
      <c r="C1961" s="4" t="s">
        <v>55</v>
      </c>
      <c r="D1961" s="4" t="s">
        <v>56</v>
      </c>
      <c r="E1961" s="4" t="s">
        <v>57</v>
      </c>
      <c r="F1961" s="4" t="s">
        <v>25</v>
      </c>
      <c r="G1961" s="4" t="s">
        <v>52</v>
      </c>
      <c r="H1961" s="4" t="s">
        <v>18</v>
      </c>
      <c r="I1961" s="4" t="s">
        <v>39</v>
      </c>
      <c r="J1961" s="3">
        <v>10</v>
      </c>
      <c r="K1961" s="6">
        <v>382130</v>
      </c>
      <c r="L1961" s="6">
        <f t="shared" si="90"/>
        <v>267491</v>
      </c>
      <c r="M1961" s="6">
        <v>114639</v>
      </c>
      <c r="N1961" s="5" t="str">
        <f t="shared" si="91"/>
        <v>Mar</v>
      </c>
      <c r="O1961" s="5" t="str">
        <f t="shared" si="92"/>
        <v xml:space="preserve"> 2023</v>
      </c>
    </row>
    <row r="1962" spans="1:15" x14ac:dyDescent="0.35">
      <c r="A1962" t="s">
        <v>2696</v>
      </c>
      <c r="B1962" s="5" t="s">
        <v>1336</v>
      </c>
      <c r="C1962" s="4" t="s">
        <v>31</v>
      </c>
      <c r="D1962" s="4" t="s">
        <v>45</v>
      </c>
      <c r="E1962" s="4" t="s">
        <v>46</v>
      </c>
      <c r="F1962" s="4" t="s">
        <v>67</v>
      </c>
      <c r="G1962" s="4" t="s">
        <v>180</v>
      </c>
      <c r="H1962" s="4" t="s">
        <v>72</v>
      </c>
      <c r="I1962" s="4" t="s">
        <v>28</v>
      </c>
      <c r="J1962" s="3">
        <v>10</v>
      </c>
      <c r="K1962" s="6">
        <v>244680</v>
      </c>
      <c r="L1962" s="6">
        <f t="shared" si="90"/>
        <v>171276</v>
      </c>
      <c r="M1962" s="6">
        <v>73404</v>
      </c>
      <c r="N1962" s="5" t="str">
        <f t="shared" si="91"/>
        <v>Apr</v>
      </c>
      <c r="O1962" s="5" t="str">
        <f t="shared" si="92"/>
        <v xml:space="preserve"> 2023</v>
      </c>
    </row>
    <row r="1963" spans="1:15" x14ac:dyDescent="0.35">
      <c r="A1963" t="s">
        <v>2697</v>
      </c>
      <c r="B1963" s="5" t="s">
        <v>70</v>
      </c>
      <c r="C1963" s="4" t="s">
        <v>31</v>
      </c>
      <c r="D1963" s="4" t="s">
        <v>45</v>
      </c>
      <c r="E1963" s="4" t="s">
        <v>46</v>
      </c>
      <c r="F1963" s="4" t="s">
        <v>37</v>
      </c>
      <c r="G1963" s="4" t="s">
        <v>186</v>
      </c>
      <c r="H1963" s="4" t="s">
        <v>72</v>
      </c>
      <c r="I1963" s="4" t="s">
        <v>39</v>
      </c>
      <c r="J1963" s="3">
        <v>6</v>
      </c>
      <c r="K1963" s="6">
        <v>246780</v>
      </c>
      <c r="L1963" s="6">
        <f t="shared" si="90"/>
        <v>172746</v>
      </c>
      <c r="M1963" s="6">
        <v>74034</v>
      </c>
      <c r="N1963" s="5" t="str">
        <f t="shared" si="91"/>
        <v>Jul</v>
      </c>
      <c r="O1963" s="5" t="str">
        <f t="shared" si="92"/>
        <v xml:space="preserve"> 2023</v>
      </c>
    </row>
    <row r="1964" spans="1:15" x14ac:dyDescent="0.35">
      <c r="A1964" t="s">
        <v>2698</v>
      </c>
      <c r="B1964" s="5" t="s">
        <v>234</v>
      </c>
      <c r="C1964" s="4" t="s">
        <v>22</v>
      </c>
      <c r="D1964" s="4" t="s">
        <v>23</v>
      </c>
      <c r="E1964" s="4" t="s">
        <v>24</v>
      </c>
      <c r="F1964" s="4" t="s">
        <v>16</v>
      </c>
      <c r="G1964" s="4" t="s">
        <v>34</v>
      </c>
      <c r="H1964" s="4" t="s">
        <v>72</v>
      </c>
      <c r="I1964" s="4" t="s">
        <v>28</v>
      </c>
      <c r="J1964" s="3">
        <v>7</v>
      </c>
      <c r="K1964" s="6">
        <v>36358</v>
      </c>
      <c r="L1964" s="6">
        <f t="shared" si="90"/>
        <v>25450.6</v>
      </c>
      <c r="M1964" s="6">
        <v>10907.400000000001</v>
      </c>
      <c r="N1964" s="5" t="str">
        <f t="shared" si="91"/>
        <v>May</v>
      </c>
      <c r="O1964" s="5" t="str">
        <f t="shared" si="92"/>
        <v xml:space="preserve"> 2024</v>
      </c>
    </row>
    <row r="1965" spans="1:15" x14ac:dyDescent="0.35">
      <c r="A1965" t="s">
        <v>2699</v>
      </c>
      <c r="B1965" s="5" t="s">
        <v>1111</v>
      </c>
      <c r="C1965" s="4" t="s">
        <v>22</v>
      </c>
      <c r="D1965" s="4" t="s">
        <v>90</v>
      </c>
      <c r="E1965" s="4" t="s">
        <v>91</v>
      </c>
      <c r="F1965" s="4" t="s">
        <v>37</v>
      </c>
      <c r="G1965" s="4" t="s">
        <v>186</v>
      </c>
      <c r="H1965" s="4" t="s">
        <v>72</v>
      </c>
      <c r="I1965" s="4" t="s">
        <v>47</v>
      </c>
      <c r="J1965" s="3">
        <v>1</v>
      </c>
      <c r="K1965" s="6">
        <v>42783</v>
      </c>
      <c r="L1965" s="6">
        <f t="shared" si="90"/>
        <v>29948.1</v>
      </c>
      <c r="M1965" s="6">
        <v>12834.900000000001</v>
      </c>
      <c r="N1965" s="5" t="str">
        <f t="shared" si="91"/>
        <v>May</v>
      </c>
      <c r="O1965" s="5" t="str">
        <f t="shared" si="92"/>
        <v xml:space="preserve"> 2023</v>
      </c>
    </row>
    <row r="1966" spans="1:15" x14ac:dyDescent="0.35">
      <c r="A1966" t="s">
        <v>2700</v>
      </c>
      <c r="B1966" s="5" t="s">
        <v>645</v>
      </c>
      <c r="C1966" s="4" t="s">
        <v>13</v>
      </c>
      <c r="D1966" s="4" t="s">
        <v>162</v>
      </c>
      <c r="E1966" s="4" t="s">
        <v>163</v>
      </c>
      <c r="F1966" s="4" t="s">
        <v>25</v>
      </c>
      <c r="G1966" s="4" t="s">
        <v>26</v>
      </c>
      <c r="H1966" s="4" t="s">
        <v>18</v>
      </c>
      <c r="I1966" s="4" t="s">
        <v>19</v>
      </c>
      <c r="J1966" s="3">
        <v>2</v>
      </c>
      <c r="K1966" s="6">
        <v>13660</v>
      </c>
      <c r="L1966" s="6">
        <f t="shared" si="90"/>
        <v>9562</v>
      </c>
      <c r="M1966" s="6">
        <v>4098</v>
      </c>
      <c r="N1966" s="5" t="str">
        <f t="shared" si="91"/>
        <v>Aug</v>
      </c>
      <c r="O1966" s="5" t="str">
        <f t="shared" si="92"/>
        <v xml:space="preserve"> 2023</v>
      </c>
    </row>
    <row r="1967" spans="1:15" x14ac:dyDescent="0.35">
      <c r="A1967" t="s">
        <v>2701</v>
      </c>
      <c r="B1967" s="5" t="s">
        <v>177</v>
      </c>
      <c r="C1967" s="4" t="s">
        <v>22</v>
      </c>
      <c r="D1967" s="4" t="s">
        <v>23</v>
      </c>
      <c r="E1967" s="4" t="s">
        <v>24</v>
      </c>
      <c r="F1967" s="4" t="s">
        <v>25</v>
      </c>
      <c r="G1967" s="4" t="s">
        <v>52</v>
      </c>
      <c r="H1967" s="4" t="s">
        <v>18</v>
      </c>
      <c r="I1967" s="4" t="s">
        <v>28</v>
      </c>
      <c r="J1967" s="3">
        <v>3</v>
      </c>
      <c r="K1967" s="6">
        <v>68904</v>
      </c>
      <c r="L1967" s="6">
        <f t="shared" si="90"/>
        <v>48232.799999999996</v>
      </c>
      <c r="M1967" s="6">
        <v>20671.200000000004</v>
      </c>
      <c r="N1967" s="5" t="str">
        <f t="shared" si="91"/>
        <v>Sep</v>
      </c>
      <c r="O1967" s="5" t="str">
        <f t="shared" si="92"/>
        <v xml:space="preserve"> 2023</v>
      </c>
    </row>
    <row r="1968" spans="1:15" x14ac:dyDescent="0.35">
      <c r="A1968" t="s">
        <v>2702</v>
      </c>
      <c r="B1968" s="5" t="s">
        <v>626</v>
      </c>
      <c r="C1968" s="4" t="s">
        <v>31</v>
      </c>
      <c r="D1968" s="4" t="s">
        <v>32</v>
      </c>
      <c r="E1968" s="4" t="s">
        <v>33</v>
      </c>
      <c r="F1968" s="4" t="s">
        <v>37</v>
      </c>
      <c r="G1968" s="4" t="s">
        <v>148</v>
      </c>
      <c r="H1968" s="4" t="s">
        <v>72</v>
      </c>
      <c r="I1968" s="4" t="s">
        <v>47</v>
      </c>
      <c r="J1968" s="3">
        <v>10</v>
      </c>
      <c r="K1968" s="6">
        <v>488790</v>
      </c>
      <c r="L1968" s="6">
        <f t="shared" si="90"/>
        <v>342153</v>
      </c>
      <c r="M1968" s="6">
        <v>146637</v>
      </c>
      <c r="N1968" s="5" t="str">
        <f t="shared" si="91"/>
        <v>Oct</v>
      </c>
      <c r="O1968" s="5" t="str">
        <f t="shared" si="92"/>
        <v xml:space="preserve"> 2023</v>
      </c>
    </row>
    <row r="1969" spans="1:15" x14ac:dyDescent="0.35">
      <c r="A1969" t="s">
        <v>2703</v>
      </c>
      <c r="B1969" s="5" t="s">
        <v>2353</v>
      </c>
      <c r="C1969" s="4" t="s">
        <v>13</v>
      </c>
      <c r="D1969" s="4" t="s">
        <v>162</v>
      </c>
      <c r="E1969" s="4" t="s">
        <v>163</v>
      </c>
      <c r="F1969" s="4" t="s">
        <v>16</v>
      </c>
      <c r="G1969" s="4" t="s">
        <v>42</v>
      </c>
      <c r="H1969" s="4" t="s">
        <v>72</v>
      </c>
      <c r="I1969" s="4" t="s">
        <v>60</v>
      </c>
      <c r="J1969" s="3">
        <v>5</v>
      </c>
      <c r="K1969" s="6">
        <v>80800</v>
      </c>
      <c r="L1969" s="6">
        <f t="shared" si="90"/>
        <v>56560</v>
      </c>
      <c r="M1969" s="6">
        <v>24240</v>
      </c>
      <c r="N1969" s="5" t="str">
        <f t="shared" si="91"/>
        <v>Jun</v>
      </c>
      <c r="O1969" s="5" t="str">
        <f t="shared" si="92"/>
        <v xml:space="preserve"> 2024</v>
      </c>
    </row>
    <row r="1970" spans="1:15" x14ac:dyDescent="0.35">
      <c r="A1970" t="s">
        <v>2704</v>
      </c>
      <c r="B1970" s="5" t="s">
        <v>2705</v>
      </c>
      <c r="C1970" s="4" t="s">
        <v>55</v>
      </c>
      <c r="D1970" s="4" t="s">
        <v>56</v>
      </c>
      <c r="E1970" s="4" t="s">
        <v>57</v>
      </c>
      <c r="F1970" s="4" t="s">
        <v>25</v>
      </c>
      <c r="G1970" s="4" t="s">
        <v>77</v>
      </c>
      <c r="H1970" s="4" t="s">
        <v>27</v>
      </c>
      <c r="I1970" s="4" t="s">
        <v>28</v>
      </c>
      <c r="J1970" s="3">
        <v>10</v>
      </c>
      <c r="K1970" s="6">
        <v>381210</v>
      </c>
      <c r="L1970" s="6">
        <f t="shared" si="90"/>
        <v>266847</v>
      </c>
      <c r="M1970" s="6">
        <v>114363</v>
      </c>
      <c r="N1970" s="5" t="str">
        <f t="shared" si="91"/>
        <v>May</v>
      </c>
      <c r="O1970" s="5" t="str">
        <f t="shared" si="92"/>
        <v xml:space="preserve"> 2024</v>
      </c>
    </row>
    <row r="1971" spans="1:15" x14ac:dyDescent="0.35">
      <c r="A1971" t="s">
        <v>2706</v>
      </c>
      <c r="B1971" s="5" t="s">
        <v>600</v>
      </c>
      <c r="C1971" s="4" t="s">
        <v>31</v>
      </c>
      <c r="D1971" s="4" t="s">
        <v>32</v>
      </c>
      <c r="E1971" s="4" t="s">
        <v>33</v>
      </c>
      <c r="F1971" s="4" t="s">
        <v>37</v>
      </c>
      <c r="G1971" s="4" t="s">
        <v>148</v>
      </c>
      <c r="H1971" s="4" t="s">
        <v>72</v>
      </c>
      <c r="I1971" s="4" t="s">
        <v>28</v>
      </c>
      <c r="J1971" s="3">
        <v>4</v>
      </c>
      <c r="K1971" s="6">
        <v>148040</v>
      </c>
      <c r="L1971" s="6">
        <f t="shared" si="90"/>
        <v>103628</v>
      </c>
      <c r="M1971" s="6">
        <v>44412</v>
      </c>
      <c r="N1971" s="5" t="str">
        <f t="shared" si="91"/>
        <v>Nov</v>
      </c>
      <c r="O1971" s="5" t="str">
        <f t="shared" si="92"/>
        <v xml:space="preserve"> 2023</v>
      </c>
    </row>
    <row r="1972" spans="1:15" x14ac:dyDescent="0.35">
      <c r="A1972" t="s">
        <v>2707</v>
      </c>
      <c r="B1972" s="5" t="s">
        <v>688</v>
      </c>
      <c r="C1972" s="4" t="s">
        <v>31</v>
      </c>
      <c r="D1972" s="4" t="s">
        <v>45</v>
      </c>
      <c r="E1972" s="4" t="s">
        <v>46</v>
      </c>
      <c r="F1972" s="4" t="s">
        <v>37</v>
      </c>
      <c r="G1972" s="4" t="s">
        <v>183</v>
      </c>
      <c r="H1972" s="4" t="s">
        <v>18</v>
      </c>
      <c r="I1972" s="4" t="s">
        <v>28</v>
      </c>
      <c r="J1972" s="3">
        <v>7</v>
      </c>
      <c r="K1972" s="6">
        <v>114086</v>
      </c>
      <c r="L1972" s="6">
        <f t="shared" si="90"/>
        <v>79860.2</v>
      </c>
      <c r="M1972" s="6">
        <v>34225.800000000003</v>
      </c>
      <c r="N1972" s="5" t="str">
        <f t="shared" si="91"/>
        <v>Oct</v>
      </c>
      <c r="O1972" s="5" t="str">
        <f t="shared" si="92"/>
        <v xml:space="preserve"> 2024</v>
      </c>
    </row>
    <row r="1973" spans="1:15" x14ac:dyDescent="0.35">
      <c r="A1973" t="s">
        <v>2708</v>
      </c>
      <c r="B1973" s="5" t="s">
        <v>579</v>
      </c>
      <c r="C1973" s="4" t="s">
        <v>13</v>
      </c>
      <c r="D1973" s="4" t="s">
        <v>125</v>
      </c>
      <c r="E1973" s="4" t="s">
        <v>126</v>
      </c>
      <c r="F1973" s="4" t="s">
        <v>67</v>
      </c>
      <c r="G1973" s="4" t="s">
        <v>113</v>
      </c>
      <c r="H1973" s="4" t="s">
        <v>27</v>
      </c>
      <c r="I1973" s="4" t="s">
        <v>60</v>
      </c>
      <c r="J1973" s="3">
        <v>7</v>
      </c>
      <c r="K1973" s="6">
        <v>87983</v>
      </c>
      <c r="L1973" s="6">
        <f t="shared" si="90"/>
        <v>61588.1</v>
      </c>
      <c r="M1973" s="6">
        <v>26394.9</v>
      </c>
      <c r="N1973" s="5" t="str">
        <f t="shared" si="91"/>
        <v>Oct</v>
      </c>
      <c r="O1973" s="5" t="str">
        <f t="shared" si="92"/>
        <v xml:space="preserve"> 2024</v>
      </c>
    </row>
    <row r="1974" spans="1:15" x14ac:dyDescent="0.35">
      <c r="A1974" t="s">
        <v>2709</v>
      </c>
      <c r="B1974" s="5" t="s">
        <v>70</v>
      </c>
      <c r="C1974" s="4" t="s">
        <v>31</v>
      </c>
      <c r="D1974" s="4" t="s">
        <v>45</v>
      </c>
      <c r="E1974" s="4" t="s">
        <v>46</v>
      </c>
      <c r="F1974" s="4" t="s">
        <v>37</v>
      </c>
      <c r="G1974" s="4" t="s">
        <v>183</v>
      </c>
      <c r="H1974" s="4" t="s">
        <v>18</v>
      </c>
      <c r="I1974" s="4" t="s">
        <v>19</v>
      </c>
      <c r="J1974" s="3">
        <v>8</v>
      </c>
      <c r="K1974" s="6">
        <v>147256</v>
      </c>
      <c r="L1974" s="6">
        <f t="shared" si="90"/>
        <v>103079.2</v>
      </c>
      <c r="M1974" s="6">
        <v>44176.800000000003</v>
      </c>
      <c r="N1974" s="5" t="str">
        <f t="shared" si="91"/>
        <v>Jul</v>
      </c>
      <c r="O1974" s="5" t="str">
        <f t="shared" si="92"/>
        <v xml:space="preserve"> 2023</v>
      </c>
    </row>
    <row r="1975" spans="1:15" x14ac:dyDescent="0.35">
      <c r="A1975" t="s">
        <v>2710</v>
      </c>
      <c r="B1975" s="5" t="s">
        <v>1139</v>
      </c>
      <c r="C1975" s="4" t="s">
        <v>31</v>
      </c>
      <c r="D1975" s="4" t="s">
        <v>32</v>
      </c>
      <c r="E1975" s="4" t="s">
        <v>33</v>
      </c>
      <c r="F1975" s="4" t="s">
        <v>16</v>
      </c>
      <c r="G1975" s="4" t="s">
        <v>42</v>
      </c>
      <c r="H1975" s="4" t="s">
        <v>72</v>
      </c>
      <c r="I1975" s="4" t="s">
        <v>28</v>
      </c>
      <c r="J1975" s="3">
        <v>4</v>
      </c>
      <c r="K1975" s="6">
        <v>191304</v>
      </c>
      <c r="L1975" s="6">
        <f t="shared" si="90"/>
        <v>133912.79999999999</v>
      </c>
      <c r="M1975" s="6">
        <v>57391.200000000012</v>
      </c>
      <c r="N1975" s="5" t="str">
        <f t="shared" si="91"/>
        <v>Mar</v>
      </c>
      <c r="O1975" s="5" t="str">
        <f t="shared" si="92"/>
        <v xml:space="preserve"> 2023</v>
      </c>
    </row>
    <row r="1976" spans="1:15" x14ac:dyDescent="0.35">
      <c r="A1976" t="s">
        <v>2711</v>
      </c>
      <c r="B1976" s="5" t="s">
        <v>136</v>
      </c>
      <c r="C1976" s="4" t="s">
        <v>13</v>
      </c>
      <c r="D1976" s="4" t="s">
        <v>118</v>
      </c>
      <c r="E1976" s="4" t="s">
        <v>119</v>
      </c>
      <c r="F1976" s="4" t="s">
        <v>67</v>
      </c>
      <c r="G1976" s="4" t="s">
        <v>113</v>
      </c>
      <c r="H1976" s="4" t="s">
        <v>27</v>
      </c>
      <c r="I1976" s="4" t="s">
        <v>47</v>
      </c>
      <c r="J1976" s="3">
        <v>6</v>
      </c>
      <c r="K1976" s="6">
        <v>183372</v>
      </c>
      <c r="L1976" s="6">
        <f t="shared" si="90"/>
        <v>128360.4</v>
      </c>
      <c r="M1976" s="6">
        <v>55011.600000000006</v>
      </c>
      <c r="N1976" s="5" t="str">
        <f t="shared" si="91"/>
        <v>May</v>
      </c>
      <c r="O1976" s="5" t="str">
        <f t="shared" si="92"/>
        <v xml:space="preserve"> 2023</v>
      </c>
    </row>
    <row r="1977" spans="1:15" x14ac:dyDescent="0.35">
      <c r="A1977" t="s">
        <v>2712</v>
      </c>
      <c r="B1977" s="5" t="s">
        <v>1165</v>
      </c>
      <c r="C1977" s="4" t="s">
        <v>55</v>
      </c>
      <c r="D1977" s="4" t="s">
        <v>98</v>
      </c>
      <c r="E1977" s="4" t="s">
        <v>99</v>
      </c>
      <c r="F1977" s="4" t="s">
        <v>16</v>
      </c>
      <c r="G1977" s="4" t="s">
        <v>34</v>
      </c>
      <c r="H1977" s="4" t="s">
        <v>72</v>
      </c>
      <c r="I1977" s="4" t="s">
        <v>60</v>
      </c>
      <c r="J1977" s="3">
        <v>5</v>
      </c>
      <c r="K1977" s="6">
        <v>64510</v>
      </c>
      <c r="L1977" s="6">
        <f t="shared" si="90"/>
        <v>45157</v>
      </c>
      <c r="M1977" s="6">
        <v>19353</v>
      </c>
      <c r="N1977" s="5" t="str">
        <f t="shared" si="91"/>
        <v>Aug</v>
      </c>
      <c r="O1977" s="5" t="str">
        <f t="shared" si="92"/>
        <v xml:space="preserve"> 2023</v>
      </c>
    </row>
    <row r="1978" spans="1:15" x14ac:dyDescent="0.35">
      <c r="A1978" t="s">
        <v>2713</v>
      </c>
      <c r="B1978" s="5" t="s">
        <v>451</v>
      </c>
      <c r="C1978" s="4" t="s">
        <v>31</v>
      </c>
      <c r="D1978" s="4" t="s">
        <v>32</v>
      </c>
      <c r="E1978" s="4" t="s">
        <v>33</v>
      </c>
      <c r="F1978" s="4" t="s">
        <v>67</v>
      </c>
      <c r="G1978" s="4" t="s">
        <v>180</v>
      </c>
      <c r="H1978" s="4" t="s">
        <v>72</v>
      </c>
      <c r="I1978" s="4" t="s">
        <v>19</v>
      </c>
      <c r="J1978" s="3">
        <v>6</v>
      </c>
      <c r="K1978" s="6">
        <v>283962</v>
      </c>
      <c r="L1978" s="6">
        <f t="shared" si="90"/>
        <v>198773.4</v>
      </c>
      <c r="M1978" s="6">
        <v>85188.6</v>
      </c>
      <c r="N1978" s="5" t="str">
        <f t="shared" si="91"/>
        <v>Feb</v>
      </c>
      <c r="O1978" s="5" t="str">
        <f t="shared" si="92"/>
        <v xml:space="preserve"> 2024</v>
      </c>
    </row>
    <row r="1979" spans="1:15" x14ac:dyDescent="0.35">
      <c r="A1979" t="s">
        <v>2714</v>
      </c>
      <c r="B1979" s="5" t="s">
        <v>213</v>
      </c>
      <c r="C1979" s="4" t="s">
        <v>31</v>
      </c>
      <c r="D1979" s="4" t="s">
        <v>104</v>
      </c>
      <c r="E1979" s="4" t="s">
        <v>105</v>
      </c>
      <c r="F1979" s="4" t="s">
        <v>37</v>
      </c>
      <c r="G1979" s="4" t="s">
        <v>38</v>
      </c>
      <c r="H1979" s="4" t="s">
        <v>72</v>
      </c>
      <c r="I1979" s="4" t="s">
        <v>28</v>
      </c>
      <c r="J1979" s="3">
        <v>8</v>
      </c>
      <c r="K1979" s="6">
        <v>73664</v>
      </c>
      <c r="L1979" s="6">
        <f t="shared" si="90"/>
        <v>51564.799999999996</v>
      </c>
      <c r="M1979" s="6">
        <v>22099.200000000004</v>
      </c>
      <c r="N1979" s="5" t="str">
        <f t="shared" si="91"/>
        <v>Jun</v>
      </c>
      <c r="O1979" s="5" t="str">
        <f t="shared" si="92"/>
        <v xml:space="preserve"> 2024</v>
      </c>
    </row>
    <row r="1980" spans="1:15" x14ac:dyDescent="0.35">
      <c r="A1980" t="s">
        <v>2715</v>
      </c>
      <c r="B1980" s="5" t="s">
        <v>54</v>
      </c>
      <c r="C1980" s="4" t="s">
        <v>31</v>
      </c>
      <c r="D1980" s="4" t="s">
        <v>32</v>
      </c>
      <c r="E1980" s="4" t="s">
        <v>33</v>
      </c>
      <c r="F1980" s="4" t="s">
        <v>25</v>
      </c>
      <c r="G1980" s="4" t="s">
        <v>52</v>
      </c>
      <c r="H1980" s="4" t="s">
        <v>18</v>
      </c>
      <c r="I1980" s="4" t="s">
        <v>28</v>
      </c>
      <c r="J1980" s="3">
        <v>1</v>
      </c>
      <c r="K1980" s="6">
        <v>48947</v>
      </c>
      <c r="L1980" s="6">
        <f t="shared" si="90"/>
        <v>34262.9</v>
      </c>
      <c r="M1980" s="6">
        <v>14684.099999999999</v>
      </c>
      <c r="N1980" s="5" t="str">
        <f t="shared" si="91"/>
        <v>Jun</v>
      </c>
      <c r="O1980" s="5" t="str">
        <f t="shared" si="92"/>
        <v xml:space="preserve"> 2024</v>
      </c>
    </row>
    <row r="1981" spans="1:15" x14ac:dyDescent="0.35">
      <c r="A1981" t="s">
        <v>2716</v>
      </c>
      <c r="B1981" s="5" t="s">
        <v>762</v>
      </c>
      <c r="C1981" s="4" t="s">
        <v>55</v>
      </c>
      <c r="D1981" s="4" t="s">
        <v>56</v>
      </c>
      <c r="E1981" s="4" t="s">
        <v>57</v>
      </c>
      <c r="F1981" s="4" t="s">
        <v>37</v>
      </c>
      <c r="G1981" s="4" t="s">
        <v>148</v>
      </c>
      <c r="H1981" s="4" t="s">
        <v>18</v>
      </c>
      <c r="I1981" s="4" t="s">
        <v>47</v>
      </c>
      <c r="J1981" s="3">
        <v>10</v>
      </c>
      <c r="K1981" s="6">
        <v>17210</v>
      </c>
      <c r="L1981" s="6">
        <f t="shared" si="90"/>
        <v>12047</v>
      </c>
      <c r="M1981" s="6">
        <v>5163</v>
      </c>
      <c r="N1981" s="5" t="str">
        <f t="shared" si="91"/>
        <v>Nov</v>
      </c>
      <c r="O1981" s="5" t="str">
        <f t="shared" si="92"/>
        <v xml:space="preserve"> 2023</v>
      </c>
    </row>
    <row r="1982" spans="1:15" x14ac:dyDescent="0.35">
      <c r="A1982" t="s">
        <v>2717</v>
      </c>
      <c r="B1982" s="5" t="s">
        <v>1340</v>
      </c>
      <c r="C1982" s="4" t="s">
        <v>55</v>
      </c>
      <c r="D1982" s="4" t="s">
        <v>98</v>
      </c>
      <c r="E1982" s="4" t="s">
        <v>99</v>
      </c>
      <c r="F1982" s="4" t="s">
        <v>37</v>
      </c>
      <c r="G1982" s="4" t="s">
        <v>186</v>
      </c>
      <c r="H1982" s="4" t="s">
        <v>27</v>
      </c>
      <c r="I1982" s="4" t="s">
        <v>47</v>
      </c>
      <c r="J1982" s="3">
        <v>5</v>
      </c>
      <c r="K1982" s="6">
        <v>6600</v>
      </c>
      <c r="L1982" s="6">
        <f t="shared" si="90"/>
        <v>4620</v>
      </c>
      <c r="M1982" s="6">
        <v>1980</v>
      </c>
      <c r="N1982" s="5" t="str">
        <f t="shared" si="91"/>
        <v>Nov</v>
      </c>
      <c r="O1982" s="5" t="str">
        <f t="shared" si="92"/>
        <v xml:space="preserve"> 2024</v>
      </c>
    </row>
    <row r="1983" spans="1:15" x14ac:dyDescent="0.35">
      <c r="A1983" t="s">
        <v>2718</v>
      </c>
      <c r="B1983" s="5" t="s">
        <v>1891</v>
      </c>
      <c r="C1983" s="4" t="s">
        <v>22</v>
      </c>
      <c r="D1983" s="4" t="s">
        <v>90</v>
      </c>
      <c r="E1983" s="4" t="s">
        <v>110</v>
      </c>
      <c r="F1983" s="4" t="s">
        <v>16</v>
      </c>
      <c r="G1983" s="4" t="s">
        <v>34</v>
      </c>
      <c r="H1983" s="4" t="s">
        <v>18</v>
      </c>
      <c r="I1983" s="4" t="s">
        <v>60</v>
      </c>
      <c r="J1983" s="3">
        <v>9</v>
      </c>
      <c r="K1983" s="6">
        <v>327807</v>
      </c>
      <c r="L1983" s="6">
        <f t="shared" si="90"/>
        <v>229464.9</v>
      </c>
      <c r="M1983" s="6">
        <v>98342.1</v>
      </c>
      <c r="N1983" s="5" t="str">
        <f t="shared" si="91"/>
        <v>Nov</v>
      </c>
      <c r="O1983" s="5" t="str">
        <f t="shared" si="92"/>
        <v xml:space="preserve"> 2023</v>
      </c>
    </row>
    <row r="1984" spans="1:15" x14ac:dyDescent="0.35">
      <c r="A1984" t="s">
        <v>2719</v>
      </c>
      <c r="B1984" s="5" t="s">
        <v>923</v>
      </c>
      <c r="C1984" s="4" t="s">
        <v>55</v>
      </c>
      <c r="D1984" s="4" t="s">
        <v>98</v>
      </c>
      <c r="E1984" s="4" t="s">
        <v>99</v>
      </c>
      <c r="F1984" s="4" t="s">
        <v>67</v>
      </c>
      <c r="G1984" s="4" t="s">
        <v>180</v>
      </c>
      <c r="H1984" s="4" t="s">
        <v>18</v>
      </c>
      <c r="I1984" s="4" t="s">
        <v>47</v>
      </c>
      <c r="J1984" s="3">
        <v>3</v>
      </c>
      <c r="K1984" s="6">
        <v>12543</v>
      </c>
      <c r="L1984" s="6">
        <f t="shared" si="90"/>
        <v>8780.0999999999985</v>
      </c>
      <c r="M1984" s="6">
        <v>3762.9000000000015</v>
      </c>
      <c r="N1984" s="5" t="str">
        <f t="shared" si="91"/>
        <v>Apr</v>
      </c>
      <c r="O1984" s="5" t="str">
        <f t="shared" si="92"/>
        <v xml:space="preserve"> 2024</v>
      </c>
    </row>
    <row r="1985" spans="1:15" x14ac:dyDescent="0.35">
      <c r="A1985" t="s">
        <v>2720</v>
      </c>
      <c r="B1985" s="5" t="s">
        <v>988</v>
      </c>
      <c r="C1985" s="4" t="s">
        <v>31</v>
      </c>
      <c r="D1985" s="4" t="s">
        <v>32</v>
      </c>
      <c r="E1985" s="4" t="s">
        <v>33</v>
      </c>
      <c r="F1985" s="4" t="s">
        <v>25</v>
      </c>
      <c r="G1985" s="4" t="s">
        <v>52</v>
      </c>
      <c r="H1985" s="4" t="s">
        <v>18</v>
      </c>
      <c r="I1985" s="4" t="s">
        <v>28</v>
      </c>
      <c r="J1985" s="3">
        <v>8</v>
      </c>
      <c r="K1985" s="6">
        <v>21800</v>
      </c>
      <c r="L1985" s="6">
        <f t="shared" si="90"/>
        <v>15259.999999999998</v>
      </c>
      <c r="M1985" s="6">
        <v>6540.0000000000018</v>
      </c>
      <c r="N1985" s="5" t="str">
        <f t="shared" si="91"/>
        <v>Apr</v>
      </c>
      <c r="O1985" s="5" t="str">
        <f t="shared" si="92"/>
        <v xml:space="preserve"> 2023</v>
      </c>
    </row>
    <row r="1986" spans="1:15" x14ac:dyDescent="0.35">
      <c r="A1986" t="s">
        <v>2721</v>
      </c>
      <c r="B1986" s="5" t="s">
        <v>300</v>
      </c>
      <c r="C1986" s="4" t="s">
        <v>55</v>
      </c>
      <c r="D1986" s="4" t="s">
        <v>82</v>
      </c>
      <c r="E1986" s="4" t="s">
        <v>83</v>
      </c>
      <c r="F1986" s="4" t="s">
        <v>16</v>
      </c>
      <c r="G1986" s="4" t="s">
        <v>34</v>
      </c>
      <c r="H1986" s="4" t="s">
        <v>72</v>
      </c>
      <c r="I1986" s="4" t="s">
        <v>60</v>
      </c>
      <c r="J1986" s="3">
        <v>9</v>
      </c>
      <c r="K1986" s="6">
        <v>68031</v>
      </c>
      <c r="L1986" s="6">
        <f t="shared" ref="L1986:L2001" si="93">K1986*0.7</f>
        <v>47621.7</v>
      </c>
      <c r="M1986" s="6">
        <v>20409.300000000003</v>
      </c>
      <c r="N1986" s="5" t="str">
        <f t="shared" ref="N1986:N2001" si="94">TEXT(B1986,"mmm")</f>
        <v>Aug</v>
      </c>
      <c r="O1986" s="5" t="str">
        <f t="shared" ref="O1986:O2001" si="95">TEXT(B1986," yyyy")</f>
        <v xml:space="preserve"> 2023</v>
      </c>
    </row>
    <row r="1987" spans="1:15" x14ac:dyDescent="0.35">
      <c r="A1987" t="s">
        <v>2722</v>
      </c>
      <c r="B1987" s="5" t="s">
        <v>97</v>
      </c>
      <c r="C1987" s="4" t="s">
        <v>22</v>
      </c>
      <c r="D1987" s="4" t="s">
        <v>86</v>
      </c>
      <c r="E1987" s="4" t="s">
        <v>87</v>
      </c>
      <c r="F1987" s="4" t="s">
        <v>25</v>
      </c>
      <c r="G1987" s="4" t="s">
        <v>71</v>
      </c>
      <c r="H1987" s="4" t="s">
        <v>18</v>
      </c>
      <c r="I1987" s="4" t="s">
        <v>47</v>
      </c>
      <c r="J1987" s="3">
        <v>10</v>
      </c>
      <c r="K1987" s="6">
        <v>205970</v>
      </c>
      <c r="L1987" s="6">
        <f t="shared" si="93"/>
        <v>144179</v>
      </c>
      <c r="M1987" s="6">
        <v>61791</v>
      </c>
      <c r="N1987" s="5" t="str">
        <f t="shared" si="94"/>
        <v>Aug</v>
      </c>
      <c r="O1987" s="5" t="str">
        <f t="shared" si="95"/>
        <v xml:space="preserve"> 2024</v>
      </c>
    </row>
    <row r="1988" spans="1:15" x14ac:dyDescent="0.35">
      <c r="A1988" t="s">
        <v>2723</v>
      </c>
      <c r="B1988" s="5" t="s">
        <v>1069</v>
      </c>
      <c r="C1988" s="4" t="s">
        <v>22</v>
      </c>
      <c r="D1988" s="4" t="s">
        <v>90</v>
      </c>
      <c r="E1988" s="4" t="s">
        <v>91</v>
      </c>
      <c r="F1988" s="4" t="s">
        <v>16</v>
      </c>
      <c r="G1988" s="4" t="s">
        <v>42</v>
      </c>
      <c r="H1988" s="4" t="s">
        <v>27</v>
      </c>
      <c r="I1988" s="4" t="s">
        <v>28</v>
      </c>
      <c r="J1988" s="3">
        <v>5</v>
      </c>
      <c r="K1988" s="6">
        <v>215920</v>
      </c>
      <c r="L1988" s="6">
        <f t="shared" si="93"/>
        <v>151144</v>
      </c>
      <c r="M1988" s="6">
        <v>64776</v>
      </c>
      <c r="N1988" s="5" t="str">
        <f t="shared" si="94"/>
        <v>Feb</v>
      </c>
      <c r="O1988" s="5" t="str">
        <f t="shared" si="95"/>
        <v xml:space="preserve"> 2024</v>
      </c>
    </row>
    <row r="1989" spans="1:15" x14ac:dyDescent="0.35">
      <c r="A1989" t="s">
        <v>2724</v>
      </c>
      <c r="B1989" s="5" t="s">
        <v>842</v>
      </c>
      <c r="C1989" s="4" t="s">
        <v>31</v>
      </c>
      <c r="D1989" s="4" t="s">
        <v>50</v>
      </c>
      <c r="E1989" s="4" t="s">
        <v>51</v>
      </c>
      <c r="F1989" s="4" t="s">
        <v>25</v>
      </c>
      <c r="G1989" s="4" t="s">
        <v>52</v>
      </c>
      <c r="H1989" s="4" t="s">
        <v>72</v>
      </c>
      <c r="I1989" s="4" t="s">
        <v>19</v>
      </c>
      <c r="J1989" s="3">
        <v>8</v>
      </c>
      <c r="K1989" s="6">
        <v>216768</v>
      </c>
      <c r="L1989" s="6">
        <f t="shared" si="93"/>
        <v>151737.59999999998</v>
      </c>
      <c r="M1989" s="6">
        <v>65030.400000000023</v>
      </c>
      <c r="N1989" s="5" t="str">
        <f t="shared" si="94"/>
        <v>Apr</v>
      </c>
      <c r="O1989" s="5" t="str">
        <f t="shared" si="95"/>
        <v xml:space="preserve"> 2023</v>
      </c>
    </row>
    <row r="1990" spans="1:15" x14ac:dyDescent="0.35">
      <c r="A1990" t="s">
        <v>2725</v>
      </c>
      <c r="B1990" s="5" t="s">
        <v>1988</v>
      </c>
      <c r="C1990" s="4" t="s">
        <v>55</v>
      </c>
      <c r="D1990" s="4" t="s">
        <v>82</v>
      </c>
      <c r="E1990" s="4" t="s">
        <v>83</v>
      </c>
      <c r="F1990" s="4" t="s">
        <v>16</v>
      </c>
      <c r="G1990" s="4" t="s">
        <v>17</v>
      </c>
      <c r="H1990" s="4" t="s">
        <v>27</v>
      </c>
      <c r="I1990" s="4" t="s">
        <v>39</v>
      </c>
      <c r="J1990" s="3">
        <v>4</v>
      </c>
      <c r="K1990" s="6">
        <v>175780</v>
      </c>
      <c r="L1990" s="6">
        <f t="shared" si="93"/>
        <v>123045.99999999999</v>
      </c>
      <c r="M1990" s="6">
        <v>52734.000000000015</v>
      </c>
      <c r="N1990" s="5" t="str">
        <f t="shared" si="94"/>
        <v>Sep</v>
      </c>
      <c r="O1990" s="5" t="str">
        <f t="shared" si="95"/>
        <v xml:space="preserve"> 2024</v>
      </c>
    </row>
    <row r="1991" spans="1:15" x14ac:dyDescent="0.35">
      <c r="A1991" t="s">
        <v>2726</v>
      </c>
      <c r="B1991" s="5" t="s">
        <v>586</v>
      </c>
      <c r="C1991" s="4" t="s">
        <v>13</v>
      </c>
      <c r="D1991" s="4" t="s">
        <v>14</v>
      </c>
      <c r="E1991" s="4" t="s">
        <v>15</v>
      </c>
      <c r="F1991" s="4" t="s">
        <v>67</v>
      </c>
      <c r="G1991" s="4" t="s">
        <v>134</v>
      </c>
      <c r="H1991" s="4" t="s">
        <v>18</v>
      </c>
      <c r="I1991" s="4" t="s">
        <v>19</v>
      </c>
      <c r="J1991" s="3">
        <v>2</v>
      </c>
      <c r="K1991" s="6">
        <v>17796</v>
      </c>
      <c r="L1991" s="6">
        <f t="shared" si="93"/>
        <v>12457.199999999999</v>
      </c>
      <c r="M1991" s="6">
        <v>5338.8000000000011</v>
      </c>
      <c r="N1991" s="5" t="str">
        <f t="shared" si="94"/>
        <v>Sep</v>
      </c>
      <c r="O1991" s="5" t="str">
        <f t="shared" si="95"/>
        <v xml:space="preserve"> 2023</v>
      </c>
    </row>
    <row r="1992" spans="1:15" x14ac:dyDescent="0.35">
      <c r="A1992" t="s">
        <v>2727</v>
      </c>
      <c r="B1992" s="5" t="s">
        <v>471</v>
      </c>
      <c r="C1992" s="4" t="s">
        <v>13</v>
      </c>
      <c r="D1992" s="4" t="s">
        <v>14</v>
      </c>
      <c r="E1992" s="4" t="s">
        <v>15</v>
      </c>
      <c r="F1992" s="4" t="s">
        <v>16</v>
      </c>
      <c r="G1992" s="4" t="s">
        <v>42</v>
      </c>
      <c r="H1992" s="4" t="s">
        <v>27</v>
      </c>
      <c r="I1992" s="4" t="s">
        <v>39</v>
      </c>
      <c r="J1992" s="3">
        <v>4</v>
      </c>
      <c r="K1992" s="6">
        <v>16504</v>
      </c>
      <c r="L1992" s="6">
        <f t="shared" si="93"/>
        <v>11552.8</v>
      </c>
      <c r="M1992" s="6">
        <v>4951.2000000000007</v>
      </c>
      <c r="N1992" s="5" t="str">
        <f t="shared" si="94"/>
        <v>Oct</v>
      </c>
      <c r="O1992" s="5" t="str">
        <f t="shared" si="95"/>
        <v xml:space="preserve"> 2023</v>
      </c>
    </row>
    <row r="1993" spans="1:15" x14ac:dyDescent="0.35">
      <c r="A1993" t="s">
        <v>2728</v>
      </c>
      <c r="B1993" s="5" t="s">
        <v>267</v>
      </c>
      <c r="C1993" s="4" t="s">
        <v>31</v>
      </c>
      <c r="D1993" s="4" t="s">
        <v>45</v>
      </c>
      <c r="E1993" s="4" t="s">
        <v>46</v>
      </c>
      <c r="F1993" s="4" t="s">
        <v>16</v>
      </c>
      <c r="G1993" s="4" t="s">
        <v>17</v>
      </c>
      <c r="H1993" s="4" t="s">
        <v>18</v>
      </c>
      <c r="I1993" s="4" t="s">
        <v>39</v>
      </c>
      <c r="J1993" s="3">
        <v>5</v>
      </c>
      <c r="K1993" s="6">
        <v>65365</v>
      </c>
      <c r="L1993" s="6">
        <f t="shared" si="93"/>
        <v>45755.5</v>
      </c>
      <c r="M1993" s="6">
        <v>19609.5</v>
      </c>
      <c r="N1993" s="5" t="str">
        <f t="shared" si="94"/>
        <v>Aug</v>
      </c>
      <c r="O1993" s="5" t="str">
        <f t="shared" si="95"/>
        <v xml:space="preserve"> 2023</v>
      </c>
    </row>
    <row r="1994" spans="1:15" x14ac:dyDescent="0.35">
      <c r="A1994" t="s">
        <v>2729</v>
      </c>
      <c r="B1994" s="5" t="s">
        <v>520</v>
      </c>
      <c r="C1994" s="4" t="s">
        <v>31</v>
      </c>
      <c r="D1994" s="4" t="s">
        <v>32</v>
      </c>
      <c r="E1994" s="4" t="s">
        <v>33</v>
      </c>
      <c r="F1994" s="4" t="s">
        <v>16</v>
      </c>
      <c r="G1994" s="4" t="s">
        <v>34</v>
      </c>
      <c r="H1994" s="4" t="s">
        <v>27</v>
      </c>
      <c r="I1994" s="4" t="s">
        <v>19</v>
      </c>
      <c r="J1994" s="3">
        <v>3</v>
      </c>
      <c r="K1994" s="6">
        <v>143646</v>
      </c>
      <c r="L1994" s="6">
        <f t="shared" si="93"/>
        <v>100552.2</v>
      </c>
      <c r="M1994" s="6">
        <v>43093.8</v>
      </c>
      <c r="N1994" s="5" t="str">
        <f t="shared" si="94"/>
        <v>Apr</v>
      </c>
      <c r="O1994" s="5" t="str">
        <f t="shared" si="95"/>
        <v xml:space="preserve"> 2024</v>
      </c>
    </row>
    <row r="1995" spans="1:15" x14ac:dyDescent="0.35">
      <c r="A1995" t="s">
        <v>2730</v>
      </c>
      <c r="B1995" s="5" t="s">
        <v>448</v>
      </c>
      <c r="C1995" s="4" t="s">
        <v>55</v>
      </c>
      <c r="D1995" s="4" t="s">
        <v>63</v>
      </c>
      <c r="E1995" s="4" t="s">
        <v>64</v>
      </c>
      <c r="F1995" s="4" t="s">
        <v>37</v>
      </c>
      <c r="G1995" s="4" t="s">
        <v>186</v>
      </c>
      <c r="H1995" s="4" t="s">
        <v>72</v>
      </c>
      <c r="I1995" s="4" t="s">
        <v>19</v>
      </c>
      <c r="J1995" s="3">
        <v>4</v>
      </c>
      <c r="K1995" s="6">
        <v>89396</v>
      </c>
      <c r="L1995" s="6">
        <f t="shared" si="93"/>
        <v>62577.2</v>
      </c>
      <c r="M1995" s="6">
        <v>26818.800000000003</v>
      </c>
      <c r="N1995" s="5" t="str">
        <f t="shared" si="94"/>
        <v>Jul</v>
      </c>
      <c r="O1995" s="5" t="str">
        <f t="shared" si="95"/>
        <v xml:space="preserve"> 2023</v>
      </c>
    </row>
    <row r="1996" spans="1:15" x14ac:dyDescent="0.35">
      <c r="A1996" t="s">
        <v>2731</v>
      </c>
      <c r="B1996" s="5" t="s">
        <v>1670</v>
      </c>
      <c r="C1996" s="4" t="s">
        <v>31</v>
      </c>
      <c r="D1996" s="4" t="s">
        <v>50</v>
      </c>
      <c r="E1996" s="4" t="s">
        <v>51</v>
      </c>
      <c r="F1996" s="4" t="s">
        <v>67</v>
      </c>
      <c r="G1996" s="4" t="s">
        <v>134</v>
      </c>
      <c r="H1996" s="4" t="s">
        <v>27</v>
      </c>
      <c r="I1996" s="4" t="s">
        <v>19</v>
      </c>
      <c r="J1996" s="3">
        <v>2</v>
      </c>
      <c r="K1996" s="6">
        <v>50278</v>
      </c>
      <c r="L1996" s="6">
        <f t="shared" si="93"/>
        <v>35194.6</v>
      </c>
      <c r="M1996" s="6">
        <v>15083.400000000001</v>
      </c>
      <c r="N1996" s="5" t="str">
        <f t="shared" si="94"/>
        <v>Sep</v>
      </c>
      <c r="O1996" s="5" t="str">
        <f t="shared" si="95"/>
        <v xml:space="preserve"> 2024</v>
      </c>
    </row>
    <row r="1997" spans="1:15" x14ac:dyDescent="0.35">
      <c r="A1997" t="s">
        <v>2732</v>
      </c>
      <c r="B1997" s="5" t="s">
        <v>339</v>
      </c>
      <c r="C1997" s="4" t="s">
        <v>13</v>
      </c>
      <c r="D1997" s="4" t="s">
        <v>118</v>
      </c>
      <c r="E1997" s="4" t="s">
        <v>119</v>
      </c>
      <c r="F1997" s="4" t="s">
        <v>37</v>
      </c>
      <c r="G1997" s="4" t="s">
        <v>183</v>
      </c>
      <c r="H1997" s="4" t="s">
        <v>27</v>
      </c>
      <c r="I1997" s="4" t="s">
        <v>19</v>
      </c>
      <c r="J1997" s="3">
        <v>1</v>
      </c>
      <c r="K1997" s="6">
        <v>37928</v>
      </c>
      <c r="L1997" s="6">
        <f t="shared" si="93"/>
        <v>26549.599999999999</v>
      </c>
      <c r="M1997" s="6">
        <v>11378.400000000001</v>
      </c>
      <c r="N1997" s="5" t="str">
        <f t="shared" si="94"/>
        <v>Jan</v>
      </c>
      <c r="O1997" s="5" t="str">
        <f t="shared" si="95"/>
        <v xml:space="preserve"> 2024</v>
      </c>
    </row>
    <row r="1998" spans="1:15" x14ac:dyDescent="0.35">
      <c r="A1998" t="s">
        <v>2733</v>
      </c>
      <c r="B1998" s="5" t="s">
        <v>2316</v>
      </c>
      <c r="C1998" s="4" t="s">
        <v>13</v>
      </c>
      <c r="D1998" s="4" t="s">
        <v>14</v>
      </c>
      <c r="E1998" s="4" t="s">
        <v>15</v>
      </c>
      <c r="F1998" s="4" t="s">
        <v>16</v>
      </c>
      <c r="G1998" s="4" t="s">
        <v>42</v>
      </c>
      <c r="H1998" s="4" t="s">
        <v>72</v>
      </c>
      <c r="I1998" s="4" t="s">
        <v>19</v>
      </c>
      <c r="J1998" s="3">
        <v>8</v>
      </c>
      <c r="K1998" s="6">
        <v>220400</v>
      </c>
      <c r="L1998" s="6">
        <f t="shared" si="93"/>
        <v>154280</v>
      </c>
      <c r="M1998" s="6">
        <v>66120</v>
      </c>
      <c r="N1998" s="5" t="str">
        <f t="shared" si="94"/>
        <v>Apr</v>
      </c>
      <c r="O1998" s="5" t="str">
        <f t="shared" si="95"/>
        <v xml:space="preserve"> 2024</v>
      </c>
    </row>
    <row r="1999" spans="1:15" x14ac:dyDescent="0.35">
      <c r="A1999" t="s">
        <v>2734</v>
      </c>
      <c r="B1999" s="5" t="s">
        <v>461</v>
      </c>
      <c r="C1999" s="4" t="s">
        <v>55</v>
      </c>
      <c r="D1999" s="4" t="s">
        <v>56</v>
      </c>
      <c r="E1999" s="4" t="s">
        <v>57</v>
      </c>
      <c r="F1999" s="4" t="s">
        <v>25</v>
      </c>
      <c r="G1999" s="4" t="s">
        <v>26</v>
      </c>
      <c r="H1999" s="4" t="s">
        <v>72</v>
      </c>
      <c r="I1999" s="4" t="s">
        <v>60</v>
      </c>
      <c r="J1999" s="3">
        <v>9</v>
      </c>
      <c r="K1999" s="6">
        <v>90900</v>
      </c>
      <c r="L1999" s="6">
        <f t="shared" si="93"/>
        <v>63629.999999999993</v>
      </c>
      <c r="M1999" s="6">
        <v>27270.000000000007</v>
      </c>
      <c r="N1999" s="5" t="str">
        <f t="shared" si="94"/>
        <v>Jul</v>
      </c>
      <c r="O1999" s="5" t="str">
        <f t="shared" si="95"/>
        <v xml:space="preserve"> 2023</v>
      </c>
    </row>
    <row r="2000" spans="1:15" x14ac:dyDescent="0.35">
      <c r="A2000" t="s">
        <v>2735</v>
      </c>
      <c r="B2000" s="5" t="s">
        <v>999</v>
      </c>
      <c r="C2000" s="4" t="s">
        <v>22</v>
      </c>
      <c r="D2000" s="4" t="s">
        <v>90</v>
      </c>
      <c r="E2000" s="4" t="s">
        <v>110</v>
      </c>
      <c r="F2000" s="4" t="s">
        <v>37</v>
      </c>
      <c r="G2000" s="4" t="s">
        <v>186</v>
      </c>
      <c r="H2000" s="4" t="s">
        <v>72</v>
      </c>
      <c r="I2000" s="4" t="s">
        <v>47</v>
      </c>
      <c r="J2000" s="3">
        <v>2</v>
      </c>
      <c r="K2000" s="6">
        <v>60822</v>
      </c>
      <c r="L2000" s="6">
        <f t="shared" si="93"/>
        <v>42575.399999999994</v>
      </c>
      <c r="M2000" s="6">
        <v>18246.600000000006</v>
      </c>
      <c r="N2000" s="5" t="str">
        <f t="shared" si="94"/>
        <v>Aug</v>
      </c>
      <c r="O2000" s="5" t="str">
        <f t="shared" si="95"/>
        <v xml:space="preserve"> 2024</v>
      </c>
    </row>
    <row r="2001" spans="1:16" x14ac:dyDescent="0.35">
      <c r="A2001" t="s">
        <v>2736</v>
      </c>
      <c r="B2001" s="5" t="s">
        <v>1038</v>
      </c>
      <c r="C2001" s="4" t="s">
        <v>22</v>
      </c>
      <c r="D2001" s="4" t="s">
        <v>86</v>
      </c>
      <c r="E2001" s="4" t="s">
        <v>87</v>
      </c>
      <c r="F2001" s="4" t="s">
        <v>67</v>
      </c>
      <c r="G2001" s="4" t="s">
        <v>180</v>
      </c>
      <c r="H2001" s="4" t="s">
        <v>72</v>
      </c>
      <c r="I2001" s="4" t="s">
        <v>60</v>
      </c>
      <c r="J2001" s="3">
        <v>7</v>
      </c>
      <c r="K2001" s="6">
        <v>123466</v>
      </c>
      <c r="L2001" s="6">
        <f t="shared" si="93"/>
        <v>86426.2</v>
      </c>
      <c r="M2001" s="6">
        <v>37039.800000000003</v>
      </c>
      <c r="N2001" s="5" t="str">
        <f t="shared" si="94"/>
        <v>Sep</v>
      </c>
      <c r="O2001" s="5" t="str">
        <f t="shared" si="95"/>
        <v xml:space="preserve"> 2023</v>
      </c>
    </row>
    <row r="2006" spans="1:16" x14ac:dyDescent="0.35">
      <c r="P2006" s="6">
        <f>SUM(Table2[SalesAmount])</f>
        <v>280618017</v>
      </c>
    </row>
  </sheetData>
  <pageMargins left="0.75" right="0.75" top="1" bottom="1" header="0.5" footer="0.5"/>
  <drawing r:id="rId1"/>
  <tableParts count="1">
    <tablePart r:id="rId2"/>
  </tableParts>
  <extLst>
    <ext xmlns:x14="http://schemas.microsoft.com/office/spreadsheetml/2009/9/main" uri="{05C60535-1F16-4fd2-B633-F4F36F0B64E0}">
      <x14:sparklineGroups xmlns:xm="http://schemas.microsoft.com/office/excel/2006/main">
        <x14:sparklineGroup type="column" displayEmptyCellsAs="gap" xr2:uid="{01339A2A-3CC9-4DEB-8754-2B8A13A7F26D}">
          <x14:colorSeries rgb="FF376092"/>
          <x14:colorNegative rgb="FFD00000"/>
          <x14:colorAxis rgb="FF000000"/>
          <x14:colorMarkers rgb="FFD00000"/>
          <x14:colorFirst rgb="FFD00000"/>
          <x14:colorLast rgb="FFD00000"/>
          <x14:colorHigh rgb="FFD00000"/>
          <x14:colorLow rgb="FFD00000"/>
          <x14:sparklines>
            <x14:sparkline>
              <xm:sqref>S6</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C435-B35A-4090-9407-60F22C4E188B}">
  <sheetPr codeName="Sheet7"/>
  <dimension ref="F5:J11"/>
  <sheetViews>
    <sheetView topLeftCell="B1" workbookViewId="0">
      <selection activeCell="T3" sqref="T3"/>
    </sheetView>
  </sheetViews>
  <sheetFormatPr defaultRowHeight="14" x14ac:dyDescent="0.3"/>
  <cols>
    <col min="1" max="1" width="18.26953125" style="8" bestFit="1" customWidth="1"/>
    <col min="2" max="2" width="12.54296875" style="8" bestFit="1" customWidth="1"/>
    <col min="3" max="3" width="24.26953125" style="8" bestFit="1" customWidth="1"/>
    <col min="4" max="5" width="9.54296875" style="8" bestFit="1" customWidth="1"/>
    <col min="6" max="6" width="16.36328125" style="8" bestFit="1" customWidth="1"/>
    <col min="7" max="7" width="18.7265625" style="8" bestFit="1" customWidth="1"/>
    <col min="8" max="8" width="14.36328125" style="8" bestFit="1" customWidth="1"/>
    <col min="9" max="9" width="15.36328125" style="8" bestFit="1" customWidth="1"/>
    <col min="10" max="10" width="15.6328125" style="8" bestFit="1" customWidth="1"/>
    <col min="11" max="11" width="14.54296875" style="8" bestFit="1" customWidth="1"/>
    <col min="12" max="12" width="11.1796875" style="8" bestFit="1" customWidth="1"/>
    <col min="13" max="2001" width="9.54296875" style="8" bestFit="1" customWidth="1"/>
    <col min="2002" max="2002" width="13" style="8" bestFit="1" customWidth="1"/>
    <col min="2003" max="16384" width="8.7265625" style="8"/>
  </cols>
  <sheetData>
    <row r="5" spans="6:10" x14ac:dyDescent="0.3">
      <c r="F5" s="8" t="s">
        <v>2755</v>
      </c>
      <c r="G5" s="8" t="s">
        <v>2742</v>
      </c>
      <c r="H5" s="8" t="s">
        <v>2757</v>
      </c>
      <c r="I5" s="8" t="s">
        <v>2763</v>
      </c>
    </row>
    <row r="6" spans="6:10" x14ac:dyDescent="0.3">
      <c r="F6" s="23">
        <v>2000</v>
      </c>
      <c r="G6" s="9">
        <v>280618017</v>
      </c>
      <c r="H6" s="9">
        <v>84185405.100000024</v>
      </c>
      <c r="I6" s="9">
        <v>196432611.90000001</v>
      </c>
    </row>
    <row r="9" spans="6:10" x14ac:dyDescent="0.3">
      <c r="F9" s="10" t="s">
        <v>2758</v>
      </c>
      <c r="G9" s="10" t="s">
        <v>2759</v>
      </c>
      <c r="H9" s="10" t="s">
        <v>2761</v>
      </c>
      <c r="I9" s="10" t="s">
        <v>2762</v>
      </c>
      <c r="J9" s="11" t="s">
        <v>2764</v>
      </c>
    </row>
    <row r="10" spans="6:10" x14ac:dyDescent="0.3">
      <c r="F10" s="12">
        <f>GETPIVOTDATA("Sum of SalesAmount",$H$6)/GETPIVOTDATA("Count of OrderID",$F$6)</f>
        <v>140309.0085</v>
      </c>
      <c r="G10" s="13">
        <f>G6</f>
        <v>280618017</v>
      </c>
      <c r="H10" s="12">
        <f>H6</f>
        <v>84185405.100000024</v>
      </c>
      <c r="I10" s="14">
        <f>F6</f>
        <v>2000</v>
      </c>
      <c r="J10" s="15">
        <f>I6</f>
        <v>196432611.90000001</v>
      </c>
    </row>
    <row r="11" spans="6:10" x14ac:dyDescent="0.3">
      <c r="F11"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0AE2-41EE-4A98-8A0A-20B8FB0D6FF4}">
  <sheetPr codeName="Sheet6"/>
  <dimension ref="A3:B14"/>
  <sheetViews>
    <sheetView workbookViewId="0">
      <selection activeCell="L18" sqref="L18"/>
    </sheetView>
  </sheetViews>
  <sheetFormatPr defaultRowHeight="14.5" x14ac:dyDescent="0.35"/>
  <cols>
    <col min="1" max="1" width="12.54296875" bestFit="1" customWidth="1"/>
    <col min="2" max="2" width="18.26953125" bestFit="1" customWidth="1"/>
    <col min="5" max="5" width="12.6328125" bestFit="1" customWidth="1"/>
  </cols>
  <sheetData>
    <row r="3" spans="1:2" x14ac:dyDescent="0.35">
      <c r="A3" s="1" t="s">
        <v>2739</v>
      </c>
      <c r="B3" t="s">
        <v>2742</v>
      </c>
    </row>
    <row r="4" spans="1:2" x14ac:dyDescent="0.35">
      <c r="A4" s="2" t="s">
        <v>17</v>
      </c>
      <c r="B4" s="6">
        <v>21255225</v>
      </c>
    </row>
    <row r="5" spans="1:2" x14ac:dyDescent="0.35">
      <c r="A5" s="2" t="s">
        <v>77</v>
      </c>
      <c r="B5" s="6">
        <v>16796206</v>
      </c>
    </row>
    <row r="6" spans="1:2" x14ac:dyDescent="0.35">
      <c r="A6" s="2" t="s">
        <v>71</v>
      </c>
      <c r="B6" s="6">
        <v>20020980</v>
      </c>
    </row>
    <row r="7" spans="1:2" x14ac:dyDescent="0.35">
      <c r="A7" s="2" t="s">
        <v>122</v>
      </c>
      <c r="B7" s="6">
        <v>16991036</v>
      </c>
    </row>
    <row r="8" spans="1:2" x14ac:dyDescent="0.35">
      <c r="A8" s="2" t="s">
        <v>186</v>
      </c>
      <c r="B8" s="6">
        <v>20502394</v>
      </c>
    </row>
    <row r="9" spans="1:2" x14ac:dyDescent="0.35">
      <c r="A9" s="2" t="s">
        <v>183</v>
      </c>
      <c r="B9" s="6">
        <v>17468633</v>
      </c>
    </row>
    <row r="10" spans="1:2" x14ac:dyDescent="0.35">
      <c r="A10" s="2" t="s">
        <v>38</v>
      </c>
      <c r="B10" s="6">
        <v>20094108</v>
      </c>
    </row>
    <row r="11" spans="1:2" x14ac:dyDescent="0.35">
      <c r="A11" s="2" t="s">
        <v>148</v>
      </c>
      <c r="B11" s="6">
        <v>20099414</v>
      </c>
    </row>
    <row r="12" spans="1:2" x14ac:dyDescent="0.35">
      <c r="A12" s="2" t="s">
        <v>52</v>
      </c>
      <c r="B12" s="6">
        <v>17315032</v>
      </c>
    </row>
    <row r="13" spans="1:2" x14ac:dyDescent="0.35">
      <c r="A13" s="2" t="s">
        <v>34</v>
      </c>
      <c r="B13" s="6">
        <v>18116179</v>
      </c>
    </row>
    <row r="14" spans="1:2" x14ac:dyDescent="0.35">
      <c r="A14" s="2" t="s">
        <v>2741</v>
      </c>
      <c r="B14" s="6">
        <v>188659207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55CC3-6663-4F6E-8A8E-5F2A5EE72876}">
  <sheetPr codeName="Sheet5"/>
  <dimension ref="A3:M17"/>
  <sheetViews>
    <sheetView zoomScaleNormal="100" workbookViewId="0">
      <selection activeCell="B10" sqref="A1:XFD1048576"/>
    </sheetView>
  </sheetViews>
  <sheetFormatPr defaultRowHeight="14" x14ac:dyDescent="0.3"/>
  <cols>
    <col min="1" max="1" width="13.453125" style="8" bestFit="1" customWidth="1"/>
    <col min="2" max="2" width="18.7265625" style="8" bestFit="1" customWidth="1"/>
    <col min="3" max="12" width="8.7265625" style="8"/>
    <col min="13" max="13" width="11.6328125" style="8" bestFit="1" customWidth="1"/>
    <col min="14" max="16384" width="8.7265625" style="8"/>
  </cols>
  <sheetData>
    <row r="3" spans="1:2" x14ac:dyDescent="0.3">
      <c r="A3" s="16" t="s">
        <v>2739</v>
      </c>
      <c r="B3" s="8" t="s">
        <v>2742</v>
      </c>
    </row>
    <row r="4" spans="1:2" x14ac:dyDescent="0.3">
      <c r="A4" s="17" t="s">
        <v>16</v>
      </c>
      <c r="B4" s="18">
        <v>72586291</v>
      </c>
    </row>
    <row r="5" spans="1:2" x14ac:dyDescent="0.3">
      <c r="A5" s="17" t="s">
        <v>25</v>
      </c>
      <c r="B5" s="18">
        <v>70251448</v>
      </c>
    </row>
    <row r="6" spans="1:2" x14ac:dyDescent="0.3">
      <c r="A6" s="17" t="s">
        <v>67</v>
      </c>
      <c r="B6" s="18">
        <v>59615729</v>
      </c>
    </row>
    <row r="7" spans="1:2" x14ac:dyDescent="0.3">
      <c r="A7" s="17" t="s">
        <v>37</v>
      </c>
      <c r="B7" s="18">
        <v>78164549</v>
      </c>
    </row>
    <row r="8" spans="1:2" x14ac:dyDescent="0.3">
      <c r="A8" s="17" t="s">
        <v>2741</v>
      </c>
      <c r="B8" s="18">
        <v>280618017</v>
      </c>
    </row>
    <row r="17" spans="13:13" x14ac:dyDescent="0.3">
      <c r="M17" s="1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33F3-F63E-4295-B99C-9B8633EC4829}">
  <sheetPr codeName="Sheet3"/>
  <dimension ref="A3:F22"/>
  <sheetViews>
    <sheetView zoomScaleNormal="100" workbookViewId="0">
      <selection activeCell="O16" sqref="A1:XFD1048576"/>
    </sheetView>
  </sheetViews>
  <sheetFormatPr defaultRowHeight="14" x14ac:dyDescent="0.3"/>
  <cols>
    <col min="1" max="1" width="13.1796875" style="8" bestFit="1" customWidth="1"/>
    <col min="2" max="2" width="18.7265625" style="8" bestFit="1" customWidth="1"/>
    <col min="3" max="4" width="8.7265625" style="8"/>
    <col min="5" max="5" width="11.6328125" style="8" bestFit="1" customWidth="1"/>
    <col min="6" max="6" width="18.26953125" style="8" bestFit="1" customWidth="1"/>
    <col min="7" max="16384" width="8.7265625" style="8"/>
  </cols>
  <sheetData>
    <row r="3" spans="1:6" x14ac:dyDescent="0.3">
      <c r="A3" s="16" t="s">
        <v>2739</v>
      </c>
      <c r="B3" s="8" t="s">
        <v>2742</v>
      </c>
      <c r="E3" s="19"/>
      <c r="F3" s="19"/>
    </row>
    <row r="4" spans="1:6" x14ac:dyDescent="0.3">
      <c r="A4" s="17" t="s">
        <v>162</v>
      </c>
      <c r="B4" s="18">
        <v>15941195</v>
      </c>
      <c r="D4" s="17"/>
      <c r="E4" s="17" t="s">
        <v>162</v>
      </c>
      <c r="F4" s="18">
        <v>15941195</v>
      </c>
    </row>
    <row r="5" spans="1:6" x14ac:dyDescent="0.3">
      <c r="A5" s="17" t="s">
        <v>118</v>
      </c>
      <c r="B5" s="18">
        <v>15975338</v>
      </c>
      <c r="D5" s="17"/>
      <c r="E5" s="17" t="s">
        <v>118</v>
      </c>
      <c r="F5" s="18">
        <v>15975338</v>
      </c>
    </row>
    <row r="6" spans="1:6" x14ac:dyDescent="0.3">
      <c r="A6" s="17" t="s">
        <v>32</v>
      </c>
      <c r="B6" s="18">
        <v>19763375</v>
      </c>
      <c r="D6" s="17"/>
      <c r="E6" s="17" t="s">
        <v>32</v>
      </c>
      <c r="F6" s="18">
        <v>19763375</v>
      </c>
    </row>
    <row r="7" spans="1:6" x14ac:dyDescent="0.3">
      <c r="A7" s="17" t="s">
        <v>86</v>
      </c>
      <c r="B7" s="18">
        <v>15218039</v>
      </c>
      <c r="D7" s="17"/>
      <c r="E7" s="17" t="s">
        <v>86</v>
      </c>
      <c r="F7" s="18">
        <v>15218039</v>
      </c>
    </row>
    <row r="8" spans="1:6" x14ac:dyDescent="0.3">
      <c r="A8" s="17" t="s">
        <v>23</v>
      </c>
      <c r="B8" s="18">
        <v>20028769</v>
      </c>
      <c r="E8" s="17" t="s">
        <v>23</v>
      </c>
      <c r="F8" s="18">
        <v>20028769</v>
      </c>
    </row>
    <row r="9" spans="1:6" x14ac:dyDescent="0.3">
      <c r="A9" s="17" t="s">
        <v>50</v>
      </c>
      <c r="B9" s="18">
        <v>17281372</v>
      </c>
      <c r="E9" s="17" t="s">
        <v>50</v>
      </c>
      <c r="F9" s="18">
        <v>17281372</v>
      </c>
    </row>
    <row r="10" spans="1:6" x14ac:dyDescent="0.3">
      <c r="A10" s="17" t="s">
        <v>98</v>
      </c>
      <c r="B10" s="18">
        <v>15829046</v>
      </c>
      <c r="E10" s="17" t="s">
        <v>98</v>
      </c>
      <c r="F10" s="18">
        <v>15829046</v>
      </c>
    </row>
    <row r="11" spans="1:6" x14ac:dyDescent="0.3">
      <c r="A11" s="17" t="s">
        <v>56</v>
      </c>
      <c r="B11" s="18">
        <v>19688872</v>
      </c>
      <c r="E11" s="17" t="s">
        <v>56</v>
      </c>
      <c r="F11" s="18">
        <v>19688872</v>
      </c>
    </row>
    <row r="12" spans="1:6" x14ac:dyDescent="0.3">
      <c r="A12" s="17" t="s">
        <v>90</v>
      </c>
      <c r="B12" s="18">
        <v>39820939</v>
      </c>
      <c r="E12" s="17" t="s">
        <v>90</v>
      </c>
      <c r="F12" s="18">
        <v>39820939</v>
      </c>
    </row>
    <row r="13" spans="1:6" x14ac:dyDescent="0.3">
      <c r="A13" s="17" t="s">
        <v>14</v>
      </c>
      <c r="B13" s="18">
        <v>17475696</v>
      </c>
      <c r="E13" s="17" t="s">
        <v>14</v>
      </c>
      <c r="F13" s="18">
        <v>17475696</v>
      </c>
    </row>
    <row r="14" spans="1:6" x14ac:dyDescent="0.3">
      <c r="A14" s="17" t="s">
        <v>45</v>
      </c>
      <c r="B14" s="18">
        <v>16403607</v>
      </c>
      <c r="E14" s="17" t="s">
        <v>45</v>
      </c>
      <c r="F14" s="18">
        <v>16403607</v>
      </c>
    </row>
    <row r="15" spans="1:6" x14ac:dyDescent="0.3">
      <c r="A15" s="17" t="s">
        <v>82</v>
      </c>
      <c r="B15" s="18">
        <v>17508968</v>
      </c>
      <c r="E15" s="17" t="s">
        <v>82</v>
      </c>
      <c r="F15" s="18">
        <v>17508968</v>
      </c>
    </row>
    <row r="16" spans="1:6" x14ac:dyDescent="0.3">
      <c r="A16" s="17" t="s">
        <v>63</v>
      </c>
      <c r="B16" s="18">
        <v>17319245</v>
      </c>
      <c r="E16" s="17" t="s">
        <v>63</v>
      </c>
      <c r="F16" s="18">
        <v>17319245</v>
      </c>
    </row>
    <row r="17" spans="1:6" x14ac:dyDescent="0.3">
      <c r="A17" s="17" t="s">
        <v>104</v>
      </c>
      <c r="B17" s="18">
        <v>18532725</v>
      </c>
      <c r="E17" s="17" t="s">
        <v>104</v>
      </c>
      <c r="F17" s="18">
        <v>18532725</v>
      </c>
    </row>
    <row r="18" spans="1:6" x14ac:dyDescent="0.3">
      <c r="A18" s="17" t="s">
        <v>125</v>
      </c>
      <c r="B18" s="18">
        <v>13830831</v>
      </c>
      <c r="E18" s="17" t="s">
        <v>125</v>
      </c>
      <c r="F18" s="18">
        <v>13830831</v>
      </c>
    </row>
    <row r="19" spans="1:6" x14ac:dyDescent="0.3">
      <c r="A19" s="17" t="s">
        <v>2741</v>
      </c>
      <c r="B19" s="18">
        <v>280618017</v>
      </c>
      <c r="E19" s="20"/>
      <c r="F19" s="21"/>
    </row>
    <row r="20" spans="1:6" x14ac:dyDescent="0.3">
      <c r="E20" s="22"/>
      <c r="F20" s="18"/>
    </row>
    <row r="21" spans="1:6" x14ac:dyDescent="0.3">
      <c r="E21" s="22"/>
      <c r="F21" s="18"/>
    </row>
    <row r="22" spans="1:6" x14ac:dyDescent="0.3">
      <c r="E22" s="22"/>
      <c r="F22" s="18"/>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0AFA-C86E-4593-AE3F-E54DD5DF93EC}">
  <sheetPr codeName="Sheet2"/>
  <dimension ref="A1:B16"/>
  <sheetViews>
    <sheetView workbookViewId="0">
      <selection activeCell="D8" sqref="A1:XFD1048576"/>
    </sheetView>
  </sheetViews>
  <sheetFormatPr defaultRowHeight="14" x14ac:dyDescent="0.3"/>
  <cols>
    <col min="1" max="1" width="13.1796875" style="8" bestFit="1" customWidth="1"/>
    <col min="2" max="2" width="18.7265625" style="8" bestFit="1" customWidth="1"/>
    <col min="3" max="16384" width="8.7265625" style="8"/>
  </cols>
  <sheetData>
    <row r="1" spans="1:2" x14ac:dyDescent="0.3">
      <c r="A1" s="16" t="s">
        <v>2738</v>
      </c>
      <c r="B1" s="8" t="s">
        <v>2760</v>
      </c>
    </row>
    <row r="3" spans="1:2" x14ac:dyDescent="0.3">
      <c r="A3" s="16" t="s">
        <v>2739</v>
      </c>
      <c r="B3" s="8" t="s">
        <v>2742</v>
      </c>
    </row>
    <row r="4" spans="1:2" x14ac:dyDescent="0.3">
      <c r="A4" s="17" t="s">
        <v>2751</v>
      </c>
      <c r="B4" s="18">
        <v>24485103</v>
      </c>
    </row>
    <row r="5" spans="1:2" x14ac:dyDescent="0.3">
      <c r="A5" s="17" t="s">
        <v>2744</v>
      </c>
      <c r="B5" s="18">
        <v>22024893</v>
      </c>
    </row>
    <row r="6" spans="1:2" x14ac:dyDescent="0.3">
      <c r="A6" s="17" t="s">
        <v>2745</v>
      </c>
      <c r="B6" s="18">
        <v>21173392</v>
      </c>
    </row>
    <row r="7" spans="1:2" x14ac:dyDescent="0.3">
      <c r="A7" s="17" t="s">
        <v>2753</v>
      </c>
      <c r="B7" s="18">
        <v>25354458</v>
      </c>
    </row>
    <row r="8" spans="1:2" x14ac:dyDescent="0.3">
      <c r="A8" s="17" t="s">
        <v>2740</v>
      </c>
      <c r="B8" s="18">
        <v>26424685</v>
      </c>
    </row>
    <row r="9" spans="1:2" x14ac:dyDescent="0.3">
      <c r="A9" s="17" t="s">
        <v>2746</v>
      </c>
      <c r="B9" s="18">
        <v>25039461</v>
      </c>
    </row>
    <row r="10" spans="1:2" x14ac:dyDescent="0.3">
      <c r="A10" s="17" t="s">
        <v>2743</v>
      </c>
      <c r="B10" s="18">
        <v>24326614</v>
      </c>
    </row>
    <row r="11" spans="1:2" x14ac:dyDescent="0.3">
      <c r="A11" s="17" t="s">
        <v>2747</v>
      </c>
      <c r="B11" s="18">
        <v>24393608</v>
      </c>
    </row>
    <row r="12" spans="1:2" x14ac:dyDescent="0.3">
      <c r="A12" s="17" t="s">
        <v>2752</v>
      </c>
      <c r="B12" s="18">
        <v>25028290</v>
      </c>
    </row>
    <row r="13" spans="1:2" x14ac:dyDescent="0.3">
      <c r="A13" s="17" t="s">
        <v>2748</v>
      </c>
      <c r="B13" s="18">
        <v>24493350</v>
      </c>
    </row>
    <row r="14" spans="1:2" x14ac:dyDescent="0.3">
      <c r="A14" s="17" t="s">
        <v>2749</v>
      </c>
      <c r="B14" s="18">
        <v>25201344</v>
      </c>
    </row>
    <row r="15" spans="1:2" x14ac:dyDescent="0.3">
      <c r="A15" s="17" t="s">
        <v>2750</v>
      </c>
      <c r="B15" s="18">
        <v>12672819</v>
      </c>
    </row>
    <row r="16" spans="1:2" x14ac:dyDescent="0.3">
      <c r="A16" s="17" t="s">
        <v>2741</v>
      </c>
      <c r="B16" s="18">
        <v>280618017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1FAE1-54AC-4018-AD47-CE4308332805}">
  <sheetPr codeName="Sheet4"/>
  <dimension ref="A3:B7"/>
  <sheetViews>
    <sheetView workbookViewId="0">
      <selection activeCell="K13" sqref="K13"/>
    </sheetView>
  </sheetViews>
  <sheetFormatPr defaultRowHeight="14" x14ac:dyDescent="0.3"/>
  <cols>
    <col min="1" max="1" width="13.1796875" style="8" bestFit="1" customWidth="1"/>
    <col min="2" max="2" width="18.7265625" style="8" bestFit="1" customWidth="1"/>
    <col min="3" max="16384" width="8.7265625" style="8"/>
  </cols>
  <sheetData>
    <row r="3" spans="1:2" x14ac:dyDescent="0.3">
      <c r="A3" s="16" t="s">
        <v>2739</v>
      </c>
      <c r="B3" s="8" t="s">
        <v>2742</v>
      </c>
    </row>
    <row r="4" spans="1:2" x14ac:dyDescent="0.3">
      <c r="A4" s="17" t="s">
        <v>18</v>
      </c>
      <c r="B4" s="18">
        <v>96778292</v>
      </c>
    </row>
    <row r="5" spans="1:2" x14ac:dyDescent="0.3">
      <c r="A5" s="17" t="s">
        <v>72</v>
      </c>
      <c r="B5" s="18">
        <v>96778241</v>
      </c>
    </row>
    <row r="6" spans="1:2" x14ac:dyDescent="0.3">
      <c r="A6" s="17" t="s">
        <v>27</v>
      </c>
      <c r="B6" s="18">
        <v>87061484</v>
      </c>
    </row>
    <row r="7" spans="1:2" x14ac:dyDescent="0.3">
      <c r="A7" s="17" t="s">
        <v>2741</v>
      </c>
      <c r="B7" s="18">
        <v>280618017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Report</vt:lpstr>
      <vt:lpstr>SalesData</vt:lpstr>
      <vt:lpstr>Calculations</vt:lpstr>
      <vt:lpstr>top 10 Companies sales</vt:lpstr>
      <vt:lpstr>Sales by C ategory</vt:lpstr>
      <vt:lpstr>Sales by state</vt:lpstr>
      <vt:lpstr>Monthly Sales Trend</vt:lpstr>
      <vt:lpstr>SAles by customerSegment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Chougule</cp:lastModifiedBy>
  <dcterms:created xsi:type="dcterms:W3CDTF">2026-03-12T03:58:03Z</dcterms:created>
  <dcterms:modified xsi:type="dcterms:W3CDTF">2026-03-19T11:03:30Z</dcterms:modified>
</cp:coreProperties>
</file>